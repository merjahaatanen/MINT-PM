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7.xml" ContentType="application/vnd.openxmlformats-officedocument.spreadsheetml.comments+xml"/>
  <Override PartName="/xl/threadedComments/threadedComment7.xml" ContentType="application/vnd.ms-excel.threadedcomments+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31"/>
  <workbookPr hidePivotFieldList="1" defaultThemeVersion="124226"/>
  <mc:AlternateContent xmlns:mc="http://schemas.openxmlformats.org/markup-compatibility/2006">
    <mc:Choice Requires="x15">
      <x15ac:absPath xmlns:x15ac="http://schemas.microsoft.com/office/spreadsheetml/2010/11/ac" url="https://bobrick.sharepoint.com/sites/ManufacturingEngineering/Shared Documents/General/Machine Longevity and Project Planning/"/>
    </mc:Choice>
  </mc:AlternateContent>
  <xr:revisionPtr revIDLastSave="0" documentId="8_{A33D0B5E-6735-42E0-95B6-D813F786B6F5}" xr6:coauthVersionLast="47" xr6:coauthVersionMax="47" xr10:uidLastSave="{00000000-0000-0000-0000-000000000000}"/>
  <bookViews>
    <workbookView xWindow="-120" yWindow="-120" windowWidth="29040" windowHeight="17520" tabRatio="780" firstSheet="6" activeTab="6" xr2:uid="{00000000-000D-0000-FFFF-FFFF00000000}"/>
  </bookViews>
  <sheets>
    <sheet name="Shipping&amp;Maint" sheetId="1" state="hidden" r:id="rId1"/>
    <sheet name="Assy" sheetId="2" state="hidden" r:id="rId2"/>
    <sheet name="SW" sheetId="3" state="hidden" r:id="rId3"/>
    <sheet name="Notes" sheetId="5" r:id="rId4"/>
    <sheet name="Sheet1" sheetId="20" r:id="rId5"/>
    <sheet name="BGD" sheetId="7" r:id="rId6"/>
    <sheet name="BLA" sheetId="6" r:id="rId7"/>
    <sheet name="BMC" sheetId="8" r:id="rId8"/>
    <sheet name="BWC" sheetId="4" r:id="rId9"/>
    <sheet name="BED" sheetId="9" r:id="rId10"/>
    <sheet name="THRIS" sheetId="19" r:id="rId11"/>
    <sheet name="BWC(2) pivot1" sheetId="16" r:id="rId12"/>
    <sheet name="Summary" sheetId="18" r:id="rId13"/>
    <sheet name="BWC(2) pivot2" sheetId="17" r:id="rId14"/>
    <sheet name="BWC (2)" sheetId="15" r:id="rId15"/>
  </sheets>
  <definedNames>
    <definedName name="_xlnm._FilterDatabase" localSheetId="5" hidden="1">BGD!$A$4:$Q$4</definedName>
    <definedName name="_xlnm._FilterDatabase" localSheetId="6" hidden="1">BLA!$A$4:$W$512</definedName>
    <definedName name="_xlnm._FilterDatabase" localSheetId="7" hidden="1">BMC!$A$4:$T$4</definedName>
    <definedName name="_xlnm.Print_Area" localSheetId="5">BGD!$A$1:$Q$164</definedName>
    <definedName name="Text1">BMC!$D$6</definedName>
    <definedName name="Text2">BMC!$H$6</definedName>
    <definedName name="Text3">BMC!$I$6</definedName>
  </definedNames>
  <calcPr calcId="191028"/>
  <pivotCaches>
    <pivotCache cacheId="313"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9" l="1"/>
  <c r="O2" i="19"/>
  <c r="N2" i="19"/>
  <c r="M2" i="19"/>
  <c r="L2" i="19"/>
  <c r="K2" i="19"/>
  <c r="M2" i="9" l="1"/>
  <c r="L2" i="9"/>
  <c r="K2" i="9"/>
  <c r="J2" i="9"/>
  <c r="T2" i="8"/>
  <c r="S2" i="8"/>
  <c r="R2" i="8"/>
  <c r="Q2" i="8"/>
  <c r="P2" i="8"/>
  <c r="O2" i="8"/>
  <c r="P2" i="7"/>
  <c r="O2" i="7"/>
  <c r="N2" i="7"/>
  <c r="M2" i="7"/>
  <c r="L2" i="7"/>
  <c r="K2" i="7"/>
  <c r="R2" i="6"/>
  <c r="S2" i="6"/>
  <c r="T2" i="6"/>
  <c r="U2" i="6"/>
  <c r="V2" i="6"/>
  <c r="Q2" i="6"/>
  <c r="L21" i="3" l="1"/>
  <c r="K21" i="3"/>
  <c r="J21" i="3"/>
  <c r="I21" i="3"/>
  <c r="H21" i="3"/>
  <c r="G21" i="3"/>
  <c r="P2" i="4" l="1"/>
  <c r="O2" i="4"/>
  <c r="N2" i="4"/>
  <c r="M2" i="4"/>
  <c r="L2" i="4"/>
  <c r="K2" i="4"/>
  <c r="L37" i="2" l="1"/>
  <c r="K37" i="2"/>
  <c r="J37" i="2"/>
  <c r="I37" i="2"/>
  <c r="H37" i="2"/>
  <c r="G37" i="2"/>
  <c r="L24" i="1" l="1"/>
  <c r="K24" i="1"/>
  <c r="J24" i="1"/>
  <c r="I24" i="1"/>
  <c r="H24" i="1"/>
  <c r="G2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tc={2F488BF8-EF2E-46D8-A4AC-76748960EC78}</author>
    <author>tc={8017CFA2-3A0C-43FE-AEA8-EA4C8B8D2F4A}</author>
  </authors>
  <commentList>
    <comment ref="Q4" authorId="0" shapeId="0" xr:uid="{2F488BF8-EF2E-46D8-A4AC-76748960EC78}">
      <text>
        <t>[Threaded comment]
Your version of Excel allows you to read this threaded comment; however, any edits to it will get removed if the file is opened in a newer version of Excel. Learn more: https://go.microsoft.com/fwlink/?linkid=870924
Comment:
    @Scott Herbert when you add in any comments, Can you prefix you comments with the date that you made the comment?  That way we know how current/old the comment’s information is?
Reply:
    @Kieun Kim Yes sir, will do....... I did not add any comments, that I know of, so was this just for informational purposes only?
Reply:
    @Scott Herbert Yup, this is in case you do add in any comments.</t>
      </text>
    </comment>
    <comment ref="K8" authorId="1" shapeId="0" xr:uid="{8017CFA2-3A0C-43FE-AEA8-EA4C8B8D2F4A}">
      <text>
        <t>[Threaded comment]
Your version of Excel allows you to read this threaded comment; however, any edits to it will get removed if the file is opened in a newer version of Excel. Learn more: https://go.microsoft.com/fwlink/?linkid=870924
Comment:
    This will be replaced by the new Lissmac machine that is undergoing the POR as of 5/30/2025.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tc={00647D3B-170F-4249-B152-2D2F5317EB9F}</author>
    <author>tc={1F438048-B30F-46C4-8E94-1F107FF02017}</author>
  </authors>
  <commentList>
    <comment ref="E1" authorId="0" shapeId="0" xr:uid="{00647D3B-170F-4249-B152-2D2F5317EB9F}">
      <text>
        <t>[Threaded comment]
Your version of Excel allows you to read this threaded comment; however, any edits to it will get removed if the file is opened in a newer version of Excel. Learn more: https://go.microsoft.com/fwlink/?linkid=870924
Comment:
    @Jose Andrade @Michael Del Valle @Matt Guner Guys, can I get your help to help fill this tab out for BLA?  If you need to pull in Maintenance please do so.</t>
      </text>
    </comment>
    <comment ref="W4" authorId="1" shapeId="0" xr:uid="{1F438048-B30F-46C4-8E94-1F107FF02017}">
      <text>
        <t>[Threaded comment]
Your version of Excel allows you to read this threaded comment; however, any edits to it will get removed if the file is opened in a newer version of Excel. Learn more: https://go.microsoft.com/fwlink/?linkid=870924
Comment:
    @Jose Andrade @Matt Guner @Michael Del Valle @Sam Cho I suggest we remove the rows for Quality as that is not part of ME’s responsibilities in keeping up with the equipment - unless there’s some Quality equipment has specifically been given to ME as our responsibility.  Also, for Shipping, is that part of ME’s responsibilities?  Let’s track only those items that are part of ME’s responsibilities.  I suggest that Jiego, Sam, Matt, and Eric meet to discuss the TP machines, Jose, Jiego, Michael meet to go over the Soap machines, Matt and Gabriel should sort out the Machine Shop equipment, and I’d like to ask Matt and Michael to meet with Tracey to go over any of the Shipping equipment (and also sort out if there’s any that ME needs to be responsible for).
Reply:
    BTW, when you add in any comments, Can you prefix you comments with the date that you made the comment?  That way we know how current/old the comment’s information is?
Reply:
    I forgot about the Maintenance equipment.  I think with Miguel out, we need to get Wayne, Gabriel, and Primo’s help on these.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tc={1241102D-C931-46A6-B5A3-95FED460BD21}</author>
    <author>tc={33105E1C-09AF-4E36-B3FE-F25C85502A52}</author>
  </authors>
  <commentList>
    <comment ref="D1" authorId="0" shapeId="0" xr:uid="{1241102D-C931-46A6-B5A3-95FED460BD21}">
      <text>
        <t>[Threaded comment]
Your version of Excel allows you to read this threaded comment; however, any edits to it will get removed if the file is opened in a newer version of Excel. Learn more: https://go.microsoft.com/fwlink/?linkid=870924
Comment:
    @Dale Kee @Dawn Hart can I get your help to get the BMC tab completely filled out?</t>
      </text>
    </comment>
    <comment ref="U4" authorId="1" shapeId="0" xr:uid="{33105E1C-09AF-4E36-B3FE-F25C85502A52}">
      <text>
        <t>[Threaded comment]
Your version of Excel allows you to read this threaded comment; however, any edits to it will get removed if the file is opened in a newer version of Excel. Learn more: https://go.microsoft.com/fwlink/?linkid=870924
Comment:
    @Dale Kee when you add in any comments, Can you prefix you comments with the date that you made the comment?  That way we know how current/old the comment’s information is?
Reply:
    @Kieun Kim will do.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tc={8DC8E504-FE7B-4A0F-AE1B-BA004F70FE67}</author>
    <author>tc={D0C31668-89E7-45FE-86CC-FFA2E671623F}</author>
    <author>tc={21B45B3A-9F53-4556-B9BC-3C710F5AC4FF}</author>
    <author>tc={179712D1-E1EF-48C6-A389-DDE4DA231B1F}</author>
  </authors>
  <commentList>
    <comment ref="Q4" authorId="0" shapeId="0" xr:uid="{8DC8E504-FE7B-4A0F-AE1B-BA004F70FE67}">
      <text>
        <t>[Threaded comment]
Your version of Excel allows you to read this threaded comment; however, any edits to it will get removed if the file is opened in a newer version of Excel. Learn more: https://go.microsoft.com/fwlink/?linkid=870924
Comment:
    @Francis Amushi Can you prefix you comments with the date that you made the comment?  That way we know how current/old the comment’s information is?</t>
      </text>
    </comment>
    <comment ref="D5" authorId="1" shapeId="0" xr:uid="{D0C31668-89E7-45FE-86CC-FFA2E671623F}">
      <text>
        <t>[Threaded comment]
Your version of Excel allows you to read this threaded comment; however, any edits to it will get removed if the file is opened in a newer version of Excel. Learn more: https://go.microsoft.com/fwlink/?linkid=870924
Comment:
    No longer in service as of Fab 2025</t>
      </text>
    </comment>
    <comment ref="D18" authorId="2" shapeId="0" xr:uid="{21B45B3A-9F53-4556-B9BC-3C710F5AC4FF}">
      <text>
        <t>[Threaded comment]
Your version of Excel allows you to read this threaded comment; however, any edits to it will get removed if the file is opened in a newer version of Excel. Learn more: https://go.microsoft.com/fwlink/?linkid=870924
Comment:
    Out of service</t>
      </text>
    </comment>
    <comment ref="A24" authorId="3" shapeId="0" xr:uid="{179712D1-E1EF-48C6-A389-DDE4DA231B1F}">
      <text>
        <t>[Threaded comment]
Your version of Excel allows you to read this threaded comment; however, any edits to it will get removed if the file is opened in a newer version of Excel. Learn more: https://go.microsoft.com/fwlink/?linkid=870924
Comment:
    No longer in service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tc={9D807804-99F9-4E70-ABCD-177A577FCF47}</author>
  </authors>
  <commentList>
    <comment ref="P4" authorId="0" shapeId="0" xr:uid="{9D807804-99F9-4E70-ABCD-177A577FCF47}">
      <text>
        <t>[Threaded comment]
Your version of Excel allows you to read this threaded comment; however, any edits to it will get removed if the file is opened in a newer version of Excel. Learn more: https://go.microsoft.com/fwlink/?linkid=870924
Comment:
    @Michael Nygard when you add any comments, Can you prefix you comments with the date that you made the comment?  That way we know how current/old the comment’s information is?
Reply:
    @Kieun Kim Ron Miller has the manufacturing supervisors each do their own department Equipment Longevity reporting.
Reply:
    @Michael Nygard Can you tell me who I should add to the access list for this doc?  They can do the analysis and pool the information together in this form.  
Reply:
    @Kieun Kim It might be best for me to check with Ron on this to see what he was thinking/planning. Problem is he is traveling this week and next.</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tc={B5CAB490-9F6E-4453-B19A-074F0D6EDCB5}</author>
  </authors>
  <commentList>
    <comment ref="Q4" authorId="0" shapeId="0" xr:uid="{B5CAB490-9F6E-4453-B19A-074F0D6EDCB5}">
      <text>
        <t>[Threaded comment]
Your version of Excel allows you to read this threaded comment; however, any edits to it will get removed if the file is opened in a newer version of Excel. Learn more: https://go.microsoft.com/fwlink/?linkid=870924
Comment:
    @Francis Amushi Can you prefix you comments with the date that you made the comment?  That way we know how current/old the comment’s information is?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tc={9C39854C-2442-4A10-8922-7404C019D4F3}</author>
  </authors>
  <commentList>
    <comment ref="O1" authorId="0" shapeId="0" xr:uid="{9C39854C-2442-4A10-8922-7404C019D4F3}">
      <text>
        <t>[Threaded comment]
Your version of Excel allows you to read this threaded comment; however, any edits to it will get removed if the file is opened in a newer version of Excel. Learn more: https://go.microsoft.com/fwlink/?linkid=870924
Comment:
    @Francis Amushi Can you prefix you comments with the date that you made the comment?  That way we know how current/old the comment’s information is?</t>
      </text>
    </comment>
  </commentList>
</comments>
</file>

<file path=xl/sharedStrings.xml><?xml version="1.0" encoding="utf-8"?>
<sst xmlns="http://schemas.openxmlformats.org/spreadsheetml/2006/main" count="9272" uniqueCount="1491">
  <si>
    <t xml:space="preserve">Machine Condition/Longevity: BWC Shipping &amp; Maintenance </t>
  </si>
  <si>
    <t>Machine</t>
  </si>
  <si>
    <t>Asset #</t>
  </si>
  <si>
    <t>Year New</t>
  </si>
  <si>
    <t>Condition</t>
  </si>
  <si>
    <t>Estimated Replacement Years</t>
  </si>
  <si>
    <t>Comments</t>
  </si>
  <si>
    <t>0-1</t>
  </si>
  <si>
    <t>1-2</t>
  </si>
  <si>
    <t>2-3</t>
  </si>
  <si>
    <t>3-4</t>
  </si>
  <si>
    <t>4-5</t>
  </si>
  <si>
    <t>5+</t>
  </si>
  <si>
    <t>Hyster Reach Truck (Shipping)</t>
  </si>
  <si>
    <t>Fair</t>
  </si>
  <si>
    <t>x</t>
  </si>
  <si>
    <t>Lantech Q300 Film Wrap Machine (Shipping)</t>
  </si>
  <si>
    <t>Excellent</t>
  </si>
  <si>
    <t>Raymond - Low Lift Pallet Truck (Shipping)</t>
  </si>
  <si>
    <t>Good</t>
  </si>
  <si>
    <t>Hyster Counter-balance Forklift (Shipping)</t>
  </si>
  <si>
    <t>GMC Savana Cargo (Maintenance)</t>
  </si>
  <si>
    <t>Low Usage</t>
  </si>
  <si>
    <t>Skyjack Sissor Lift #4626 (Maintenance)</t>
  </si>
  <si>
    <t>Crown Ride-On Pallet Truck (Shipping)</t>
  </si>
  <si>
    <t>No Asset Tag</t>
  </si>
  <si>
    <t>-</t>
  </si>
  <si>
    <t>Received From BLA in Ok Condition</t>
  </si>
  <si>
    <t>TCM Forklift M# FCB25A4 (MFG)</t>
  </si>
  <si>
    <t>Big Ass Fan Power Foil X 24 (Shipping)</t>
  </si>
  <si>
    <t>Big Ass Fan Power Foil X 36 (MFG)</t>
  </si>
  <si>
    <t>Air Compressor - Auto Sentry S (Maintenance)</t>
  </si>
  <si>
    <t>Older Unit not capable of handling the capacity of new equipment within the plant</t>
  </si>
  <si>
    <t>Air Compressor - Gardiner-Denver (Maintenance)</t>
  </si>
  <si>
    <t>Raymond - Low Lift Pallet Truck (Fab)</t>
  </si>
  <si>
    <t>Toyota Counter-balance Forklift (MFG)</t>
  </si>
  <si>
    <t>Jib Crane (Receiving)</t>
  </si>
  <si>
    <t>Total:</t>
  </si>
  <si>
    <t>Condition:</t>
  </si>
  <si>
    <t>Excellent = 8 or more years of service remaining</t>
  </si>
  <si>
    <t>Good = Low maintenance cost/reliable/quality in line with expectations (5 or more years of service remaining)</t>
  </si>
  <si>
    <t>Fair= Normal wear maintenance cost/minimal downtime/quality typically good (5 or less years of service expected)</t>
  </si>
  <si>
    <t>Poor= High maintenance cost/downtime/deteriorating quality (Consider replacment soon)</t>
  </si>
  <si>
    <t xml:space="preserve">  </t>
  </si>
  <si>
    <t>Machine Condition/Longevity: Assembly 2016</t>
  </si>
  <si>
    <t>COMMENTS</t>
  </si>
  <si>
    <t>CHICAGO BRAKE PRESS</t>
  </si>
  <si>
    <t>Poor</t>
  </si>
  <si>
    <r>
      <t xml:space="preserve">Does not meet safety (Is not currently used due to new Skirt machine)
</t>
    </r>
    <r>
      <rPr>
        <b/>
        <sz val="10"/>
        <color theme="1"/>
        <rFont val="Calibri"/>
        <family val="2"/>
        <scheme val="minor"/>
      </rPr>
      <t>*Skirt cell</t>
    </r>
  </si>
  <si>
    <t>WELD-O-MATIC WELDER</t>
  </si>
  <si>
    <r>
      <t xml:space="preserve">Has been refurbished 
</t>
    </r>
    <r>
      <rPr>
        <b/>
        <sz val="10"/>
        <color theme="1"/>
        <rFont val="Calibri"/>
        <family val="2"/>
        <scheme val="minor"/>
      </rPr>
      <t xml:space="preserve">*Supercell </t>
    </r>
  </si>
  <si>
    <t>THERMAL TIG  WELDER</t>
  </si>
  <si>
    <t>*Supercell</t>
  </si>
  <si>
    <t>*Recept Cell</t>
  </si>
  <si>
    <t xml:space="preserve">SPOT-WELDER </t>
  </si>
  <si>
    <t>RESISTANT WELD CTRL</t>
  </si>
  <si>
    <t>HELIAR &amp; EQUIP</t>
  </si>
  <si>
    <r>
      <t xml:space="preserve">Replaced with new one as needed to replace the board
</t>
    </r>
    <r>
      <rPr>
        <b/>
        <sz val="10"/>
        <color theme="1"/>
        <rFont val="Calibri"/>
        <family val="2"/>
        <scheme val="minor"/>
      </rPr>
      <t>*Skirt cell</t>
    </r>
  </si>
  <si>
    <t>WELD-O-MATIC SPOT WELDER</t>
  </si>
  <si>
    <t>SYSTEM CD WELDER -1500 115V</t>
  </si>
  <si>
    <r>
      <t xml:space="preserve">Recalibrated last year
</t>
    </r>
    <r>
      <rPr>
        <b/>
        <sz val="10"/>
        <color theme="1"/>
        <rFont val="Calibri"/>
        <family val="2"/>
        <scheme val="minor"/>
      </rPr>
      <t>*Door cell</t>
    </r>
  </si>
  <si>
    <t>50 KVA 600V ROCKER ARM</t>
  </si>
  <si>
    <t>*Large Contura</t>
  </si>
  <si>
    <t>TIG WELDR SYNCROWAVE</t>
  </si>
  <si>
    <t>PNEMATIC ROCKER WELDER</t>
  </si>
  <si>
    <t>*Small Contura</t>
  </si>
  <si>
    <t>RIVET MACHINE</t>
  </si>
  <si>
    <t>*Large &amp; Small Contura</t>
  </si>
  <si>
    <t>250 MILLER TIG SPOT WELDER</t>
  </si>
  <si>
    <t>AIR SEPERATION TECH</t>
  </si>
  <si>
    <t>*Door cell</t>
  </si>
  <si>
    <t>YASKAWA DEBUR MACH</t>
  </si>
  <si>
    <t>24/1/2012</t>
  </si>
  <si>
    <t>31/10/2006</t>
  </si>
  <si>
    <t>14/09/2002</t>
  </si>
  <si>
    <t>SKIRT MACHINE</t>
  </si>
  <si>
    <t>NA</t>
  </si>
  <si>
    <t>*Skirt Cell</t>
  </si>
  <si>
    <t>Poor= High maintenance cost/downtime/deteriorating quality (Consider replacement soon)</t>
  </si>
  <si>
    <t>Machine Condition/Longevity: Accessories - 2016</t>
  </si>
  <si>
    <t>fair</t>
  </si>
  <si>
    <t>Has been refurbished/Small Trimline</t>
  </si>
  <si>
    <t>poor</t>
  </si>
  <si>
    <t>In Spare Cell</t>
  </si>
  <si>
    <t>In 369 Cell</t>
  </si>
  <si>
    <t>In Small Trimline</t>
  </si>
  <si>
    <t>good</t>
  </si>
  <si>
    <t>A.H. SPOTWELDER</t>
  </si>
  <si>
    <t>Would have to invest $7,000+ to refurbish in order to function - Spare Cell</t>
  </si>
  <si>
    <t>MULTICYLE</t>
  </si>
  <si>
    <t>In 254 Cell</t>
  </si>
  <si>
    <t>SPOTWELDER</t>
  </si>
  <si>
    <t>In 4262 Cell</t>
  </si>
  <si>
    <t>ERY =  Estimated Replacement in Years</t>
  </si>
  <si>
    <t>Yellow colored BWC tab is for the original Longevity table developed and used by BWC</t>
  </si>
  <si>
    <t>Red colored BWC (2) tab is how I'd like to propose we set up the table so the informaiton is Pivotable.</t>
  </si>
  <si>
    <t>Note: the pivot charts and dashboards for this mockup is still a work in progress.</t>
  </si>
  <si>
    <t>Machine Condition/Longevity</t>
  </si>
  <si>
    <t>Division</t>
  </si>
  <si>
    <t>item#</t>
  </si>
  <si>
    <t>Cell/Line/Dept</t>
  </si>
  <si>
    <t>Machine and Equipment</t>
  </si>
  <si>
    <t>Equipment type</t>
  </si>
  <si>
    <t>Asset Tag #</t>
  </si>
  <si>
    <t>Service Status (in/out)</t>
  </si>
  <si>
    <t>As of (Year-Month)</t>
  </si>
  <si>
    <t>ERY: 0-1</t>
  </si>
  <si>
    <t>ERY: 1-2</t>
  </si>
  <si>
    <t>ERY: 2-3</t>
  </si>
  <si>
    <t>ERY:3-4</t>
  </si>
  <si>
    <t>ERY: 4-5</t>
  </si>
  <si>
    <t>ERY: 5+</t>
  </si>
  <si>
    <t>BGD</t>
  </si>
  <si>
    <t>Fabrication</t>
  </si>
  <si>
    <t>Brake Press/AccurPress/717512 #45</t>
  </si>
  <si>
    <t>in</t>
  </si>
  <si>
    <t>2025-04</t>
  </si>
  <si>
    <t>X</t>
  </si>
  <si>
    <t>MP-BGD-M-27-02</t>
  </si>
  <si>
    <t>Brake Press/AccurPress/7606 #44</t>
  </si>
  <si>
    <t>Brake Press/AccurPress/7608 #42</t>
  </si>
  <si>
    <t>Time saver/RAMCO/DW37R</t>
  </si>
  <si>
    <t>CNC punch press/Wiedemann/M-2044</t>
  </si>
  <si>
    <t xml:space="preserve">Not Replacing - moving to Laser/Punch </t>
  </si>
  <si>
    <t>Brake Press/Bliss  (converted to small punch press)</t>
  </si>
  <si>
    <t>1970s</t>
  </si>
  <si>
    <t>Forklift/Toyota/7FBCU35</t>
  </si>
  <si>
    <t>Forklift Weigh Scale/Lilly Company/MSI-3700</t>
  </si>
  <si>
    <t>Located on Shipping F/L (Raymond #2)</t>
  </si>
  <si>
    <t>Punch &amp; Die Tool Grinder/Hunter/BG790S</t>
  </si>
  <si>
    <t>Assembly</t>
  </si>
  <si>
    <t>Forklift/Stand-Up/Clark/NPR20</t>
  </si>
  <si>
    <t>MP-BGD-M-25-06</t>
  </si>
  <si>
    <t>n/a</t>
  </si>
  <si>
    <t>out</t>
  </si>
  <si>
    <t>Shipping</t>
  </si>
  <si>
    <t>Ceiling Fan/Big Ass Fan/PFX2.0 20'</t>
  </si>
  <si>
    <t>30 KVA Peer Rocker-Arm Welder</t>
  </si>
  <si>
    <t>MFG</t>
  </si>
  <si>
    <t>150 Ton Niagara Punch Press</t>
  </si>
  <si>
    <t>MP-BGD-M-25-12</t>
  </si>
  <si>
    <t>Die for 232-12 Robe Hook</t>
  </si>
  <si>
    <t>Brake Press/Accurpress/71008</t>
  </si>
  <si>
    <t>20 KVA Spotwelder</t>
  </si>
  <si>
    <t>Fladder AUT Deburr Machine</t>
  </si>
  <si>
    <t>Lissmac Purchased 2025</t>
  </si>
  <si>
    <t>Brake Press/Accurpress/717512 #46</t>
  </si>
  <si>
    <t>Accurshear Hydraulic Shear</t>
  </si>
  <si>
    <t>Hard Tooling for 3574/3474 Doors</t>
  </si>
  <si>
    <t>Wet Dust Collector</t>
  </si>
  <si>
    <t>20 KVA Spotwelder/Spotwelding Consultants/AR-420</t>
  </si>
  <si>
    <t>Miller Syncrowave 250 Tig Welder</t>
  </si>
  <si>
    <t>C-Gun Spotwelder.Spotwelding Consultants/EN1000</t>
  </si>
  <si>
    <t>Maintenance</t>
  </si>
  <si>
    <t>Air Conditioner Unit/Trane/4TXCC060BC3HCAA</t>
  </si>
  <si>
    <t>3574-108/3574-40 Door Die/Dienamic</t>
  </si>
  <si>
    <t>357-8 Door Die/Dienamic</t>
  </si>
  <si>
    <t>357-9 Door Die/Dienamic</t>
  </si>
  <si>
    <t>Ready Bend Tooling for Vendor Wrapper</t>
  </si>
  <si>
    <t>12.5 Ton Multicyl Press for Vendor Wrapper</t>
  </si>
  <si>
    <t>20 KVA Spotwelder/Spotwelding Consultants/1024-30</t>
  </si>
  <si>
    <t>PMU Header Die/K&amp;D Tool &amp; Die</t>
  </si>
  <si>
    <t>20 KVA Spotwelder/Spotwelding Consultants/1024-20</t>
  </si>
  <si>
    <t>Vacuum Lifter/Anver/VB9HV</t>
  </si>
  <si>
    <t>Mirrors</t>
  </si>
  <si>
    <t>XL200 Control System</t>
  </si>
  <si>
    <t>330-50 Blanking Die/Dienamic</t>
  </si>
  <si>
    <t>Tooling</t>
  </si>
  <si>
    <t>330-50 Forming Die/Dienamic</t>
  </si>
  <si>
    <t>352-17 Blanking Die/Dienamic</t>
  </si>
  <si>
    <t>Channel Frame Roll Former/Vicon Machinery/V-1035</t>
  </si>
  <si>
    <t>Un-Coiler/Press Room Equipment/CR3542</t>
  </si>
  <si>
    <t>Angle Frame Roll Former/Vicon Machinery/V-1448</t>
  </si>
  <si>
    <t>New mirror process</t>
  </si>
  <si>
    <t>ETS 3000 Control System</t>
  </si>
  <si>
    <t>Corner Grinder/GECAM 131</t>
  </si>
  <si>
    <t>Brake Press/Di-Acro/55-8 #43 (Diacro/Shadow punch press)</t>
  </si>
  <si>
    <t>Converted to punch press</t>
  </si>
  <si>
    <t>Channel Frame Die/Dienamic</t>
  </si>
  <si>
    <t>Angle Frame Die/Dienamic</t>
  </si>
  <si>
    <t>Hanger Bracket Die/Dienamic</t>
  </si>
  <si>
    <t>Master Die/Dienamic</t>
  </si>
  <si>
    <t>Autofeed Screwdriving System</t>
  </si>
  <si>
    <t>Pending new mirror process</t>
  </si>
  <si>
    <t>AC Servo Driven Roll Feed/Press Room Equipment/P20F04</t>
  </si>
  <si>
    <t>XL206CLOI Machine Controller/AMS Controls</t>
  </si>
  <si>
    <t>OS1 Custom Console/AMS Controls</t>
  </si>
  <si>
    <t>MCC Console for Level 2 System/AMS Controls</t>
  </si>
  <si>
    <t>Costa Levigatrici MD5-CC-1350</t>
  </si>
  <si>
    <t>Crane/Gorbel/GLCSL-FS-1000-23-75-12</t>
  </si>
  <si>
    <t>Vacuum Lifter/Anver/ET75M3-110-918NBR</t>
  </si>
  <si>
    <t>R/H Notch and Lance Die/Dienamic</t>
  </si>
  <si>
    <t>L/H Notch and Lance Die/Dienamic</t>
  </si>
  <si>
    <t>Center Lance Form Die/Dienamic</t>
  </si>
  <si>
    <t>Brake Press/Accurpress/710010 #56</t>
  </si>
  <si>
    <t>MP-BGD-M-26-01</t>
  </si>
  <si>
    <t>39003-112 Pan Blanking Die</t>
  </si>
  <si>
    <t>Forklift/Clark/TMX25</t>
  </si>
  <si>
    <t>s/n: TMX250-0579-9950MF</t>
  </si>
  <si>
    <t>GECAM 131 Corner Grinder</t>
  </si>
  <si>
    <t>Forklift Weigh Scale/Lilly Company MSI-3700</t>
  </si>
  <si>
    <t>Located on Fab (Clark) F/L</t>
  </si>
  <si>
    <t>293 Multicyl Machine/Diemamic</t>
  </si>
  <si>
    <t>Used with Tag #'s 11770/11771</t>
  </si>
  <si>
    <t>293 Multicyl/18" Tooling for 293 Multicyl</t>
  </si>
  <si>
    <t>Goes with Asset Tag #'s 11769</t>
  </si>
  <si>
    <t>293 Multicyl/24" Tooling for 293 Multicyl</t>
  </si>
  <si>
    <t>PMU Header Die</t>
  </si>
  <si>
    <t>Spotwelder - Small Trimline Cell</t>
  </si>
  <si>
    <t>Scissor Lift/Genie GS-2632</t>
  </si>
  <si>
    <t>Air Compressor Dryer/Nano/NRC0520</t>
  </si>
  <si>
    <t>SKIRT FORMING MACHINE</t>
  </si>
  <si>
    <t>Manitowoc Ice Machine 900lb</t>
  </si>
  <si>
    <t>Tool Die for 357-125 Wrapper</t>
  </si>
  <si>
    <t>3574-305 Tooling</t>
  </si>
  <si>
    <t>Un-Coiler/Press Room Equipment CR3542</t>
  </si>
  <si>
    <t>SYSTEM 55E TURNKEY V01</t>
  </si>
  <si>
    <t>Tile-Frame Fixture w/ Pinned Locks</t>
  </si>
  <si>
    <t>Rocker Arm Spotwelder</t>
  </si>
  <si>
    <t>Slag Hot Slat Cleaner for Trumpf Laser</t>
  </si>
  <si>
    <t>Modular Tooling BM-801 A-86 L-3325MM PART #379601</t>
  </si>
  <si>
    <t>Forklift/Heubel Raymond/4750</t>
  </si>
  <si>
    <t>Foam Packing Machine/Sealed Air/IMOLD</t>
  </si>
  <si>
    <t>LANTECH Q-300XT Stretch Wrapper</t>
  </si>
  <si>
    <t>Instasheeter Foam Cutter/Sealed Air/1001-PBZ-01</t>
  </si>
  <si>
    <t>Fintech GM 131 Corner Grinder</t>
  </si>
  <si>
    <t>Folder/Schroeder/Powerbend PBP 32/3 UD</t>
  </si>
  <si>
    <t>Grinding System</t>
  </si>
  <si>
    <t>Spotweld</t>
  </si>
  <si>
    <t>Speedy Packer</t>
  </si>
  <si>
    <t>Control System Upgrade to Control Closed Loop Roll Feed</t>
  </si>
  <si>
    <t>Pull Thru Straigntener &amp; Die Station/Press Room Equip/R1506-5R</t>
  </si>
  <si>
    <t>Press Room Equipment</t>
  </si>
  <si>
    <t>36907-15 WASTE RECEPTACLE TOOLING</t>
  </si>
  <si>
    <t>Ceiling Fan/Big Ass Fan/PFX2.0 12'</t>
  </si>
  <si>
    <t>Facility</t>
  </si>
  <si>
    <t>Rocker Arm Spotwelder/Spotweld Consultants/4647A</t>
  </si>
  <si>
    <t xml:space="preserve">Finish Line Finishing Machine </t>
  </si>
  <si>
    <t>Hangar Bracket Redesign</t>
  </si>
  <si>
    <t>BGD Return System (2)</t>
  </si>
  <si>
    <t>BGD Return System (1)</t>
  </si>
  <si>
    <t>Air compressor (Incl. dryer/tank/seperator/installation)</t>
  </si>
  <si>
    <t>Multicyl Tooling</t>
  </si>
  <si>
    <t>CTL Tooling</t>
  </si>
  <si>
    <t>Servo Cut to Length Machine</t>
  </si>
  <si>
    <t>AMS Controller</t>
  </si>
  <si>
    <t>Pressroom Equipment/AMS</t>
  </si>
  <si>
    <t>Air Compressor Dryer/Nano/DXR0500</t>
  </si>
  <si>
    <t>TBD</t>
  </si>
  <si>
    <t>Folder/Schroeder/Powerbend PBP Gen 3</t>
  </si>
  <si>
    <t>Holtec N2 Generating System</t>
  </si>
  <si>
    <t>TruMatic 6000 Lasr/Punch Combo</t>
  </si>
  <si>
    <t>Warehouse</t>
  </si>
  <si>
    <t>N/A</t>
  </si>
  <si>
    <t>MP-BGD-M-25-06 s/n: TMX250-0575-9950MF</t>
  </si>
  <si>
    <t>Forklift/Toyota/8FBE20U</t>
  </si>
  <si>
    <t>s/n: 32483</t>
  </si>
  <si>
    <t>Cell/Line/ Dept</t>
  </si>
  <si>
    <t>Category</t>
  </si>
  <si>
    <t>Location and/or Workcenter</t>
  </si>
  <si>
    <t>Type (capex/small tool)</t>
  </si>
  <si>
    <t>Serial No.</t>
  </si>
  <si>
    <t>Estimated/expected replacement cost</t>
  </si>
  <si>
    <t>Estimted Replacement Year</t>
  </si>
  <si>
    <t>BLA</t>
  </si>
  <si>
    <t>MOUNTZ TORQUE SCREWDRIVERS</t>
  </si>
  <si>
    <t>Autosoap Cell 1 &amp; 2</t>
  </si>
  <si>
    <t xml:space="preserve">Small tool </t>
  </si>
  <si>
    <t>na</t>
  </si>
  <si>
    <t>2025-06</t>
  </si>
  <si>
    <t>General</t>
  </si>
  <si>
    <t>General Maintenace Requests</t>
  </si>
  <si>
    <t>Facilities</t>
  </si>
  <si>
    <t>Led wall pack lights (Over Man Doors)</t>
  </si>
  <si>
    <t>LSI Greenlee In-Ground light fixture 13" (up lihgt)</t>
  </si>
  <si>
    <t>Pilfergard  Door alarms - ID 1354</t>
  </si>
  <si>
    <t>Machine Shop</t>
  </si>
  <si>
    <t>Equipment</t>
  </si>
  <si>
    <t>10''Compound Miter Saw  - ID 1721</t>
  </si>
  <si>
    <t>machine shop/ shop floor</t>
  </si>
  <si>
    <t>small tool</t>
  </si>
  <si>
    <t>used</t>
  </si>
  <si>
    <t>$300 - $500</t>
  </si>
  <si>
    <t>8" Digimatic Caliper, A 18018637, MS, Victor - ID 1796</t>
  </si>
  <si>
    <t>machine shop drawer/ ME Lab</t>
  </si>
  <si>
    <t>Acu-rite - ID 50/8646</t>
  </si>
  <si>
    <t>BMC</t>
  </si>
  <si>
    <t>Acu-rite lll - ID 49/7705</t>
  </si>
  <si>
    <t>machine shop/ shop floor lathe</t>
  </si>
  <si>
    <t>Belt Grinder - ID 177/0009</t>
  </si>
  <si>
    <t>Boring Head  2" to 4" - ID 1035</t>
  </si>
  <si>
    <t>Caliper 12" - ID 1043</t>
  </si>
  <si>
    <t>Caliper 24" - ID 1042</t>
  </si>
  <si>
    <t>Depth Gage Set 1" to 3 1/2" - ID 1040</t>
  </si>
  <si>
    <t>Digital caliper 1 - ID 111/03150863</t>
  </si>
  <si>
    <t>Digital Caliper 2 - ID 127/2092103</t>
  </si>
  <si>
    <t>Electrical Scriber - ID 1051</t>
  </si>
  <si>
    <t>Gages Pin Set .061" to .250" - ID 1055</t>
  </si>
  <si>
    <t>machine shop/ ME Lab</t>
  </si>
  <si>
    <t>Gages Pin Set .251" to .500" - ID 1056</t>
  </si>
  <si>
    <t>Gages Pin Set .626" to .750" - ID 1057</t>
  </si>
  <si>
    <t>Hex &amp; Square Collet Block set - ID 132</t>
  </si>
  <si>
    <t>High Precesion Stone Table - ID 1023/3258-2</t>
  </si>
  <si>
    <t>CAPEX</t>
  </si>
  <si>
    <t>Lathe, Hardinge - ID 21/7704</t>
  </si>
  <si>
    <t>HLV13841</t>
  </si>
  <si>
    <t>Machinest Parellel Clamp 2" - 3" - 4" - ID 1037</t>
  </si>
  <si>
    <t>poor/fair</t>
  </si>
  <si>
    <t>Metric Tap &amp; Die Set M3 to M12 - ID 1054</t>
  </si>
  <si>
    <t>Mill - ID 19/8429</t>
  </si>
  <si>
    <t>Mill - ID 20/5325</t>
  </si>
  <si>
    <t>Mitutoyo Vertical Caliper - ID 1022</t>
  </si>
  <si>
    <t>Outside Micrometer - ID 109</t>
  </si>
  <si>
    <t>Portable Vise Jaw - ID 1034</t>
  </si>
  <si>
    <t xml:space="preserve">no replacement needed </t>
  </si>
  <si>
    <t>Procunier Lead Screw Toppr - ID 167/7423</t>
  </si>
  <si>
    <t>Punch &amp; Die Set 1/8" to 3/4" - ID 1036</t>
  </si>
  <si>
    <t>based on McMaster punch sets</t>
  </si>
  <si>
    <t>Radios Gage Set - ID 1039</t>
  </si>
  <si>
    <t>used/fair</t>
  </si>
  <si>
    <t>Reamer Set Fraction Size 1/16" - 1/2" - ID 1032</t>
  </si>
  <si>
    <t>Reamer Set Letter size A-Z - ID 1031</t>
  </si>
  <si>
    <t>Reamer Set Number Size 1-60 - ID 1033</t>
  </si>
  <si>
    <t>Rotary Table - ID 159/0784</t>
  </si>
  <si>
    <t>maintenace rack</t>
  </si>
  <si>
    <t>Rotary Table - ID 160</t>
  </si>
  <si>
    <t>Router Tool - ID 1046</t>
  </si>
  <si>
    <t>Router Tool - ID 1047</t>
  </si>
  <si>
    <t>Sander Router - ID 1045</t>
  </si>
  <si>
    <t>Surface Grinder - ID 45/5323</t>
  </si>
  <si>
    <t>Tap &amp; Die set 0.80 NF to 10-24 NC - ID 1053</t>
  </si>
  <si>
    <t>https://www.mcmaster.com/2609A12/</t>
  </si>
  <si>
    <t>Universal Vise Combo - ID 1021</t>
  </si>
  <si>
    <t>new</t>
  </si>
  <si>
    <t>V-Blocks set - ID 1038</t>
  </si>
  <si>
    <t>Vert. Band Saw - ID 46/0023</t>
  </si>
  <si>
    <t>V-16-38199</t>
  </si>
  <si>
    <t>Vehicles</t>
  </si>
  <si>
    <t>2016 Hyundai elantra - ID 1515</t>
  </si>
  <si>
    <t>at BLA</t>
  </si>
  <si>
    <t>managed by HR</t>
  </si>
  <si>
    <t>2016 Hyundai tucson - ID 1514</t>
  </si>
  <si>
    <t>2111 2112 Scissor Lift - ID 783</t>
  </si>
  <si>
    <t>26930-XL AquaSense Battery Powered Faucet - ID 1587</t>
  </si>
  <si>
    <t>A/C Unit for Electrical room, parking structure  - ID 1384</t>
  </si>
  <si>
    <t>AC 1-1 Serving TPF 1st floor south west  - ID 1481</t>
  </si>
  <si>
    <t>used/good</t>
  </si>
  <si>
    <t>AC 1-2 Serving TPF 1st floor north west - ID 1482</t>
  </si>
  <si>
    <t>AC 1-3 Serving Assembly 1st floor  - ID 1483</t>
  </si>
  <si>
    <t>AC 1-4  Serving TPF 1st floor east   - ID 1484</t>
  </si>
  <si>
    <t>AC 2-1 Serving 2nd floor west - ID 1475</t>
  </si>
  <si>
    <t>AC 2-2 Serving 2nd floor east - ID 1476</t>
  </si>
  <si>
    <t>AC 2-3 Serving 2nd floor computer room  - ID 1477</t>
  </si>
  <si>
    <t>AC 2-4 Serving 2nd Floor back offices including HR - ID 1478</t>
  </si>
  <si>
    <t>AC 2-5 Serving 2nd floor elevator equipment - ID 1479</t>
  </si>
  <si>
    <t>AC HP-1 Serving Shipping lead /Luchroom - ID 1790</t>
  </si>
  <si>
    <t>AC M-1 Serving mezzanine  floor east  - ID 1480</t>
  </si>
  <si>
    <t>AC units on the roof - ID 1376</t>
  </si>
  <si>
    <t>Air compressor 75 HP - ID 36/10784</t>
  </si>
  <si>
    <t>ANDERSON ELEVATOR SMOKE ALARMS  - ID 1445</t>
  </si>
  <si>
    <t>Back up AC unit from Trane  - ID 2117</t>
  </si>
  <si>
    <t>Backflow device by water meter #90398396 - ID 1625</t>
  </si>
  <si>
    <t>Backup Genset  Generator  - ID 1393</t>
  </si>
  <si>
    <t>Cabinet doors all of BLA  - ID 1881</t>
  </si>
  <si>
    <t>Door alarm trasmitter - ID 1943</t>
  </si>
  <si>
    <t>DS-Oil/Water Seprator  - ID 1767</t>
  </si>
  <si>
    <t>East side skylights roof - ID 1622</t>
  </si>
  <si>
    <t>Electrical switch gear and sub panels  - ID 1986</t>
  </si>
  <si>
    <t>Emergency eye wash /shower stations - ID 1468</t>
  </si>
  <si>
    <t>Employee elevator 1 Zone 42 - ID 1466</t>
  </si>
  <si>
    <t>Exhaust Fan  # 3 - ID 1399</t>
  </si>
  <si>
    <t>Exhaust Fan # 11 - ID 1402</t>
  </si>
  <si>
    <t>Exhaust Fan # 5      1st floor Restrooms - ID 1400</t>
  </si>
  <si>
    <t>Exhaust Fan # 7  Dust Collector - ID 1401</t>
  </si>
  <si>
    <t>Exit Doors - ID 1926</t>
  </si>
  <si>
    <t>Exit Doors Level 2 - ID 1927</t>
  </si>
  <si>
    <t>Exterior and indoor windows - ID 1786</t>
  </si>
  <si>
    <t>Exterior HPS high lights - ID 1700</t>
  </si>
  <si>
    <t>Exterior Man door lights - ID 1699</t>
  </si>
  <si>
    <t>Exterior parking structure lights - ID 1701</t>
  </si>
  <si>
    <t>Exterior up lights and Ballard's - ID 1698</t>
  </si>
  <si>
    <t>Fire Alarm Panel  - ID 2133</t>
  </si>
  <si>
    <t>FRL - Filter, Regulator, Lubricator - ID 73</t>
  </si>
  <si>
    <t>Front gate Facing Tujunga street  - ID 1776</t>
  </si>
  <si>
    <t>Gardner Denver 54hp Compressor - ID 754</t>
  </si>
  <si>
    <t>Gas Unit Heater  # 1       UH1 - ID 1403</t>
  </si>
  <si>
    <t>Gas Unit Heater # 2        UH2 - ID 1404</t>
  </si>
  <si>
    <t>Gas Unit Heater # 3       UH3 - ID 1405</t>
  </si>
  <si>
    <t>Gas Unit Heater # 4        UH4 - ID 1406</t>
  </si>
  <si>
    <t>Gate by south east side of shipping - ID 1336</t>
  </si>
  <si>
    <t>???</t>
  </si>
  <si>
    <t>General Maintenance Request - ID 743</t>
  </si>
  <si>
    <t>Genie Boom Truck - ID 1197/11415</t>
  </si>
  <si>
    <t>Genie GR-15 Runabout - ID 1351/11470</t>
  </si>
  <si>
    <t>GMC Flat bed truck - ID 1452</t>
  </si>
  <si>
    <t>Hankinson Air dryer - ID 1535</t>
  </si>
  <si>
    <t>High Speed Door, Shipping/Assembly dep. - ID 1438</t>
  </si>
  <si>
    <t>High Speed Door, TPF/Assembly dep. (east) - ID 1439</t>
  </si>
  <si>
    <t>High Speed Door, TPF/Shipping    (south) - ID 1437</t>
  </si>
  <si>
    <t>High Speed Door, TPF/Yard     (west wall) - ID 1440</t>
  </si>
  <si>
    <t>Hot loop building central plant - ID 1360</t>
  </si>
  <si>
    <t>HP WH1 Serving shipping office/luchroom warehouse south off east  - ID 1485</t>
  </si>
  <si>
    <t>HP WH2 Serving QA Lab warehouse  - ID 1486</t>
  </si>
  <si>
    <t>Lift Master Rolling Gate - ID 1388</t>
  </si>
  <si>
    <t>Lift Master Swinging Gates - ID 1390</t>
  </si>
  <si>
    <t>Lunchroom Filters across from Sandy's office under sink  - ID 1594</t>
  </si>
  <si>
    <t>Magnetic floor sweeper  - ID 1704</t>
  </si>
  <si>
    <t>Main Lunchroom filters 2nd floor under sink  - ID 1595</t>
  </si>
  <si>
    <t>Maintenance elevator 2 Zone 43 - ID 1467</t>
  </si>
  <si>
    <t>Manufacturing  floor high bay dusting - ID 1787</t>
  </si>
  <si>
    <t>Mezzanine light bulbs  - ID 1918</t>
  </si>
  <si>
    <t>Office floor high bay dusting - ID 1788</t>
  </si>
  <si>
    <t>Outside  locks  exposed to the elements  - ID 1670</t>
  </si>
  <si>
    <t>Parking structure elevator  - ID 1465</t>
  </si>
  <si>
    <t>Platform Lift (Hunterlift) - ID 11/8392</t>
  </si>
  <si>
    <t>Roof condensation drains - ID 1448</t>
  </si>
  <si>
    <t>Roof Drains - ID 1447</t>
  </si>
  <si>
    <t>Scissor Lift, Optimus LK, 2111/2112 Line  - ID 762</t>
  </si>
  <si>
    <t>Scotsman ice maker  Executive lunchroom  - ID 1608</t>
  </si>
  <si>
    <t>Scotsman ice maker  Shipping lunchroom - ID 1607</t>
  </si>
  <si>
    <t>Scotsman ice maker Main lunchroom 2nd floor - ID 1609</t>
  </si>
  <si>
    <t>Semaphore unit  #1 - ID 1441</t>
  </si>
  <si>
    <t>Semaphore unit # 2 - ID 1442</t>
  </si>
  <si>
    <t>Semaphore unit #3 - ID 1443</t>
  </si>
  <si>
    <t>Semaphore unit #4 - ID 1444</t>
  </si>
  <si>
    <t>Shipping dock elevator  - ID 1470</t>
  </si>
  <si>
    <t>Shipping Lunchroom Filter Under sink  - ID 1593</t>
  </si>
  <si>
    <t>Smart grid 225 Solar System - ID 1396</t>
  </si>
  <si>
    <t>Solar panels  - ID 1802</t>
  </si>
  <si>
    <t>South wall Fire riser system  #1 controls 1 st floor office  - ID 1521</t>
  </si>
  <si>
    <t>South wall Fire riser system  #1 controls mezzanine level offices - ID 1522</t>
  </si>
  <si>
    <t>South wall Fire riser system  #1 controls warehouse &amp; level 2 offices - ID 1523</t>
  </si>
  <si>
    <t>Storm drain Location near Dust colletor  - ID 1620</t>
  </si>
  <si>
    <t>Storm drain Location south east next to shipping elevator  - ID 1619</t>
  </si>
  <si>
    <t>Storm drain location South west shipping Exit - ID 1618</t>
  </si>
  <si>
    <t>Terrazzo Floor  - ID 1785</t>
  </si>
  <si>
    <t>test* - ID 1963</t>
  </si>
  <si>
    <t>Toilets all floors  - ID 1976</t>
  </si>
  <si>
    <t>Truck, Pick-Up - ID 7/7332</t>
  </si>
  <si>
    <t>Tujunga Rolling Doors - ID 1389</t>
  </si>
  <si>
    <t>Umbrellas 2nd floor Patio - ID 1449</t>
  </si>
  <si>
    <t>Urinals HYB-7000 - ID 1615</t>
  </si>
  <si>
    <t>Warehouse Exhaust Fan  # 1 - ID 1397</t>
  </si>
  <si>
    <t>Warehouse Exhaust Fan # 2   - ID 1398</t>
  </si>
  <si>
    <t>Water faucets outside the restrooms 1 and 2nd floors  - ID 1882</t>
  </si>
  <si>
    <t>Water pressure to the building Bobrick 6901 Tujunga ave North hollywood Ca  - ID 1920</t>
  </si>
  <si>
    <t>West wall Fire riser system  #2 controls Assembly area  - ID 1525</t>
  </si>
  <si>
    <t>West wall Fire riser system  #2 controls level 2 - ID 1526</t>
  </si>
  <si>
    <t>West wall Fire riser system  #2 controls manufacturing &amp; mezzanine level - ID 1524</t>
  </si>
  <si>
    <t>Soap Dispenser Assembly</t>
  </si>
  <si>
    <t>AB Control Bottom Tester - ID 2099</t>
  </si>
  <si>
    <t>Autosoap 2nd Cell</t>
  </si>
  <si>
    <t xml:space="preserve">CAPEX </t>
  </si>
  <si>
    <t>AB Control Top Tester - ID 2100</t>
  </si>
  <si>
    <t>Manufacturing Engineering</t>
  </si>
  <si>
    <t>Assembly Machine 2111/12 - ID 120/10885 Mark 1 @ APT</t>
  </si>
  <si>
    <t>At supplier Location (APT, in Pacoima, CA)</t>
  </si>
  <si>
    <t>OUT</t>
  </si>
  <si>
    <t>Assembly Machine 2111/12 -  Mark2 @ APT</t>
  </si>
  <si>
    <t>Assembly Machine 2111/12 -   Mark 3 @ APT</t>
  </si>
  <si>
    <t>Assembly Machine 2111/2112 Mark 3.1 @ BLA</t>
  </si>
  <si>
    <t>Digital Caliper 2 - ID 112/32450</t>
  </si>
  <si>
    <t xml:space="preserve">M.E Lab </t>
  </si>
  <si>
    <t>ME Support Request - ID 137/12345</t>
  </si>
  <si>
    <t>Mini air compressor - ID 1804</t>
  </si>
  <si>
    <t>c2002</t>
  </si>
  <si>
    <t>2018-12</t>
  </si>
  <si>
    <t>Quality Assurance</t>
  </si>
  <si>
    <t>1" Micrometer, 27085352, Machine Shop - ID 836</t>
  </si>
  <si>
    <t>1" Micrometer, 7115132, Machine Shop - ID 1153</t>
  </si>
  <si>
    <t>1" Micrometer, 80047, QA - ID 1141</t>
  </si>
  <si>
    <t>1080 Drill Diameter Gages Go NoGo - ID 1512/Drawing #?</t>
  </si>
  <si>
    <t>12" Dial Caliper, MM 84, QA - ID 1117</t>
  </si>
  <si>
    <t>18" Digital Height Gage, 1409748, QA (CMS Recall) - ID 1214</t>
  </si>
  <si>
    <t>24" Dial Caliper, 3-18.3197, Machine Shop - ID 839</t>
  </si>
  <si>
    <t>3" Machinist Square, 0157, QA - ID 1118</t>
  </si>
  <si>
    <t>36" Adjustable bar w/6" Dial Calipers, 4088, QA - ID 1063</t>
  </si>
  <si>
    <t>38030 Cell - ID 1210</t>
  </si>
  <si>
    <t>4" Machinist Square, 0158, QA - ID 1119</t>
  </si>
  <si>
    <t>6" Dial Caliper, BB054225, TPF - ID 838</t>
  </si>
  <si>
    <t>6" Digimatic Caliper, 06172566, Steve - ID 1116</t>
  </si>
  <si>
    <t>6" Digimatic Caliper, 06488259, QA - ID 1142</t>
  </si>
  <si>
    <t>6" Digital Caliper, 0082301, QA - ID 1064</t>
  </si>
  <si>
    <t>6" Digital Caliper, 0082354, QA - ID 1143</t>
  </si>
  <si>
    <t>6" Digital Caliper, 06172539, Carmen - ID 1065</t>
  </si>
  <si>
    <t>6" Digital Caliper, 0742780, QA, Alex - ID 1066</t>
  </si>
  <si>
    <t>6" Digital Caliper, 12345580, QA - ID 837</t>
  </si>
  <si>
    <t>6" Machinist Square, 0159, QA - ID 1120</t>
  </si>
  <si>
    <t>8" Digimatic Caliper, 03320488, QA - ID 827</t>
  </si>
  <si>
    <t>8" Digital Caliper, 0171370, M.E. Matt Guner - ID 1152</t>
  </si>
  <si>
    <t>8" Digital Caliper, 0189152, M.E. Primo Uy - ID 826</t>
  </si>
  <si>
    <t>Angle Iron Set, 15327, QA (CMS Recall) - ID 1346</t>
  </si>
  <si>
    <t>Auto Soap Boundary Board - ID 2060</t>
  </si>
  <si>
    <t>Boundary Board, Assembly, 150 brackets - ID 76</t>
  </si>
  <si>
    <t>Boundary Board, Assembly, 5050 / 5090 Vessels - ID 77</t>
  </si>
  <si>
    <t>Boundary Board, Assembly, NT Vendor Bezels - ID 1090</t>
  </si>
  <si>
    <t>Boundary Board, Center Bend Tooling Marks, QA - ID 1591</t>
  </si>
  <si>
    <t>Boundary Board, Corner Weld, QA - ID 1375</t>
  </si>
  <si>
    <t>Boundary Board, Flange Welding, QA - ID 1664</t>
  </si>
  <si>
    <t>Boundary Board, Grab Bar Bending Tooling Marks, QA - ID 1878</t>
  </si>
  <si>
    <t>Boundary Board, Grab Bar Welding - ID 1218</t>
  </si>
  <si>
    <t>Boundary Board, Miter Weld - ID 1374</t>
  </si>
  <si>
    <t>Boundary Board, Soap Dispenser Assembly, 2111/2112 window &amp; cans - ID 84</t>
  </si>
  <si>
    <t>Boundary Board, Soap Dispenser Assembly, 40 Vessel - ID 83</t>
  </si>
  <si>
    <t>Boundary Board, Soap Dispenser Assembly, 4112 can - ID 86</t>
  </si>
  <si>
    <t>Boundary Board, Soap Dispensers, 822  - ID 1089</t>
  </si>
  <si>
    <t>Boundary Board, TPF, 1080/1090 Bevel - ID 1030</t>
  </si>
  <si>
    <t>Boundary Board, TPF, 1080/1090 Edge Finish - ID 1029</t>
  </si>
  <si>
    <t>Boundary Board, TPF, 1080/1090 Inserts - ID 1027</t>
  </si>
  <si>
    <t>Boundary Board, TPF, 1540 /1040 Edge Finisher - ID 87</t>
  </si>
  <si>
    <t>Boundary Board, TPF, 1540 Door Notcher - ID 80</t>
  </si>
  <si>
    <t>Boundary Board, TPF, Edge Bander - ID 78</t>
  </si>
  <si>
    <t>Boundary Board, TPF, Sierra Material Defects - ID 1028</t>
  </si>
  <si>
    <t>Boundary Board, Weld Spatter, QA - ID 1592</t>
  </si>
  <si>
    <t>Caliper Checker, 529, QA (CMS Recall) - ID 1349</t>
  </si>
  <si>
    <t>Dial Indicator, B112138, QA  - ID 1216</t>
  </si>
  <si>
    <t>Dial Indicator, B147449, QA  - ID 1217</t>
  </si>
  <si>
    <t>Digital Force Gage, 3709, QA (CMS Recall) - ID 1134</t>
  </si>
  <si>
    <t>Digital Force Gage, W08848, QA (CMS Recall) - ID 1529</t>
  </si>
  <si>
    <t>Digital Force Gauge, 3784067 - ID 2083</t>
  </si>
  <si>
    <t>Digital Micrometer, 6194113, QA (CMS Recall) - ID 1344</t>
  </si>
  <si>
    <t>Digital PSI gauge , 9228301003 - ID 2082</t>
  </si>
  <si>
    <t>Drill Fixture, 1040 Drill Machine L (S), Sample from Machine - ID 1161</t>
  </si>
  <si>
    <t>HPL Cell</t>
  </si>
  <si>
    <t>Drill Fixture, 1040 Drill Machine R (S), Sample from Machine - ID 1149</t>
  </si>
  <si>
    <t>Drill Fixture, 1040159, Outswing Stile/WP Hinge-Floor Anchored Plam - ID 1205</t>
  </si>
  <si>
    <t>DJ-UH001</t>
  </si>
  <si>
    <t>Toilet Partitions Factory</t>
  </si>
  <si>
    <t>Drill Fixture, 1040622, Inswing Door Latch-Plam - ID 835</t>
  </si>
  <si>
    <t>DJ-UL002-3</t>
  </si>
  <si>
    <t>Out</t>
  </si>
  <si>
    <t>Drill Fixture, 1040632, Outswing Door Latch-Plam - ID 1168</t>
  </si>
  <si>
    <t>DJ-UH017-1</t>
  </si>
  <si>
    <t>Drill Fixture, 1047206, Inswing Stile Hinge-C. Hung Plam  - ID 807</t>
  </si>
  <si>
    <t>DJ-UH005-1</t>
  </si>
  <si>
    <t>Drill Fixture, 1047930, Outswing Stile Hinge-C. Hung Plam - ID 1062</t>
  </si>
  <si>
    <t>DJ-UH003-1</t>
  </si>
  <si>
    <t>Drill Fixture, 1080 Drill Machine RH O/S Door, Sample from Machine - ID 1330</t>
  </si>
  <si>
    <t>Drill Fixture, 1080622, Door Hinge-Phenolic - ID 1164</t>
  </si>
  <si>
    <t>Drill Fixture, 1080632, Outswing Door Latch-Phenolic - ID 1203</t>
  </si>
  <si>
    <t>DJ-UH007-1</t>
  </si>
  <si>
    <t>Drill Fixture, 1087007, Stile Hinge-C. Hung Phenolic - ID 1150</t>
  </si>
  <si>
    <t>DJ-UH011-1</t>
  </si>
  <si>
    <t xml:space="preserve">Fair </t>
  </si>
  <si>
    <t>Drill Fixture, 1542003, 1542 Drill Jig T-1542004 - ID 808</t>
  </si>
  <si>
    <t>Drill Fixture, 2080622, Door Hinge Max Privacy (2040/2080) - ID 828</t>
  </si>
  <si>
    <t>DJ-UH012-1</t>
  </si>
  <si>
    <t>Drill Fixture, 2080622, Inswing Door Latch-Max Privacy (2040/2080) - ID 1187</t>
  </si>
  <si>
    <t>Drill Fixture, 2080632, Outswing Door Latch-Max Privacy (2040/2080) - ID 1189</t>
  </si>
  <si>
    <t xml:space="preserve">In </t>
  </si>
  <si>
    <t>Drill Fixture, 2082006, Stile/WP Hinge-Max Privacy OH/FA (2080/2040) - ID 1151</t>
  </si>
  <si>
    <t>DJ-UH021-1</t>
  </si>
  <si>
    <t>Drill Fixture, 2088007, Stile Hinge-Max Privacy C. Hung (2040/2080) - ID 1075</t>
  </si>
  <si>
    <t>DJ-UH016-1</t>
  </si>
  <si>
    <t>Drill Fixture, T1002246, Tube Wall Post 1080 Series - ID 821</t>
  </si>
  <si>
    <t>Drill Fixture, T1002347, .67 Wall Post - ID 1026</t>
  </si>
  <si>
    <t>Drill Fixture, T-1540003, 3" Stile Leveling Device-1540 - ID 1126</t>
  </si>
  <si>
    <t>TPT-HPL-1040-3</t>
  </si>
  <si>
    <t>Drill Fixture, T-1540004, 4" Stile Leveling Device-1540 - ID 1128</t>
  </si>
  <si>
    <t>TPT-HPL-1040-4</t>
  </si>
  <si>
    <t>Drill Fixture, T-1541-1548-5, 5" Stile-Leveling Device-1540 - ID 844</t>
  </si>
  <si>
    <t>T-1541-1548-5</t>
  </si>
  <si>
    <t>Drill Fixture, T-1542003-1, Drill Jig (Stile) - ID 1158</t>
  </si>
  <si>
    <t>2024-08</t>
  </si>
  <si>
    <t>EZ Torq II 150i Torque Analyzer, EZ1705007, QA  - ID 1945</t>
  </si>
  <si>
    <t>Department Tools</t>
  </si>
  <si>
    <t>Should be replaced: $3,100 spend
EZ-TorQ III 50i Torque Analyzer
Item #: 070811
5 - 50 lbf.in</t>
  </si>
  <si>
    <t>EZ Torq II Torque Analyzer, EZ1410017, QA (CMS Recall) - ID 1628</t>
  </si>
  <si>
    <t>EZ-TorQ III 3i Torque Analyzer
Item #: 070621
$3,100
0.3 - 3 lbf.in</t>
  </si>
  <si>
    <t>Function Gage, T-4112-7 AC 2, Adams Campbell - ID 1196</t>
  </si>
  <si>
    <t>At Vendor</t>
  </si>
  <si>
    <t>Function Gage, T-4112-7 AC 3, Adams Campbell - ID 1212</t>
  </si>
  <si>
    <t>Function Gage, T-4112-7 BLA 1, QA - ID 1190</t>
  </si>
  <si>
    <t>Function Gage, T-4112-7 BLA 2, 4112 Line - ID 1192</t>
  </si>
  <si>
    <t>Function Gage, T-4112-7 LX I, PPM - ID 1191</t>
  </si>
  <si>
    <t>Function Gage, T-4112-7 LX II, PPM - ID 1193</t>
  </si>
  <si>
    <t>Function Gage, T-4112-7 LX III, PPM - ID 1195</t>
  </si>
  <si>
    <t>Gage Block Set, 63845, QA - ID 1130</t>
  </si>
  <si>
    <t>ME</t>
  </si>
  <si>
    <t>General request  - ID 1491</t>
  </si>
  <si>
    <t>Micrometer Checker, 10468, QA (CMS Recall) - ID 1348</t>
  </si>
  <si>
    <t>Optical Comparator, 313118550, QA - ID 1207</t>
  </si>
  <si>
    <t>Parallel Set, 1/2"x1"x6" A &amp; B, QA - ID 1136</t>
  </si>
  <si>
    <t>Parallel Set, 1/2"x1-1/2"x6" A &amp; B, QA - ID 1140</t>
  </si>
  <si>
    <t>Parallel Set, 1/2"x1-1/4"x6" A &amp; B, QA - ID 1138</t>
  </si>
  <si>
    <t>Parallel Set, 1/2"x1-1/8"x6" A &amp; B, QA - ID 1137</t>
  </si>
  <si>
    <t>Parallel Set, 1/2"x1-3/4"x6" A &amp; B, QA - ID 1155</t>
  </si>
  <si>
    <t>Parallel Set, 1/2"x1-3/8"x6" A &amp; B, QA - ID 1139</t>
  </si>
  <si>
    <t>Parallel Set, 1/2"x1-5/8"x6" A &amp; B, QA - ID 1154</t>
  </si>
  <si>
    <t>Parallel Set, 1/2"x7/8"x6" A &amp; B, QA - ID 1135</t>
  </si>
  <si>
    <t>Pin Gage Set, 15447, QA  - ID 1157</t>
  </si>
  <si>
    <t>Pin Gage Set, B001, QA  - ID 1156</t>
  </si>
  <si>
    <t>Pin Gage Set, B002, QA  (CMS Recall) - ID 1131</t>
  </si>
  <si>
    <t>Pin Gage Set, B003, QA (CMS Recall) - ID 1132</t>
  </si>
  <si>
    <t>Pin Gage Set, B004, QA (CMS Recall) - ID 1133</t>
  </si>
  <si>
    <t>Pin Gage Set, B005, QA - ID 1215</t>
  </si>
  <si>
    <t>Radius Gage Set, 15324, QA (CMS Recall) - ID 1347</t>
  </si>
  <si>
    <t>Sample Board, Burr, All Products - ID 1093</t>
  </si>
  <si>
    <t>Sample Board, Dent, All Products - ID 1094</t>
  </si>
  <si>
    <t>Sample Board, Scratch, All Products - ID 1091</t>
  </si>
  <si>
    <t>Sample Board, Weld, All Products, QA - ID 1092</t>
  </si>
  <si>
    <t>Surface Plate 36x48, PQ-51-14, QA (CMS Recall) - ID 1213</t>
  </si>
  <si>
    <t>Torque Wrench, 5200 - ID 1345</t>
  </si>
  <si>
    <t>#12 Crown electric rider - ID 1357</t>
  </si>
  <si>
    <t>#13 Crown Electric Rider - ID 1165</t>
  </si>
  <si>
    <t>#20 Jungheinrich ETV 318 Hi Reach Forklift - ID 1167/11409</t>
  </si>
  <si>
    <t>#21 Jungheinrich  VNA Forklift - ID 1170/11403</t>
  </si>
  <si>
    <t>#22 Jungheinrich  VNA Forklift - ID 1169/11404</t>
  </si>
  <si>
    <t>ACT C48 Lift Battery Charger for Jungheinrich Hi-Reach Forklift - ID 1171</t>
  </si>
  <si>
    <t>ACT C80 Battery Charger for Jungheinrich VNA Forklift - ID 1172</t>
  </si>
  <si>
    <t>ACT C80 Battery Charger for Jungheinrich VNA Forklift - ID 1173</t>
  </si>
  <si>
    <t>Dock ramps - ID 2025</t>
  </si>
  <si>
    <t>Forklift T 1 - ID 30</t>
  </si>
  <si>
    <t>General request  - ID 1490</t>
  </si>
  <si>
    <t>Merv filters 13 12x24x1 - ID 1528</t>
  </si>
  <si>
    <t>Merv Filters 13 24 x24 x1 - ID 1527</t>
  </si>
  <si>
    <t>Shrink Wrap Machine with Integrated Scale - ID 1211/11433</t>
  </si>
  <si>
    <t>Stacker # 10 - ID 182</t>
  </si>
  <si>
    <t>Stacker # 14 - ID 34</t>
  </si>
  <si>
    <t>Stacker # 18 - ID 32</t>
  </si>
  <si>
    <t>Stacker 23 - ID 1925</t>
  </si>
  <si>
    <t>Stacker 24</t>
  </si>
  <si>
    <t>Stacker, Electric R-9 - ID 180</t>
  </si>
  <si>
    <t>002156LR ASG Torque Driver - ID 172</t>
  </si>
  <si>
    <t xml:space="preserve">Autosoap Cell </t>
  </si>
  <si>
    <t>002156LR</t>
  </si>
  <si>
    <t>1205586LR ASG Torque Driver - ID 797</t>
  </si>
  <si>
    <t>1205586LR</t>
  </si>
  <si>
    <t>12085586LR ASG Torque Driver - ID 798</t>
  </si>
  <si>
    <t>12085586LR</t>
  </si>
  <si>
    <t>14PCA05Q Cleco Torque Driver - ID 1079</t>
  </si>
  <si>
    <t>Spares</t>
  </si>
  <si>
    <t>UJ2754</t>
  </si>
  <si>
    <t>369 / 362 Towel Mate Assembly - ID 926</t>
  </si>
  <si>
    <t>Line 12</t>
  </si>
  <si>
    <t>3944 Towel Mate Fixture - ID 925</t>
  </si>
  <si>
    <t>4059809 ARO Torque Driver - ID 103</t>
  </si>
  <si>
    <t>Line 5</t>
  </si>
  <si>
    <t>4061909 ARO Torque Driver - ID 104</t>
  </si>
  <si>
    <t>4112 Glue Machine - ID 18</t>
  </si>
  <si>
    <t>4112 Lid Opener - ID 1337</t>
  </si>
  <si>
    <t>4112 Pump Testing Machine - ID 16</t>
  </si>
  <si>
    <t>4112 valve assembly and test station - ID 1359</t>
  </si>
  <si>
    <t>Line 7</t>
  </si>
  <si>
    <t>43889 Aro Torque Driver - ID 124</t>
  </si>
  <si>
    <t>Line 7 2111</t>
  </si>
  <si>
    <t>7136A85 AERO Torque Driver - ID 802</t>
  </si>
  <si>
    <t>Line 6 155/156</t>
  </si>
  <si>
    <t>7136A85</t>
  </si>
  <si>
    <t>740003L1 ASG Torque Driver - ID 174</t>
  </si>
  <si>
    <t>822 Cell 1 U-Pack Fixture - ID 1208</t>
  </si>
  <si>
    <t>Cell 1</t>
  </si>
  <si>
    <t>822 Family cell 2 U-Pack Fuxture - ID 1209</t>
  </si>
  <si>
    <t>Cell 2</t>
  </si>
  <si>
    <t xml:space="preserve">Should be classified as CAPEX if PLC logic is req'd </t>
  </si>
  <si>
    <t>822 Guide Key Fixture - Cell 1 - ID 143</t>
  </si>
  <si>
    <t>822 Guide Key Fixture-Cell2 - ID 142</t>
  </si>
  <si>
    <t>822 Spout Assembly Machine #1 - ID 14</t>
  </si>
  <si>
    <t>1995-05</t>
  </si>
  <si>
    <t>822 Spout Assembly Machine #2 - ID 67</t>
  </si>
  <si>
    <t>2022-07</t>
  </si>
  <si>
    <t>89775 Cleco Torque Driver - ID 833</t>
  </si>
  <si>
    <t>Line 6 4063/306</t>
  </si>
  <si>
    <t>Assembly Fixture, Hinge #15 - ID 162</t>
  </si>
  <si>
    <t>Auto Soap Under Counter Assembly Tester 2 - ID 1504</t>
  </si>
  <si>
    <t>Autobag # 2 - ID 56/8553</t>
  </si>
  <si>
    <t>56/8553</t>
  </si>
  <si>
    <t>Autobag AB145 #3 - ID 168/11331</t>
  </si>
  <si>
    <t>168/11331</t>
  </si>
  <si>
    <t>Autobag, Table Top Line 8 - ID 153/4567</t>
  </si>
  <si>
    <t>N/a</t>
  </si>
  <si>
    <t>153/4567</t>
  </si>
  <si>
    <t>Autosoap Branko Tester - ID 2079</t>
  </si>
  <si>
    <t>Auto-Soap Large Tube Expander - ID 1410</t>
  </si>
  <si>
    <t>Auto-Soap Small Air Tube Expander - ID 1408</t>
  </si>
  <si>
    <t>B -40 U-PACK FIXTURE - ID 148</t>
  </si>
  <si>
    <t>Line 4</t>
  </si>
  <si>
    <t>B-40 Lift Table - ID 1061</t>
  </si>
  <si>
    <t>B-40 Screw Drill  - ID 1789</t>
  </si>
  <si>
    <t>B-40 Tester - ID 17</t>
  </si>
  <si>
    <t>B-4112 Epoxy Thawing Chamber - ID 1687</t>
  </si>
  <si>
    <t>B-5050 Tester - ID 773</t>
  </si>
  <si>
    <t>B-822 Tester - Cell 1 (3 nests) - ID 100</t>
  </si>
  <si>
    <t>2005-02</t>
  </si>
  <si>
    <t>B-823 Pump Assembly Tester - ID 1616/11474</t>
  </si>
  <si>
    <t xml:space="preserve">  1616/11474</t>
  </si>
  <si>
    <t>B-824 \ Sta 4 \ Mixer Tester - ID 794 (Branko)</t>
  </si>
  <si>
    <t>B-824 bottle leak tester - ID 1846</t>
  </si>
  <si>
    <t>Cartoner, 822, Econoseal E-System 2000 #1 - ID 101/10823</t>
  </si>
  <si>
    <t>2004-10</t>
  </si>
  <si>
    <t>Cartoner, 822, Econoseal E-System 2000 #2 - ID 114/8415</t>
  </si>
  <si>
    <t>2006-10</t>
  </si>
  <si>
    <t>Case Sealer, 3M-Matic, 8226 Cell 2 - ID 765</t>
  </si>
  <si>
    <t>Cell 1 Tube Expander - ID 1373</t>
  </si>
  <si>
    <t>Cell 1 Tube Notcher - ID 1394</t>
  </si>
  <si>
    <t>Cell 2 B-822 Pump Functional Tester - ID 1780/11644</t>
  </si>
  <si>
    <t>2018-09</t>
  </si>
  <si>
    <t>Cell 2 Tube Exander - ID 1387</t>
  </si>
  <si>
    <t>2018-03</t>
  </si>
  <si>
    <t>Cell 2 Tube Notcher - ID 1395</t>
  </si>
  <si>
    <t>Cell 3 Latch Installation Press - ID 1377</t>
  </si>
  <si>
    <t>Line 3</t>
  </si>
  <si>
    <t>2016-04</t>
  </si>
  <si>
    <t>Cell 3 Ophardt Pump Tester - ID 1391</t>
  </si>
  <si>
    <t>Cell 3 O-Ring Press - ID 1367</t>
  </si>
  <si>
    <t>Cell 3</t>
  </si>
  <si>
    <t>2016-02</t>
  </si>
  <si>
    <t>Cell 3 Shell Bender Torque Driver - ID 1454</t>
  </si>
  <si>
    <t>Cell 3 Spout Assembly Torque Driver - ID 1370</t>
  </si>
  <si>
    <t>2016-01</t>
  </si>
  <si>
    <t>Cell 3 Tape Machine - ID 1368</t>
  </si>
  <si>
    <t>Cell 3 Tube Exander - ID 1366</t>
  </si>
  <si>
    <t>DBH tester - ID 1924</t>
  </si>
  <si>
    <t>2019-04</t>
  </si>
  <si>
    <t>Drill Press Bench Type - ID 24/7927</t>
  </si>
  <si>
    <t>24/7927</t>
  </si>
  <si>
    <t>Drill Press Bench Type - ID 25/7928</t>
  </si>
  <si>
    <t>25/7928</t>
  </si>
  <si>
    <t>Dunk Tester 4112 - ID 134/11269</t>
  </si>
  <si>
    <t>134/11269</t>
  </si>
  <si>
    <t>New Dunk test #1 (4112)</t>
  </si>
  <si>
    <t>New Dunk Test#2 (2111/2112)</t>
  </si>
  <si>
    <t>FRL - Filter, Regulator, Lubricator - ID 69</t>
  </si>
  <si>
    <t>FRL - Filter, Regulator, Lubricator - ID 70</t>
  </si>
  <si>
    <t xml:space="preserve">fair </t>
  </si>
  <si>
    <t>General Request  - ID 1921</t>
  </si>
  <si>
    <t>Hot Stamping Machine B-40 - ID 136/10043</t>
  </si>
  <si>
    <t>Behind Line 4</t>
  </si>
  <si>
    <t xml:space="preserve"> 136/10043</t>
  </si>
  <si>
    <t>Label Printer - ID 98/10589</t>
  </si>
  <si>
    <t xml:space="preserve"> 98/10589</t>
  </si>
  <si>
    <t>1999-07</t>
  </si>
  <si>
    <t>Latch assy fixture - ID 147</t>
  </si>
  <si>
    <t>Line # 12 Documentation - ID 91</t>
  </si>
  <si>
    <t>Line12</t>
  </si>
  <si>
    <t>B-5050, B-5090</t>
  </si>
  <si>
    <t>Line 13 Documentation - ID 92</t>
  </si>
  <si>
    <t>B3500-214</t>
  </si>
  <si>
    <t>Line 6 Documentation - ID 88</t>
  </si>
  <si>
    <t>Line 6</t>
  </si>
  <si>
    <t>B-306, B4063, B-2041</t>
  </si>
  <si>
    <t>Line# 15 Documentation - ID 93</t>
  </si>
  <si>
    <t>1002330, 1002331</t>
  </si>
  <si>
    <t>Line# 30 Documentation - ID 94</t>
  </si>
  <si>
    <t>38033, 282-213, 330-350</t>
  </si>
  <si>
    <t>Line# 40 Documentation - ID 95</t>
  </si>
  <si>
    <t>2111-10, 4063-220, 306-124, 1002250</t>
  </si>
  <si>
    <t>Line# 8 Documentation - ID 89</t>
  </si>
  <si>
    <t>190-20, 1002022, 830-141</t>
  </si>
  <si>
    <t>Line# 9 Documentation - ID 90</t>
  </si>
  <si>
    <t>1002215, 4112-23, 3944-118, B-2116</t>
  </si>
  <si>
    <t>Loctite Machine Cell1 - ID 115</t>
  </si>
  <si>
    <t>Loctite Machine Cell2 - ID 116</t>
  </si>
  <si>
    <t>N-16828 Cleco Torque Driver - ID 123</t>
  </si>
  <si>
    <t>N-16828</t>
  </si>
  <si>
    <t>NT Vendor Sta 4, and 5  Milwaukee Torque Driver - ID 796</t>
  </si>
  <si>
    <t>13A010200143</t>
  </si>
  <si>
    <t>NT vendor station 6 cleco torque driver  S/N YG2675 - ID 1455</t>
  </si>
  <si>
    <t>NT vendor station 8 cleco torque driver S/N ZJ8691 - ID 1456</t>
  </si>
  <si>
    <t>ZJ8691</t>
  </si>
  <si>
    <t xml:space="preserve">poor </t>
  </si>
  <si>
    <t>Oven, 4112, Hot Room W/7 Days Tm Ctl - ID 99</t>
  </si>
  <si>
    <t>Printer, Label, Zebra - ID 138</t>
  </si>
  <si>
    <t>Material Handlers Desk</t>
  </si>
  <si>
    <t>RF0015 Clecomatic Torque Driver - ID 834</t>
  </si>
  <si>
    <t>RF0015</t>
  </si>
  <si>
    <t>Rivet Machine - ID 53</t>
  </si>
  <si>
    <t>Sample Book: 822 shells and escutcheons - ID 82</t>
  </si>
  <si>
    <t>Scissor Lift / Auto-Soap - ID 1204</t>
  </si>
  <si>
    <t>SN 9680114 Cell 30 Hi-Pot Tester - ID 2075</t>
  </si>
  <si>
    <t>Line 30</t>
  </si>
  <si>
    <t>SN 9680990 CEll 30 Hi-Pot Tester - ID 1577</t>
  </si>
  <si>
    <t>SO-LOW freezer - ID 1659</t>
  </si>
  <si>
    <t>Stapler Machine - Bostitch Textion - ID 97/4945</t>
  </si>
  <si>
    <t>97/4945</t>
  </si>
  <si>
    <t>Stapler Machine - ID 54/5353</t>
  </si>
  <si>
    <t>FC9SECAM</t>
  </si>
  <si>
    <t>54/5353</t>
  </si>
  <si>
    <t>Stapler, Electric Box Bottoming 1 - ID 106/10845</t>
  </si>
  <si>
    <t>FC95EC</t>
  </si>
  <si>
    <t>106/10845</t>
  </si>
  <si>
    <t>2006-05</t>
  </si>
  <si>
    <t>Stapler, Electric Box Bottoming 2 - ID 108/10847</t>
  </si>
  <si>
    <t>108/10847</t>
  </si>
  <si>
    <t>Stapler, Pneumatic - ID 68</t>
  </si>
  <si>
    <t>Stem Assembly Press - ID 789</t>
  </si>
  <si>
    <t>Tester, 822 Cell 2 - ID 118</t>
  </si>
  <si>
    <t>Tester, 824, No Touch SD, Top Assy - ID 185/98</t>
  </si>
  <si>
    <t>185/98</t>
  </si>
  <si>
    <t>Torque Driver - ID 800</t>
  </si>
  <si>
    <t>YE2747</t>
  </si>
  <si>
    <t>Torque Driver / 38030 - ID 799</t>
  </si>
  <si>
    <t>YG2675</t>
  </si>
  <si>
    <t>2023-12</t>
  </si>
  <si>
    <t>Towelmate Fixture - ID 186</t>
  </si>
  <si>
    <t>Tube cutter, automatic - ID 74</t>
  </si>
  <si>
    <t>Behind Line 7</t>
  </si>
  <si>
    <t>Tube Cutter, Manual - ID 788</t>
  </si>
  <si>
    <t>Behind Line 12</t>
  </si>
  <si>
    <t>UJ2651 Cleco Torque Driver - ID 175</t>
  </si>
  <si>
    <t>UJ2651</t>
  </si>
  <si>
    <t>UJ2652 Cleco Torque Driver - ID 832</t>
  </si>
  <si>
    <t>UJ2652</t>
  </si>
  <si>
    <t>UJ2748 Clecco  Torque Driver - ID 786</t>
  </si>
  <si>
    <t>UJ2748</t>
  </si>
  <si>
    <t>UJ2751 Cleco Torque Driver - ID 1082</t>
  </si>
  <si>
    <t>UJ2751</t>
  </si>
  <si>
    <t>UJ2752 Cleco Torque Driver - ID 1078</t>
  </si>
  <si>
    <t>UJ2752</t>
  </si>
  <si>
    <t>UJ2753 Cleco Torque Driver - ID 1080</t>
  </si>
  <si>
    <t>UJ2753</t>
  </si>
  <si>
    <t>UJ2755 Cleco Torque Driver - ID 176</t>
  </si>
  <si>
    <t>UJ2755</t>
  </si>
  <si>
    <t>UJ2757 Cleco Torque Driver - ID 1081</t>
  </si>
  <si>
    <t>UJ2757</t>
  </si>
  <si>
    <t>V10145 Cleco Torque Driver - ID 1077</t>
  </si>
  <si>
    <t>V10145</t>
  </si>
  <si>
    <t>Valve Fixture # 1 for 4112-110 - ID 141</t>
  </si>
  <si>
    <t>Valve Fixture #2 for 4112-110 - ID 140</t>
  </si>
  <si>
    <t>Na</t>
  </si>
  <si>
    <t>Valve Fixture #3 for 4112-110 - ID 139</t>
  </si>
  <si>
    <t>LIne 7</t>
  </si>
  <si>
    <t>valve fixture 4112-119 - ID 144</t>
  </si>
  <si>
    <t>WG 2321 Cleco Torque Driver - ID 795</t>
  </si>
  <si>
    <t>WG 2321</t>
  </si>
  <si>
    <t>WH2093 Cleco Torque Driver - ID 785</t>
  </si>
  <si>
    <t xml:space="preserve">Autosoap </t>
  </si>
  <si>
    <t>WH2093</t>
  </si>
  <si>
    <t>POP UP Table, 3/4" Edge Finisher - ID 1488</t>
  </si>
  <si>
    <t>CL Cell</t>
  </si>
  <si>
    <t xml:space="preserve">Good </t>
  </si>
  <si>
    <t>2022-04</t>
  </si>
  <si>
    <t>1/2 " Edge Finisher, Solid, Technolegno/ Universal 280 - ID 1570</t>
  </si>
  <si>
    <t>capex</t>
  </si>
  <si>
    <t>1/2 Pop-up table made in house - ID 1623</t>
  </si>
  <si>
    <t>3/4 " Edge Finisher, Solid, Technolegno/ Universal 280 - ID 151/11274</t>
  </si>
  <si>
    <t>Evolve Cell</t>
  </si>
  <si>
    <t>2008-09</t>
  </si>
  <si>
    <t>3/4 Thomas return system  - ID 1461</t>
  </si>
  <si>
    <t>2017-10</t>
  </si>
  <si>
    <t>Cart - TPF Finish Goods - ID 1564</t>
  </si>
  <si>
    <t>In</t>
  </si>
  <si>
    <t>Cart, Order Packing - ID 107</t>
  </si>
  <si>
    <t>Chop Saw (corner guard pack out Lam.) - ID 782/n/a</t>
  </si>
  <si>
    <t>Chop saw by Holzma Saw  - ID 1969</t>
  </si>
  <si>
    <t>H090977</t>
  </si>
  <si>
    <t>CNC Drill Setup Gage-1040  - ID 1568</t>
  </si>
  <si>
    <t>CNC Drill Setup Gage-1080 - ID 1569</t>
  </si>
  <si>
    <t>CNC Drilling Machine, Automatic Leveling Bar - ID 154/11294</t>
  </si>
  <si>
    <t>Custom</t>
  </si>
  <si>
    <t>2009-06</t>
  </si>
  <si>
    <t>Concrete floor  - ID 1571</t>
  </si>
  <si>
    <t>Cutout Jig B3471/B3571 - ID 1544</t>
  </si>
  <si>
    <t>Small Tool</t>
  </si>
  <si>
    <t>Cutout Jig B357, B347 - ID 1543</t>
  </si>
  <si>
    <t>Drill Jig - for Door Hinges  Laminate - ID 1657</t>
  </si>
  <si>
    <t>Drill Jig - for Door Hinges ( 3 Hinges) Laminate - ID 1654</t>
  </si>
  <si>
    <t>Drill Jig - for Hinges for O/S Stile Hinges - ID 1655</t>
  </si>
  <si>
    <t>Drill Jig - for Hinges Stile -I/S-O/S FC For Laminate - ID 1653</t>
  </si>
  <si>
    <t>Drill Jig - OS Door Hinge  - ID 1656</t>
  </si>
  <si>
    <t>Drill Jig, 1080/ 1090 Leveling Bar - ID 121</t>
  </si>
  <si>
    <t>2007-04</t>
  </si>
  <si>
    <t>Drill Press (Stile Building Cell) - ID 780</t>
  </si>
  <si>
    <t xml:space="preserve"> </t>
  </si>
  <si>
    <t>Drilling Machine CNC, 1040 Laminate  - ID 105/10863</t>
  </si>
  <si>
    <t>Driver, Pulse Tool, 1080 Leveling Bar - ID 64</t>
  </si>
  <si>
    <t>2001-02</t>
  </si>
  <si>
    <t>Driver, Pulse Tool, 1080 Leveling Bar,Desoutter model PTF022-T6500-S4Q - ID 1160</t>
  </si>
  <si>
    <t>2014-10</t>
  </si>
  <si>
    <t>Drywall Carts  1-15 - ID 812</t>
  </si>
  <si>
    <t>Dust Collector, Donaldson Downflo Oval - ID 749</t>
  </si>
  <si>
    <t>2013-12</t>
  </si>
  <si>
    <t>Edge Finisher Laminate - ID 1335</t>
  </si>
  <si>
    <t>Edgebander Pop up table  - ID 1686</t>
  </si>
  <si>
    <t>Edgebander,Holz-Her Arcus Series - ID 736/11373</t>
  </si>
  <si>
    <t>Evolve Double Head Drilling Machine  - ID 2110</t>
  </si>
  <si>
    <t>Flamex spark detection and extinguishing system  - ID 2103</t>
  </si>
  <si>
    <t>FLIP TABLE - ID 1350</t>
  </si>
  <si>
    <t>Forklift # T20 - ID 29</t>
  </si>
  <si>
    <t>Forklift # T4 - ID 27</t>
  </si>
  <si>
    <t>Forklift # T5 - ID 28</t>
  </si>
  <si>
    <t>FRL - Filter, Regulator, Lubricator - ID 72</t>
  </si>
  <si>
    <t>Gage (Go/No Go), Drill Diameter, Laminate - ID 1542</t>
  </si>
  <si>
    <t>2017-02</t>
  </si>
  <si>
    <t>Gage (Go/No Go), Drill Diameter, Solid - ID 1541</t>
  </si>
  <si>
    <t>Gannomat Index 330 Trend/PRO (Solid) - ID 1879/11617</t>
  </si>
  <si>
    <t>2019-01</t>
  </si>
  <si>
    <t>General request  - ID 1489</t>
  </si>
  <si>
    <t>Insert 1 Screwdriver, Auto Reverse, Lever - ID 1159</t>
  </si>
  <si>
    <t>Insert Screwdriver, 1080 -1 - ID 102</t>
  </si>
  <si>
    <t>M-69065</t>
  </si>
  <si>
    <t xml:space="preserve">Jig, Drill, T-203040 ECOR T-Nut Drill, Laminate - ID 1511/ </t>
  </si>
  <si>
    <t>Job Carts 1-6 - ID 810</t>
  </si>
  <si>
    <t>Laminate Cell - ID 1648</t>
  </si>
  <si>
    <t>This is not a machine/tooling.</t>
  </si>
  <si>
    <t>Laminate Drill Hole Depth Gage  - ID 1575</t>
  </si>
  <si>
    <t>Laminate Slitter - ID 60/10367</t>
  </si>
  <si>
    <t>50024RB</t>
  </si>
  <si>
    <t>1997-05</t>
  </si>
  <si>
    <t>Materal Carts 1-2 - ID 813</t>
  </si>
  <si>
    <t>Meyer rotary airlock (dust collector) - ID 804/11367</t>
  </si>
  <si>
    <t>2012-12</t>
  </si>
  <si>
    <t>Miter Saw, for Holzma Saw - ID 1378</t>
  </si>
  <si>
    <t>Notching machine, 1540 Door - ID 13</t>
  </si>
  <si>
    <t>1997-01</t>
  </si>
  <si>
    <t>O-Sama (Joos) Glue Spreader  - ID 1724/11536</t>
  </si>
  <si>
    <t>2017-12</t>
  </si>
  <si>
    <t>Pack out Carts  1-6 - ID 811</t>
  </si>
  <si>
    <t>Panel Handler - 4ft - ID 1457</t>
  </si>
  <si>
    <t>2016-09</t>
  </si>
  <si>
    <t>Pinch Roller (Heated)  - ID 1584/11536</t>
  </si>
  <si>
    <t>2017-07</t>
  </si>
  <si>
    <t>Return System, Thomas, 1/2" Solid Panels - ID 156/10776</t>
  </si>
  <si>
    <t>2008-06</t>
  </si>
  <si>
    <t>Return System, Thomas, 1040 Edgebander - ID 63/10776</t>
  </si>
  <si>
    <t>2001-10</t>
  </si>
  <si>
    <t>Return System, Thomas, Laminate Trimmer - ID 158</t>
  </si>
  <si>
    <t>Return system,Thomas,Evolve cell  - ID 2109</t>
  </si>
  <si>
    <t>2017-01</t>
  </si>
  <si>
    <t>Rework Station (Laminate Cell) - ID 781</t>
  </si>
  <si>
    <t>Router Station (Stile Building cell) - ID 779</t>
  </si>
  <si>
    <t>Router, CNC,  Anderson Stratos/Nest TC+D - ID 1503/11535</t>
  </si>
  <si>
    <t>FAANCST05138</t>
  </si>
  <si>
    <t>Saw, 10' Panel, Laminate Line - ID 5/7579</t>
  </si>
  <si>
    <t>1989-07</t>
  </si>
  <si>
    <t>Saw, Horizontal, Holzma - ID 1361/11446</t>
  </si>
  <si>
    <t>Saw,Horizontal, Holz-Her - ID 135/11275</t>
  </si>
  <si>
    <t>2008-02</t>
  </si>
  <si>
    <t>Scissor Lift # 2 (large) Holz-Her Saw  - ID 814/11278</t>
  </si>
  <si>
    <t>Scissor Lift #1 (small) Holz-Her Saw  - ID 815/11277</t>
  </si>
  <si>
    <t>Scissor Lift 1/2" Edge Finisher  - ID 816/11257</t>
  </si>
  <si>
    <t>Scissor Lift 3/4" solid Edge Finisher - ID 818</t>
  </si>
  <si>
    <t>Scissor Lift Holz-Her Edge Bander  - ID 817</t>
  </si>
  <si>
    <t>Scissor Lift Holzma Saw - ID 819</t>
  </si>
  <si>
    <t>Screwdriver, Insert, 1080-2 - ID 61</t>
  </si>
  <si>
    <t>Shaper, Single Spindle, Northfield - ID 155/10892</t>
  </si>
  <si>
    <t>Scissor Lift, HolzHer Saw - ID 157</t>
  </si>
  <si>
    <t>Solid Cell - ID 1647</t>
  </si>
  <si>
    <t>Stacker R-19 - ID 181</t>
  </si>
  <si>
    <t>Step Drill &amp; Stop Phenolic Series Insert  - ID 1563</t>
  </si>
  <si>
    <t>Step Drill 1040 CNC Drilling Machine - ID 1562</t>
  </si>
  <si>
    <t>Step Drill 1080/1090 CNC Drilling Machine - ID 1561</t>
  </si>
  <si>
    <t>Tenoner A 517 Single End  - ID 2063</t>
  </si>
  <si>
    <t>2024-03</t>
  </si>
  <si>
    <t>TLF Intellistore (Rainbow Stacking System)- TLF211 - ID 1877/11564</t>
  </si>
  <si>
    <t>TPF   - ID 1658</t>
  </si>
  <si>
    <t>Vacuum Lift (Anderson CNC) - ID 768/10844</t>
  </si>
  <si>
    <t>Vacuum Lift 1/2" panels packout - ID 130/1080</t>
  </si>
  <si>
    <t>Vacuum Lift 1080 Line packout - ID 96/10844</t>
  </si>
  <si>
    <t>2007-03</t>
  </si>
  <si>
    <t>Vacuum Lift Evolve Cell - ID 2111</t>
  </si>
  <si>
    <t>2008-04</t>
  </si>
  <si>
    <t>Vacuum Lift Holz-Her Saw - ID 769/11366</t>
  </si>
  <si>
    <t>Vacuum Lift Laminate Pack Out - ID 131/1540</t>
  </si>
  <si>
    <t>2012-10</t>
  </si>
  <si>
    <t>Vacuum Lift System (Glue Line ) - ID 59/10772</t>
  </si>
  <si>
    <t>2000-02</t>
  </si>
  <si>
    <t xml:space="preserve">Taylor Steel Core Press </t>
  </si>
  <si>
    <t>PLA79.1634</t>
  </si>
  <si>
    <t>D-ayton Stile Leveling Bar Drilling Machine</t>
  </si>
  <si>
    <t xml:space="preserve">Vertical Lift Module </t>
  </si>
  <si>
    <t>Hardware Cell</t>
  </si>
  <si>
    <t>2024-10</t>
  </si>
  <si>
    <t xml:space="preserve">Glue Viscometer </t>
  </si>
  <si>
    <t>X241754</t>
  </si>
  <si>
    <t>MES EQUIPMENT (RFID, ETC.)</t>
  </si>
  <si>
    <t>Dust Collector, HPL Edge Bander Standalone</t>
  </si>
  <si>
    <t>Dust Collector, CL Tenoner Standalone</t>
  </si>
  <si>
    <t>AS2 WS8 Driver #1
Model #: EF030-E ESD
S/N: 2312090001</t>
  </si>
  <si>
    <t>Auto Soap Cell #2</t>
  </si>
  <si>
    <t>AS2 WS8 Driver #2
Model #: EF030-E ESD
S/N: 2312090004</t>
  </si>
  <si>
    <t>AS2 WS6 Driver #1
Model #: EF030-E ESD
S/N: 2312090006</t>
  </si>
  <si>
    <t>AS2 WS4 Driver #1
Model #: EF030-E ESD
S/N: 2402090021</t>
  </si>
  <si>
    <t>T-1542003</t>
  </si>
  <si>
    <t>AS2 WS5 Driver #1
Model #: EF120-A ESD
S/N: 2403040075</t>
  </si>
  <si>
    <t>AS2 WS7 Driver #1
Model #: EF120-A ESD
S/N: 2403040077</t>
  </si>
  <si>
    <t>AS2 WS3 Driver #1
Model #: EF030-E ESD
S/N: 2402090017</t>
  </si>
  <si>
    <t>AS2 WS8 Driver #1
Model #: EF080(ESD)
S/N: 2312040011</t>
  </si>
  <si>
    <t>AS2 WS6 Driver #2 
AS2 WS8 Driver #2
Model #: EF120(ESD)
S/N: 2404040023</t>
  </si>
  <si>
    <t>AS2 WS4 Driver # 1
Model #: EF030 v2
S/N: 2402090016</t>
  </si>
  <si>
    <t>AS2 WS8 Driver # 1
Model #: EF080(ESD)
S/N: 2312090003</t>
  </si>
  <si>
    <t>AS2 WS4 Driver # 2
Model #: EF120(ESD)
S/N: 2404040028</t>
  </si>
  <si>
    <t>AS1 WS8 Driver # 1
Model #: BF080-A ESD
S/N: 2507060029</t>
  </si>
  <si>
    <t>Auto Soap Cell #1</t>
  </si>
  <si>
    <t>AS1 WS8 Driver # 2
Model #: BF080-A ESD
S/N: 2507060034</t>
  </si>
  <si>
    <t>AS1 WS7 Driver # 1
Model #: EF120(ESD)
S/N: 2403040082</t>
  </si>
  <si>
    <t>AS1 WS5 Driver # 1
Model #: EF120(ESD)
S/N: 2403040084</t>
  </si>
  <si>
    <t>AS1 WS4 Driver # 1
Model #: EF080(ESD)
S/N: 2312040019</t>
  </si>
  <si>
    <t>Line 15-2111/2112 Fixture Driver
Model #: NFA450-A-ESD
S/N: 2312040019</t>
  </si>
  <si>
    <t>Line 15</t>
  </si>
  <si>
    <t>Machine type</t>
  </si>
  <si>
    <t>Service status (in/out)</t>
  </si>
  <si>
    <t>Battery Age</t>
  </si>
  <si>
    <t>COMMENTS 2025</t>
  </si>
  <si>
    <t>COMMENTS 2026</t>
  </si>
  <si>
    <t> </t>
  </si>
  <si>
    <t>290 Roll Former</t>
  </si>
  <si>
    <t>2026-6</t>
  </si>
  <si>
    <t>IN</t>
  </si>
  <si>
    <t>Keep internal components in working order</t>
  </si>
  <si>
    <t>Minimum to keep running</t>
  </si>
  <si>
    <t>Robot Welder</t>
  </si>
  <si>
    <t>Parts are obsolete</t>
  </si>
  <si>
    <t>Consider upgrading just the welder if possible.</t>
  </si>
  <si>
    <t>Stroke Sander</t>
  </si>
  <si>
    <t>Replacement parts are obsolete.  Replacement may depend on plans for the Mirror Project.  6/6/2025</t>
  </si>
  <si>
    <t xml:space="preserve">Still operational </t>
  </si>
  <si>
    <t>Stroke Sander (Douect)</t>
  </si>
  <si>
    <t>Listed in 1175 on the Asset list</t>
  </si>
  <si>
    <t>Corner Polisher</t>
  </si>
  <si>
    <t>Equpment aging, no immediate issues</t>
  </si>
  <si>
    <t>No known issues</t>
  </si>
  <si>
    <t>Manual Screw Table</t>
  </si>
  <si>
    <t>Recurring issues</t>
  </si>
  <si>
    <t xml:space="preserve">Still having issues </t>
  </si>
  <si>
    <t>TimeSavers</t>
  </si>
  <si>
    <t>Recurring issues.  Replacement may depend on plans for the Mirror Project.  6/6/2025</t>
  </si>
  <si>
    <t>Several internal replacement parts are on hand</t>
  </si>
  <si>
    <t>Welder Repair Station</t>
  </si>
  <si>
    <t>No issues</t>
  </si>
  <si>
    <t>Back machine</t>
  </si>
  <si>
    <t>Break press</t>
  </si>
  <si>
    <t>No known issues (also has Asset#s 11391 &amp; 11640 on the machine)</t>
  </si>
  <si>
    <t>165 Roll Former</t>
  </si>
  <si>
    <t>Nearing end of life</t>
  </si>
  <si>
    <t>Hanger machine</t>
  </si>
  <si>
    <t>Powermatic Corner Grinder</t>
  </si>
  <si>
    <t>Issues with bearings after 6 months</t>
  </si>
  <si>
    <t>No known issues (looking into Asset #)</t>
  </si>
  <si>
    <t>Robot Frame Sander</t>
  </si>
  <si>
    <t>out (Stored at 187)</t>
  </si>
  <si>
    <t>No longer in use</t>
  </si>
  <si>
    <t>Dual Screw Machine</t>
  </si>
  <si>
    <t>New Manual Screw Machine</t>
  </si>
  <si>
    <t>Tilt Lift</t>
  </si>
  <si>
    <t>2026-7</t>
  </si>
  <si>
    <t>Could not be found on an asset list but has asset tag.  Will need to be replaced 1-2 yrs</t>
  </si>
  <si>
    <t>Not Assigned</t>
  </si>
  <si>
    <t>Recently purchased asset number has not been assigned</t>
  </si>
  <si>
    <t>Presses</t>
  </si>
  <si>
    <t xml:space="preserve">Oilers scheduled to be replaced </t>
  </si>
  <si>
    <t>Allsteel 200 ton Press (262)</t>
  </si>
  <si>
    <t>New oiler system installed Summer 2026. Hydraulic leak fixed (new line/fitting)</t>
  </si>
  <si>
    <t>Allsteel 35 ton Press (262)</t>
  </si>
  <si>
    <t>Cylinders need inspecting</t>
  </si>
  <si>
    <t>Allsteel 35 ton Press (2888)</t>
  </si>
  <si>
    <t>Needs leveling by outside company</t>
  </si>
  <si>
    <t xml:space="preserve">New light curtains. Current press is undersized. </t>
  </si>
  <si>
    <t>Accurpress Brake Press (2888)</t>
  </si>
  <si>
    <t>Allsteel 160 ton Press (270)</t>
  </si>
  <si>
    <t>Waiting on inspection report for needed repairs</t>
  </si>
  <si>
    <t xml:space="preserve">New oiler system installed Summer 2026. </t>
  </si>
  <si>
    <t>Benchmaster Press</t>
  </si>
  <si>
    <t>Bad</t>
  </si>
  <si>
    <t>Needs new seals. New fuses.</t>
  </si>
  <si>
    <t>Aida 60 ton Press</t>
  </si>
  <si>
    <t>Water in air lines.</t>
  </si>
  <si>
    <t>Aida 110 ton Press</t>
  </si>
  <si>
    <t>Sutherland 176 ton Press</t>
  </si>
  <si>
    <t>Electronics scheduled to be replaced</t>
  </si>
  <si>
    <t xml:space="preserve">Electronics being replaced Fall 2026 - IN PROGRESS </t>
  </si>
  <si>
    <t>ROCKER ARM WELDERS</t>
  </si>
  <si>
    <t>262 (Hinge to Door)</t>
  </si>
  <si>
    <t>Rocker arm welders</t>
  </si>
  <si>
    <t>Need to keep boards updated</t>
  </si>
  <si>
    <t>262 (Towel Tray to Unit)</t>
  </si>
  <si>
    <t>262 (Door to Unit)</t>
  </si>
  <si>
    <t>2888 (Door to Frame)</t>
  </si>
  <si>
    <t>2888 (Stop Bracket)</t>
  </si>
  <si>
    <t>2888 (backup)</t>
  </si>
  <si>
    <t>Boards updated Spring 2026</t>
  </si>
  <si>
    <t>270 (Hinge to Lid)</t>
  </si>
  <si>
    <t>270 (Back to Unit)</t>
  </si>
  <si>
    <t>JANDA WELDERS</t>
  </si>
  <si>
    <t>Janda welders</t>
  </si>
  <si>
    <t>Work on small to large changeover</t>
  </si>
  <si>
    <t>Machine no longer in use</t>
  </si>
  <si>
    <t>Needs overhaul or replacing.  Likely overhaul and not replace - to buy time for the 2888 NPD project. 6/6/2025</t>
  </si>
  <si>
    <t xml:space="preserve">Waiting on 2888 project </t>
  </si>
  <si>
    <t>RIVET MACHINES</t>
  </si>
  <si>
    <t>2888 Cam</t>
  </si>
  <si>
    <t>Rivet machines</t>
  </si>
  <si>
    <t>Needs overhaul</t>
  </si>
  <si>
    <t>2888 Door</t>
  </si>
  <si>
    <t>2888 Pem Stud</t>
  </si>
  <si>
    <t>CARTONERS</t>
  </si>
  <si>
    <t>Cartoners</t>
  </si>
  <si>
    <t>Needs refurbishing</t>
  </si>
  <si>
    <t>Quote from EconoCorp on servicing - need to make decision. Likely needs replacement</t>
  </si>
  <si>
    <t>New cartoner on order</t>
  </si>
  <si>
    <t>Old cartoner thrown out. New one in production now</t>
  </si>
  <si>
    <t>FAB</t>
  </si>
  <si>
    <t>Coil Line #1</t>
  </si>
  <si>
    <t>Have COE complete needed updates</t>
  </si>
  <si>
    <t>Updates completed. Rollers need to be refinished.</t>
  </si>
  <si>
    <t>Coil Line #2</t>
  </si>
  <si>
    <t>Gauer Edger</t>
  </si>
  <si>
    <t>New rollers installed Spring 2026.</t>
  </si>
  <si>
    <t>Fladder #1</t>
  </si>
  <si>
    <t>Need to schedule Fladder to come in and inspect</t>
  </si>
  <si>
    <t>New belt added Spring 2026. Needs new duct work and wet pump</t>
  </si>
  <si>
    <t>Fladder #2</t>
  </si>
  <si>
    <t>Fladder Return Conveyor</t>
  </si>
  <si>
    <t>Tool &amp; Die</t>
  </si>
  <si>
    <t>262-6 Wrapper Blank Die</t>
  </si>
  <si>
    <t>Tool and Die</t>
  </si>
  <si>
    <t xml:space="preserve">Regular maintenance at Dienamics </t>
  </si>
  <si>
    <t>262-3 Door Blank Die</t>
  </si>
  <si>
    <t>2621-6 Wrapper Blank Die</t>
  </si>
  <si>
    <t>262/2621-3 Door Draw Die</t>
  </si>
  <si>
    <t>262/2621-3 Pinch Trim Die</t>
  </si>
  <si>
    <t>262/2621-6 Wrapper Form Die</t>
  </si>
  <si>
    <t>288-204 Wrapper Blank Die</t>
  </si>
  <si>
    <t>4388-304 Flange Wrapper Blank</t>
  </si>
  <si>
    <t>Used at Dienamic</t>
  </si>
  <si>
    <t>288-56 Door Die</t>
  </si>
  <si>
    <t>288-213 Pierce &amp; Form</t>
  </si>
  <si>
    <t>288-213 Form(35 ton Allsteel)</t>
  </si>
  <si>
    <t>288-204  (4388-304)</t>
  </si>
  <si>
    <t>Form (Accurpress)</t>
  </si>
  <si>
    <t>4288-102 Inner Housing Form(Accurpress)</t>
  </si>
  <si>
    <t>4388-305 Flange Die(DIEnamic)</t>
  </si>
  <si>
    <t>270-4 B/B Punch/Form</t>
  </si>
  <si>
    <t>270-5 Lid Die</t>
  </si>
  <si>
    <t>270 Station #1,2,3</t>
  </si>
  <si>
    <t>221-102 Blank Die</t>
  </si>
  <si>
    <t>221 Station #1 &amp; 2</t>
  </si>
  <si>
    <t>221-3 Form Die (DIEnamic)</t>
  </si>
  <si>
    <t>Station 3 needs work on horn die</t>
  </si>
  <si>
    <t>Needs replacement</t>
  </si>
  <si>
    <t>TPF &amp; Saw</t>
  </si>
  <si>
    <t>A&amp;S Vertical Saw</t>
  </si>
  <si>
    <t>Holzma Panel Saw</t>
  </si>
  <si>
    <t>Homag Saws 1 &amp; 2</t>
  </si>
  <si>
    <t>E</t>
  </si>
  <si>
    <t>Storeteq S-200 (Intel-Store)</t>
  </si>
  <si>
    <t>??</t>
  </si>
  <si>
    <t>EE</t>
  </si>
  <si>
    <t>Technolegno Panel Cell + Return</t>
  </si>
  <si>
    <t>11652/10343</t>
  </si>
  <si>
    <t>The upper and lower infeed rollers are worn and need to be replaced, along with a few rollers for the outrigger. Track pads look good</t>
  </si>
  <si>
    <t>Makor 1080 Finishing + Return</t>
  </si>
  <si>
    <t>11342/11623</t>
  </si>
  <si>
    <t>The linear bearings for the top in and out needs to be replaced.</t>
  </si>
  <si>
    <t>1080 Drilling</t>
  </si>
  <si>
    <t>This is tied to the Gannomat tech upgrade to bring in automation to the drilling and inserting.  Currently this project is deferred to FY2026.</t>
  </si>
  <si>
    <t>1080 Leveling Bar Machine</t>
  </si>
  <si>
    <t>sensor replacements and drill head adjustments.</t>
  </si>
  <si>
    <t>CNC Andi Router</t>
  </si>
  <si>
    <t>@BMC 2015</t>
  </si>
  <si>
    <t>repairs was made broken airline, faulty servo brake, and Z Axis alarm, totaling $2,610.00</t>
  </si>
  <si>
    <t>PRIVADA</t>
  </si>
  <si>
    <t>Privada</t>
  </si>
  <si>
    <t>Hot Press </t>
  </si>
  <si>
    <t>Glue Spreader</t>
  </si>
  <si>
    <t>Jib Crane and Lift – HP Entry</t>
  </si>
  <si>
    <t>Jib Crane and Lift – HP Exit</t>
  </si>
  <si>
    <t>Wanders Sword Brush </t>
  </si>
  <si>
    <t>Mtc Trimmer </t>
  </si>
  <si>
    <t>Thomas Return </t>
  </si>
  <si>
    <t>CNC Swift Router – Laguna</t>
  </si>
  <si>
    <t>System # 00742</t>
  </si>
  <si>
    <t>MTC Hinge </t>
  </si>
  <si>
    <t>2020 </t>
  </si>
  <si>
    <t>Edge Bander </t>
  </si>
  <si>
    <t> 12/31/16</t>
  </si>
  <si>
    <t>Anver Lift Finishing </t>
  </si>
  <si>
    <t>1/31/15 </t>
  </si>
  <si>
    <t>Techolegno (Extra Trim) </t>
  </si>
  <si>
    <t>Larick Shaper – In Use</t>
  </si>
  <si>
    <t> 1/31/15</t>
  </si>
  <si>
    <t>Larick Shaper – Stored</t>
  </si>
  <si>
    <t>Larick Shaper - Stored</t>
  </si>
  <si>
    <t>Southworth Lift Tables-Building </t>
  </si>
  <si>
    <t>No Tag </t>
  </si>
  <si>
    <t>Southworth Lift Table at Shaper </t>
  </si>
  <si>
    <t>No Tag</t>
  </si>
  <si>
    <t>Southworth Lift Table at Edge Bander </t>
  </si>
  <si>
    <t>Marcon Easy Lift Table </t>
  </si>
  <si>
    <t>No tag  </t>
  </si>
  <si>
    <t>Green Lift Table </t>
  </si>
  <si>
    <t>No Tag  </t>
  </si>
  <si>
    <t>Flip and Lift Table </t>
  </si>
  <si>
    <t>American Lift Table</t>
  </si>
  <si>
    <t>(Large Grey Table) </t>
  </si>
  <si>
    <t>Blue Lift Table </t>
  </si>
  <si>
    <t>11257  </t>
  </si>
  <si>
    <t>Verti – Lift Table </t>
  </si>
  <si>
    <t>Autoquip Lift Table</t>
  </si>
  <si>
    <t>THRISLINGTON</t>
  </si>
  <si>
    <t>Thrislington</t>
  </si>
  <si>
    <t>Homag CNC Router</t>
  </si>
  <si>
    <t>Homag CNC Edgebander</t>
  </si>
  <si>
    <t>Thomas Return Edgebander</t>
  </si>
  <si>
    <t xml:space="preserve">Return has been performing inconsistently for a while. Issues with transferring components and components falling off. </t>
  </si>
  <si>
    <t>Emmegi Drilling Center</t>
  </si>
  <si>
    <t>Having and issue with the safety gaurds not activating when needed. (Hydaulic Issues)</t>
  </si>
  <si>
    <t>Emmegi Cutting Center</t>
  </si>
  <si>
    <t>Osama Nip Roller</t>
  </si>
  <si>
    <t>Osama Glue Spreader</t>
  </si>
  <si>
    <t>Trasfered to BLA</t>
  </si>
  <si>
    <t>Black Brothers Glue Spreader</t>
  </si>
  <si>
    <t>Larick Shaper</t>
  </si>
  <si>
    <t>Black Brothers Heated Pinch Roller</t>
  </si>
  <si>
    <t>Spray Booth</t>
  </si>
  <si>
    <t xml:space="preserve">Outdated process- need an automated system that adds consistency to operations. </t>
  </si>
  <si>
    <t>Facia Cell Lift</t>
  </si>
  <si>
    <t>Door Cell Lift</t>
  </si>
  <si>
    <t>Divider Cell Lift</t>
  </si>
  <si>
    <t>Glue Spreader Lift</t>
  </si>
  <si>
    <t>CNC Router Lift</t>
  </si>
  <si>
    <t>Packout Cell Lift</t>
  </si>
  <si>
    <t>New</t>
  </si>
  <si>
    <t>Virutex Slitter</t>
  </si>
  <si>
    <t>Grizzly Planer</t>
  </si>
  <si>
    <t>SCM Router</t>
  </si>
  <si>
    <t>FACILITY</t>
  </si>
  <si>
    <t>Facility Grounds</t>
  </si>
  <si>
    <t>Roof/Old Building</t>
  </si>
  <si>
    <t>Roof/New Building</t>
  </si>
  <si>
    <t>Old Compressor</t>
  </si>
  <si>
    <t>New Compressor</t>
  </si>
  <si>
    <t>Main Switch Gear</t>
  </si>
  <si>
    <t>4 Main Bus Ducts (Original)</t>
  </si>
  <si>
    <t>Panel Breaker Screw Torque</t>
  </si>
  <si>
    <t>Olympian Generator</t>
  </si>
  <si>
    <t>Air Dryer Updated 6/2/25)</t>
  </si>
  <si>
    <t>2020/2025</t>
  </si>
  <si>
    <t>Flamex Spark Detector</t>
  </si>
  <si>
    <t>VRC-2 Post Straddle Elevator</t>
  </si>
  <si>
    <t>RTU 1-11</t>
  </si>
  <si>
    <t>RTU 12-13 (Expansion)</t>
  </si>
  <si>
    <t>Computer Room (AC)</t>
  </si>
  <si>
    <t>Manufacturing Office (AC)</t>
  </si>
  <si>
    <t>EF 1-7 Exhaust Fans</t>
  </si>
  <si>
    <t>Dock Doors</t>
  </si>
  <si>
    <t>Need to be painted</t>
  </si>
  <si>
    <t>Dock Locks</t>
  </si>
  <si>
    <t>Dock Locks (Expansion</t>
  </si>
  <si>
    <t>Exterior Doors</t>
  </si>
  <si>
    <t>Exterior Doors (Expansion)</t>
  </si>
  <si>
    <t>Exterior Door Locks</t>
  </si>
  <si>
    <t>Exterior Door Locks (Expansion)</t>
  </si>
  <si>
    <t>New Buss Duct (Expansion)</t>
  </si>
  <si>
    <t>Alarm System</t>
  </si>
  <si>
    <t>Fire Panel</t>
  </si>
  <si>
    <t>Dust Collector Auger</t>
  </si>
  <si>
    <t>Dust Collector Screw Top</t>
  </si>
  <si>
    <t>FACILITY FORKLIFTS</t>
  </si>
  <si>
    <t>Toyota Pallet Jack #697</t>
  </si>
  <si>
    <t>Forklifts</t>
  </si>
  <si>
    <t>Toyota Pallet Jack #2138</t>
  </si>
  <si>
    <t>Toyota Pallet Jack #1574</t>
  </si>
  <si>
    <t>Toyota Pallet Jack #1794</t>
  </si>
  <si>
    <t>Toyota 3500lb Warehouse</t>
  </si>
  <si>
    <t>NEW</t>
  </si>
  <si>
    <t>Toyota 8000lb Shipping</t>
  </si>
  <si>
    <t>Drexel</t>
  </si>
  <si>
    <t>Catapillar 15,000 LP Forklift</t>
  </si>
  <si>
    <t>?</t>
  </si>
  <si>
    <t>Toyota Reach Truck</t>
  </si>
  <si>
    <t>Spotter Truck</t>
  </si>
  <si>
    <t>Arpac Stretch Wrap Machine(Fab/Mirror)</t>
  </si>
  <si>
    <t>Cousins Stretch Wrap Machine</t>
  </si>
  <si>
    <t>Toyota Saw Center Secondary</t>
  </si>
  <si>
    <t>Toyota Saw Center Primary</t>
  </si>
  <si>
    <t xml:space="preserve"> Mirrors</t>
  </si>
  <si>
    <t>Toyota Mirror Stand-Up</t>
  </si>
  <si>
    <t>Toyota 4500lb Fabrication</t>
  </si>
  <si>
    <t>Toyota Pallet Jack (Thrislington)</t>
  </si>
  <si>
    <t>Toyota Pallet Jack #77486</t>
  </si>
  <si>
    <t>Toyota Pallet Jack #77487</t>
  </si>
  <si>
    <t>Toyota Pallet Jack #75440</t>
  </si>
  <si>
    <t>Lantech Stretch Wrapper</t>
  </si>
  <si>
    <t>Toyota Pallet Jack Fabrication</t>
  </si>
  <si>
    <t>Workcell</t>
  </si>
  <si>
    <t>Service Status in/out)</t>
  </si>
  <si>
    <t>BWC</t>
  </si>
  <si>
    <t>8 FT CINCINNATI SHEAR WITH FEEDER</t>
  </si>
  <si>
    <t>FAIR</t>
  </si>
  <si>
    <t>Feeder PLC controller required (~$15K)</t>
  </si>
  <si>
    <t>12 FT NIAGARA SHEAR WITH FEEDER</t>
  </si>
  <si>
    <t>&lt; 1972</t>
  </si>
  <si>
    <t>Feeder PLC controller required (~$15K) as of May 2023. Laser inestigation is ongoing to replace the shear</t>
  </si>
  <si>
    <t>GASPARINI 25 TON BRAKE</t>
  </si>
  <si>
    <t>Left and right cylinder leaks and back guage issue (High cost repair). Machine is still useable and we will be working towards replacing it in 2 to 3 years (3/1/25)</t>
  </si>
  <si>
    <t>4 Ft Shear</t>
  </si>
  <si>
    <t>EXCELLENT</t>
  </si>
  <si>
    <t>8 FT ALLSTEEL 45 TON BRAKE</t>
  </si>
  <si>
    <t>POOR</t>
  </si>
  <si>
    <t>Machine is currently working at 25% as it cannot hold angles.
This machine has been removed from regular use, only reserved for special orders for one component.  Note that the 130Ton Accupress has taken over this machine's functions. (6/3/25)</t>
  </si>
  <si>
    <t>8 FT ALLSTEEL 65 TON BRAKE</t>
  </si>
  <si>
    <t>We transferred the 45-ton controller to improve the machine performance (4/1/25). The machine condition has been changed to poor due to it's inability to pass PHSR once move to the new building (7/8/27).</t>
  </si>
  <si>
    <t>YAWEI 160 TON BRAKE</t>
  </si>
  <si>
    <t>ACCURPRESS 50 TON</t>
  </si>
  <si>
    <t>GOOD</t>
  </si>
  <si>
    <t>The bed needs to be rethreaded but not an urgent repair (3/1/2025)</t>
  </si>
  <si>
    <t>80 TON KOMATSU PRESS</t>
  </si>
  <si>
    <t>120 TON AIDA PRESS</t>
  </si>
  <si>
    <t>130-Ton Accurpress</t>
  </si>
  <si>
    <t xml:space="preserve">New press brake-2022. </t>
  </si>
  <si>
    <t>300 TON ALLSTEEL PRESS</t>
  </si>
  <si>
    <t>Machine cannot consistently provide the required tonnage for heavy dies as of Jan 2025. A new large pucnh press has been ordered to replace this machine's capability (6-3-25)</t>
  </si>
  <si>
    <t>330 TON KOMATSU</t>
  </si>
  <si>
    <t>150 TON AIDA</t>
  </si>
  <si>
    <t>40" GAUER EDGER</t>
  </si>
  <si>
    <t>The edger machine will be scrapped once we purchase a second laser (6-5-25)</t>
  </si>
  <si>
    <t>30" GAUER EDGER</t>
  </si>
  <si>
    <t>24" GAUER EDGER</t>
  </si>
  <si>
    <t>12" GAUER EDGER</t>
  </si>
  <si>
    <t>FLADDER (received the machine from BGD)</t>
  </si>
  <si>
    <t>FLADDER</t>
  </si>
  <si>
    <t>WET DUST COLLECTOR</t>
  </si>
  <si>
    <t>STICK WELDER</t>
  </si>
  <si>
    <t>Used for repairs and jig building only (not often used)</t>
  </si>
  <si>
    <t>WALKIE</t>
  </si>
  <si>
    <t>LASER SLAT CLEANER</t>
  </si>
  <si>
    <t>AMADA LASER</t>
  </si>
  <si>
    <t>3007/3049</t>
  </si>
  <si>
    <t xml:space="preserve">Has been refurbished
</t>
  </si>
  <si>
    <t>Amada Press Brake</t>
  </si>
  <si>
    <t>11660/11659</t>
  </si>
  <si>
    <t>Autowelder</t>
  </si>
  <si>
    <t>DUST COLLECTOR</t>
  </si>
  <si>
    <t>254, #1</t>
  </si>
  <si>
    <t>TECNA (ITALIAN)</t>
  </si>
  <si>
    <t>254, #2</t>
  </si>
  <si>
    <t>SPEEDYPACKER MACHINE</t>
  </si>
  <si>
    <t>51 KVA 600V ROCKER ARM</t>
  </si>
  <si>
    <t>TIG WELDER</t>
  </si>
  <si>
    <t>IMOLD INSTAPACK</t>
  </si>
  <si>
    <t>VACUME LIFTER</t>
  </si>
  <si>
    <t>BED</t>
  </si>
  <si>
    <t xml:space="preserve">Tube Mill </t>
  </si>
  <si>
    <t>Eisele VMS Cut Off Saw</t>
  </si>
  <si>
    <t>Older, but still works. Measurement is not accurate- blade size is not accounted for in ruler, but blade size also varies. Would like to look into replacing with automatic saw as mentioned in the past.</t>
  </si>
  <si>
    <t>517-107 Cut-Saw</t>
  </si>
  <si>
    <t>Removed as of last year.</t>
  </si>
  <si>
    <t>Peener</t>
  </si>
  <si>
    <t>Several holes in the bottom of the peener which cannot be repaired. Losing mass amounts of media (went from purchasing every 8-12 months to every month now). Special report submitted.</t>
  </si>
  <si>
    <t>Tabletop Saw</t>
  </si>
  <si>
    <t>Less than 2 years old, no issues.</t>
  </si>
  <si>
    <t>Tube Mill Forklift</t>
  </si>
  <si>
    <t>Tube Mill</t>
  </si>
  <si>
    <t>Some steps of refurb left over from FY24. Isaiah looking into dry ice cleaning for entire mill.</t>
  </si>
  <si>
    <t xml:space="preserve">Tilt Table </t>
  </si>
  <si>
    <t>Un-Coiler</t>
  </si>
  <si>
    <t>Strip End Detector</t>
  </si>
  <si>
    <t>Edge Prep Box</t>
  </si>
  <si>
    <t>Butt Welder</t>
  </si>
  <si>
    <t>Forming Section (1.5")</t>
  </si>
  <si>
    <t>Side roll stands still seizing. In the process of rebuilding them with maintenance.</t>
  </si>
  <si>
    <t>Forming Section (1"/1.25")</t>
  </si>
  <si>
    <t>Weld Squeeze Box and Shroud</t>
  </si>
  <si>
    <t xml:space="preserve">Weld box alignment schedule in June, maintenance should address the poor condition. </t>
  </si>
  <si>
    <t>Laser Welding Head 1</t>
  </si>
  <si>
    <t xml:space="preserve">Having ongoing issues with settings within laser head. Pollution, beam splitter, head temperature increases quickly soon after installation, leading to increased splits in tubing. Last time it was used it needed to be replaced after 2 weeks of use. </t>
  </si>
  <si>
    <t>Laser Welding Head 2</t>
  </si>
  <si>
    <t>Laser Power Supply</t>
  </si>
  <si>
    <t>Cooling Section</t>
  </si>
  <si>
    <t>Bossi</t>
  </si>
  <si>
    <t xml:space="preserve">Bossi replaced, working well. </t>
  </si>
  <si>
    <t>Sizing Section (1.5")</t>
  </si>
  <si>
    <t>Dials needs to be replaced for accurate measurement. Should consider drilling holes in bottom of side roll holders to eliminate rusting, which causing seizing up. Side rolls stands in the process of being replaced, but need to consider options to decrease rusting in the future.</t>
  </si>
  <si>
    <t>Sizing Section (1"/1.25")</t>
  </si>
  <si>
    <t>Turks Head (1.5")</t>
  </si>
  <si>
    <t>Turks Head (1"/1.25")</t>
  </si>
  <si>
    <t>Turks Head (Spare)</t>
  </si>
  <si>
    <t>Rebuild by Matt Miller within past year.</t>
  </si>
  <si>
    <t>Cutter Base</t>
  </si>
  <si>
    <t>Duo-Cut 1</t>
  </si>
  <si>
    <t xml:space="preserve">No rebuilds in first six years of owning it- four rebuilds in past three years. Slugs not clearing out. Intensive stripping out throughout entire head. </t>
  </si>
  <si>
    <t>Duo-Cut 2</t>
  </si>
  <si>
    <t xml:space="preserve">Two rebuilds in past three years. Slugs not clearing out. Stripping out throughout entire head. </t>
  </si>
  <si>
    <t>Exit Conveyor</t>
  </si>
  <si>
    <t>Burr Master</t>
  </si>
  <si>
    <t>Arms used for catching tubing need to be replaced. Deep cleaning needed- Isaiah looking into Dry Ice Cleaning for entire tube mill.</t>
  </si>
  <si>
    <t>Finishing System</t>
  </si>
  <si>
    <t xml:space="preserve">Some bolt holes stripped out. Conversion to dry head still needed, working on scheduling the time. </t>
  </si>
  <si>
    <t>Motoman Robot UP20 XCR</t>
  </si>
  <si>
    <t>Reboot often needed. Not enough programming space for all tubing.</t>
  </si>
  <si>
    <t xml:space="preserve">Dust Collector </t>
  </si>
  <si>
    <t>Shower Seats</t>
  </si>
  <si>
    <t>4998 Welding Power Packs (2) &amp; Coolers (2)</t>
  </si>
  <si>
    <t>Coping Machine</t>
  </si>
  <si>
    <t>Spot Welder - Weld Springs to Back Plates</t>
  </si>
  <si>
    <t>Progressive Die - Ultra Tech Tool</t>
  </si>
  <si>
    <t>Cold Wire Feeder Addition</t>
  </si>
  <si>
    <t>Drill Press - Hole for Plastic Stop</t>
  </si>
  <si>
    <t>Small Press with Notcher Tooling (4) Sets</t>
  </si>
  <si>
    <t>Robot - Square Stock Drilling - Robot Worx</t>
  </si>
  <si>
    <t>Robotic Welding System - Robot Worx</t>
  </si>
  <si>
    <t>Robotic System Process/Tooling</t>
  </si>
  <si>
    <t>Porta Truck Hepa Filter (transfer from other Division)</t>
  </si>
  <si>
    <t>Downdraft Bench (transfer from other Division)</t>
  </si>
  <si>
    <t>Jib Vac Crane -</t>
  </si>
  <si>
    <t>CNC Router - Anderson America</t>
  </si>
  <si>
    <t>Robotic Finishing Machine - 4998</t>
  </si>
  <si>
    <t>Sand Blaster - 4998 Mounting Plates w/rings</t>
  </si>
  <si>
    <t xml:space="preserve">Wet Dust Collector - Niagara 5500 </t>
  </si>
  <si>
    <t>Out -Storage/Backup</t>
  </si>
  <si>
    <t>Forklift - Toyota</t>
  </si>
  <si>
    <t>Robotic Welder - Lincoln Electric</t>
  </si>
  <si>
    <t>CNC Bender - Transfluid</t>
  </si>
  <si>
    <t>Grab Bars</t>
  </si>
  <si>
    <t>TransFluid Bender</t>
  </si>
  <si>
    <t>Line 1</t>
  </si>
  <si>
    <t>TransFluid Rotary Trim</t>
  </si>
  <si>
    <t>Lincoln Welder</t>
  </si>
  <si>
    <t>Line 2</t>
  </si>
  <si>
    <t>Countour-Arc Welder</t>
  </si>
  <si>
    <r>
      <t xml:space="preserve">Line 2 (With the addition of the new Auto line, </t>
    </r>
    <r>
      <rPr>
        <b/>
        <sz val="11"/>
        <color rgb="FF000000"/>
        <rFont val="Calibri"/>
        <family val="2"/>
      </rPr>
      <t>this welder will be eliminated</t>
    </r>
    <r>
      <rPr>
        <sz val="11"/>
        <color rgb="FF000000"/>
        <rFont val="Calibri"/>
        <family val="2"/>
      </rPr>
      <t>)</t>
    </r>
  </si>
  <si>
    <t>KMT Cold Saw</t>
  </si>
  <si>
    <r>
      <t xml:space="preserve">Line 2 (With the addition of the new Auto line, </t>
    </r>
    <r>
      <rPr>
        <b/>
        <sz val="11"/>
        <color rgb="FF000000"/>
        <rFont val="Calibri"/>
        <family val="2"/>
      </rPr>
      <t>this trim saw will be eliminated</t>
    </r>
    <r>
      <rPr>
        <sz val="11"/>
        <color rgb="FF000000"/>
        <rFont val="Calibri"/>
        <family val="2"/>
      </rPr>
      <t>)</t>
    </r>
  </si>
  <si>
    <t>Line 3.5</t>
  </si>
  <si>
    <t>Line 4 New in May 2025</t>
  </si>
  <si>
    <t>Cold Saw</t>
  </si>
  <si>
    <t>Post Assembly</t>
  </si>
  <si>
    <t>Automated Line 5</t>
  </si>
  <si>
    <t>Rotary Trim</t>
  </si>
  <si>
    <t>Packaging</t>
  </si>
  <si>
    <t>(3) heat shrink tunnels</t>
  </si>
  <si>
    <t>Punch Press</t>
  </si>
  <si>
    <t>In the budget for 2025/ 2026</t>
  </si>
  <si>
    <t>Infeed for Punch Press</t>
  </si>
  <si>
    <t>New in 2024</t>
  </si>
  <si>
    <t>In the budget for 2025</t>
  </si>
  <si>
    <t>Polishing Lathe</t>
  </si>
  <si>
    <t>Flange Tumbler</t>
  </si>
  <si>
    <t>Bader</t>
  </si>
  <si>
    <t>Arbor Press</t>
  </si>
  <si>
    <t>Rocklinizer</t>
  </si>
  <si>
    <t>Bridgeport</t>
  </si>
  <si>
    <t>19' Big Ass Fan</t>
  </si>
  <si>
    <t>TPF</t>
  </si>
  <si>
    <t>Pallet Rack</t>
  </si>
  <si>
    <t>Scissor Lift</t>
  </si>
  <si>
    <t>Anver Lift</t>
  </si>
  <si>
    <t>Laminate SL</t>
  </si>
  <si>
    <t>Door Drill</t>
  </si>
  <si>
    <t>Strap Cut M</t>
  </si>
  <si>
    <t>Motorized</t>
  </si>
  <si>
    <t>LG HD-Shape</t>
  </si>
  <si>
    <t>Drilling UN</t>
  </si>
  <si>
    <t>Egernomic</t>
  </si>
  <si>
    <t>Dual Rail SC</t>
  </si>
  <si>
    <t>Vertical PA</t>
  </si>
  <si>
    <t>Label Print</t>
  </si>
  <si>
    <t>Hawker Power</t>
  </si>
  <si>
    <t>Makor Single -S</t>
  </si>
  <si>
    <t xml:space="preserve">Technolegno </t>
  </si>
  <si>
    <t>Scheduled to be replaced this year or next depending on TFL</t>
  </si>
  <si>
    <t>Holzma Saw H</t>
  </si>
  <si>
    <t>CNC Router</t>
  </si>
  <si>
    <t>Thomas Return</t>
  </si>
  <si>
    <t>Pinch Roller</t>
  </si>
  <si>
    <t>Black Bros Glue Spreader</t>
  </si>
  <si>
    <t>Gannomat</t>
  </si>
  <si>
    <t>Air Table</t>
  </si>
  <si>
    <t>Horizontal Lam</t>
  </si>
  <si>
    <t>Sandbak Conveyor</t>
  </si>
  <si>
    <t>Technolegno M</t>
  </si>
  <si>
    <t>Tenoner</t>
  </si>
  <si>
    <t>Stiles Horizontal Saw</t>
  </si>
  <si>
    <t>Maint. Office</t>
  </si>
  <si>
    <t>THRIS</t>
  </si>
  <si>
    <t>Homag CNC</t>
  </si>
  <si>
    <t>CNC</t>
  </si>
  <si>
    <t>As of June 2, 2025, machine has been down due to the motor dying. The Homag Engineer came in and noted the machine is too old and the component has been obsoleted. Currently exploring options with third party refurbishment and conditioning/repair of old motor.</t>
  </si>
  <si>
    <t>Biesse CNC</t>
  </si>
  <si>
    <t>Bonder</t>
  </si>
  <si>
    <t>Homag Edgebander</t>
  </si>
  <si>
    <t>Implemented/installed April 2025.</t>
  </si>
  <si>
    <t>Emmegi Machining Center</t>
  </si>
  <si>
    <t>Cubicles</t>
  </si>
  <si>
    <t>Emmegi Saw</t>
  </si>
  <si>
    <t>Saw</t>
  </si>
  <si>
    <t>Holzma Beam Saw</t>
  </si>
  <si>
    <t>Count of Estimated Replacement Year</t>
  </si>
  <si>
    <t>Column Labels</t>
  </si>
  <si>
    <t>Row Labels</t>
  </si>
  <si>
    <t>40" GAUER EDGER #1</t>
  </si>
  <si>
    <t>40" GAUER EDGER #2</t>
  </si>
  <si>
    <t>Grand Total</t>
  </si>
  <si>
    <t>Average of Estimated Replacement Year</t>
  </si>
  <si>
    <t>Estimated Replacement Year</t>
  </si>
  <si>
    <t>2023-07</t>
  </si>
  <si>
    <t xml:space="preserve">Machine is current working at 50% capacity </t>
  </si>
  <si>
    <t>We need to replace laser beam</t>
  </si>
  <si>
    <t>New press brake-2022</t>
  </si>
  <si>
    <t>Belt and bed will need to be changed (1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</si>
</sst>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44" formatCode="_(&quot;$&quot;* #,##0.00_);_(&quot;$&quot;* \(#,##0.00\);_(&quot;$&quot;* &quot;-&quot;??_);_(@_)"/>
  </numFmts>
  <fonts count="38">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b/>
      <sz val="10"/>
      <color theme="0"/>
      <name val="Arial"/>
      <family val="2"/>
    </font>
    <font>
      <sz val="10"/>
      <color theme="1"/>
      <name val="Calibri"/>
      <family val="2"/>
      <scheme val="minor"/>
    </font>
    <font>
      <b/>
      <sz val="10"/>
      <color theme="1"/>
      <name val="Calibri"/>
      <family val="2"/>
      <scheme val="minor"/>
    </font>
    <font>
      <b/>
      <u/>
      <sz val="11"/>
      <color theme="1"/>
      <name val="Calibri"/>
      <family val="2"/>
      <scheme val="minor"/>
    </font>
    <font>
      <b/>
      <u/>
      <sz val="12"/>
      <color theme="1"/>
      <name val="Calibri"/>
      <family val="2"/>
      <scheme val="minor"/>
    </font>
    <font>
      <b/>
      <u/>
      <sz val="10"/>
      <color theme="0"/>
      <name val="Arial"/>
      <family val="2"/>
    </font>
    <font>
      <u/>
      <sz val="11"/>
      <color theme="1"/>
      <name val="Calibri"/>
      <family val="2"/>
      <scheme val="minor"/>
    </font>
    <font>
      <sz val="11"/>
      <color theme="0"/>
      <name val="Calibri"/>
      <family val="2"/>
      <scheme val="minor"/>
    </font>
    <font>
      <b/>
      <sz val="11"/>
      <color rgb="FF0070C0"/>
      <name val="Calibri"/>
      <family val="2"/>
      <scheme val="minor"/>
    </font>
    <font>
      <sz val="14"/>
      <color rgb="FF000000"/>
      <name val="Calibri"/>
      <family val="2"/>
      <charset val="1"/>
    </font>
    <font>
      <sz val="14"/>
      <color theme="1"/>
      <name val="Calibri"/>
      <family val="2"/>
      <charset val="1"/>
    </font>
    <font>
      <strike/>
      <sz val="11"/>
      <color theme="1"/>
      <name val="Calibri"/>
      <family val="2"/>
      <scheme val="minor"/>
    </font>
    <font>
      <b/>
      <sz val="11"/>
      <color rgb="FF000000"/>
      <name val="Calibri"/>
      <family val="2"/>
    </font>
    <font>
      <sz val="11"/>
      <color rgb="FF000000"/>
      <name val="Calibri"/>
      <family val="2"/>
    </font>
    <font>
      <sz val="12"/>
      <color rgb="FF000000"/>
      <name val="WordVisi_MSFontService"/>
      <charset val="1"/>
    </font>
    <font>
      <b/>
      <sz val="10"/>
      <color rgb="FF000000"/>
      <name val="Calibri"/>
      <family val="2"/>
    </font>
    <font>
      <strike/>
      <sz val="14"/>
      <color rgb="FF000000"/>
      <name val="Calibri"/>
      <family val="2"/>
      <charset val="1"/>
    </font>
    <font>
      <sz val="10"/>
      <color rgb="FF000000"/>
      <name val="Calibri"/>
      <family val="2"/>
    </font>
    <font>
      <b/>
      <sz val="12"/>
      <color rgb="FF000000"/>
      <name val="Calibri"/>
      <family val="2"/>
    </font>
    <font>
      <sz val="14"/>
      <color rgb="FF000000"/>
      <name val="Calibri"/>
      <family val="2"/>
    </font>
    <font>
      <b/>
      <sz val="11"/>
      <name val="Calibri"/>
      <family val="2"/>
    </font>
    <font>
      <sz val="11"/>
      <color theme="1"/>
      <name val="Calibri"/>
      <family val="2"/>
      <scheme val="minor"/>
    </font>
    <font>
      <sz val="11"/>
      <color rgb="FFFF0000"/>
      <name val="Calibri"/>
      <family val="2"/>
      <scheme val="minor"/>
    </font>
    <font>
      <b/>
      <sz val="11"/>
      <color rgb="FFFF0000"/>
      <name val="Calibri"/>
      <family val="2"/>
    </font>
    <font>
      <sz val="11"/>
      <color rgb="FF000000"/>
      <name val="Calibri"/>
      <family val="2"/>
      <scheme val="minor"/>
    </font>
    <font>
      <u/>
      <sz val="11"/>
      <color theme="10"/>
      <name val="Calibri"/>
      <family val="2"/>
      <scheme val="minor"/>
    </font>
    <font>
      <b/>
      <sz val="20"/>
      <color rgb="FF000000"/>
      <name val="Calibri"/>
      <family val="2"/>
    </font>
    <font>
      <sz val="11"/>
      <color rgb="FF000000"/>
      <name val="Calibri"/>
    </font>
    <font>
      <b/>
      <sz val="11"/>
      <color rgb="FF000000"/>
      <name val="Calibri"/>
    </font>
    <font>
      <sz val="14"/>
      <color rgb="FF000000"/>
      <name val="Calibri"/>
      <charset val="1"/>
    </font>
    <font>
      <sz val="11"/>
      <name val="Calibri"/>
      <family val="2"/>
      <scheme val="minor"/>
    </font>
    <font>
      <sz val="11"/>
      <color rgb="FFFF0000"/>
      <name val="Calibri"/>
      <family val="2"/>
    </font>
    <font>
      <sz val="11"/>
      <color rgb="FF0070C0"/>
      <name val="Calibri"/>
      <family val="2"/>
      <scheme val="minor"/>
    </font>
    <font>
      <b/>
      <u/>
      <sz val="10"/>
      <color theme="0"/>
      <name val="Arial"/>
    </font>
  </fonts>
  <fills count="37">
    <fill>
      <patternFill patternType="none"/>
    </fill>
    <fill>
      <patternFill patternType="gray125"/>
    </fill>
    <fill>
      <patternFill patternType="solid">
        <fgColor theme="6" tint="0.59999389629810485"/>
        <bgColor indexed="64"/>
      </patternFill>
    </fill>
    <fill>
      <patternFill patternType="solid">
        <fgColor theme="7" tint="0.59999389629810485"/>
        <bgColor indexed="64"/>
      </patternFill>
    </fill>
    <fill>
      <patternFill patternType="solid">
        <fgColor theme="6" tint="-0.249977111117893"/>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FF0000"/>
        <bgColor indexed="64"/>
      </patternFill>
    </fill>
    <fill>
      <patternFill patternType="solid">
        <fgColor theme="4" tint="0.39997558519241921"/>
        <bgColor indexed="64"/>
      </patternFill>
    </fill>
    <fill>
      <patternFill patternType="solid">
        <fgColor rgb="FFFFC000"/>
        <bgColor indexed="64"/>
      </patternFill>
    </fill>
    <fill>
      <patternFill patternType="solid">
        <fgColor rgb="FFFFFF00"/>
        <bgColor indexed="64"/>
      </patternFill>
    </fill>
    <fill>
      <patternFill patternType="solid">
        <fgColor rgb="FF0070C0"/>
        <bgColor indexed="64"/>
      </patternFill>
    </fill>
    <fill>
      <patternFill patternType="solid">
        <fgColor rgb="FF92D050"/>
        <bgColor indexed="64"/>
      </patternFill>
    </fill>
    <fill>
      <patternFill patternType="solid">
        <fgColor theme="9" tint="0.59999389629810485"/>
        <bgColor indexed="64"/>
      </patternFill>
    </fill>
    <fill>
      <patternFill patternType="solid">
        <fgColor theme="1" tint="0.499984740745262"/>
        <bgColor indexed="64"/>
      </patternFill>
    </fill>
    <fill>
      <patternFill patternType="solid">
        <fgColor theme="0"/>
        <bgColor indexed="64"/>
      </patternFill>
    </fill>
    <fill>
      <patternFill patternType="solid">
        <fgColor rgb="FF00B0F0"/>
        <bgColor indexed="64"/>
      </patternFill>
    </fill>
    <fill>
      <patternFill patternType="solid">
        <fgColor rgb="FFD6E3BC"/>
        <bgColor indexed="64"/>
      </patternFill>
    </fill>
    <fill>
      <patternFill patternType="solid">
        <fgColor rgb="FF76923C"/>
        <bgColor indexed="64"/>
      </patternFill>
    </fill>
    <fill>
      <patternFill patternType="solid">
        <fgColor rgb="FF948A54"/>
        <bgColor indexed="64"/>
      </patternFill>
    </fill>
    <fill>
      <patternFill patternType="solid">
        <fgColor rgb="FFBFBFBF"/>
        <bgColor indexed="64"/>
      </patternFill>
    </fill>
    <fill>
      <patternFill patternType="solid">
        <fgColor theme="9"/>
        <bgColor indexed="64"/>
      </patternFill>
    </fill>
    <fill>
      <patternFill patternType="solid">
        <fgColor rgb="FFD8E4BC"/>
        <bgColor rgb="FF000000"/>
      </patternFill>
    </fill>
    <fill>
      <patternFill patternType="solid">
        <fgColor rgb="FF76933C"/>
        <bgColor rgb="FF000000"/>
      </patternFill>
    </fill>
    <fill>
      <patternFill patternType="solid">
        <fgColor rgb="FFC4BD97"/>
        <bgColor rgb="FF000000"/>
      </patternFill>
    </fill>
    <fill>
      <patternFill patternType="solid">
        <fgColor rgb="FFD9D9D9"/>
        <bgColor rgb="FF000000"/>
      </patternFill>
    </fill>
    <fill>
      <patternFill patternType="solid">
        <fgColor rgb="FFFF0000"/>
        <bgColor rgb="FF000000"/>
      </patternFill>
    </fill>
    <fill>
      <patternFill patternType="solid">
        <fgColor rgb="FFFFFF00"/>
        <bgColor rgb="FF000000"/>
      </patternFill>
    </fill>
    <fill>
      <patternFill patternType="solid">
        <fgColor rgb="FFFFC000"/>
        <bgColor rgb="FF000000"/>
      </patternFill>
    </fill>
    <fill>
      <patternFill patternType="solid">
        <fgColor rgb="FF95B3D7"/>
        <bgColor rgb="FF000000"/>
      </patternFill>
    </fill>
    <fill>
      <patternFill patternType="solid">
        <fgColor rgb="FF0070C0"/>
        <bgColor rgb="FF000000"/>
      </patternFill>
    </fill>
    <fill>
      <patternFill patternType="solid">
        <fgColor rgb="FF92D050"/>
        <bgColor rgb="FF000000"/>
      </patternFill>
    </fill>
    <fill>
      <patternFill patternType="solid">
        <fgColor rgb="FFFFFFFF"/>
        <bgColor rgb="FF000000"/>
      </patternFill>
    </fill>
    <fill>
      <patternFill patternType="solid">
        <fgColor theme="7" tint="0.79998168889431442"/>
        <bgColor indexed="64"/>
      </patternFill>
    </fill>
    <fill>
      <patternFill patternType="solid">
        <fgColor rgb="FFCCC0DA"/>
        <bgColor rgb="FF000000"/>
      </patternFill>
    </fill>
    <fill>
      <patternFill patternType="solid">
        <fgColor theme="0" tint="-0.249977111117893"/>
        <bgColor indexed="64"/>
      </patternFill>
    </fill>
    <fill>
      <patternFill patternType="solid">
        <fgColor theme="9" tint="0.39997558519241921"/>
        <bgColor indexed="64"/>
      </patternFill>
    </fill>
  </fills>
  <borders count="42">
    <border>
      <left/>
      <right/>
      <top/>
      <bottom/>
      <diagonal/>
    </border>
    <border>
      <left style="double">
        <color auto="1"/>
      </left>
      <right style="double">
        <color auto="1"/>
      </right>
      <top style="double">
        <color auto="1"/>
      </top>
      <bottom style="double">
        <color auto="1"/>
      </bottom>
      <diagonal/>
    </border>
    <border>
      <left style="medium">
        <color auto="1"/>
      </left>
      <right style="medium">
        <color auto="1"/>
      </right>
      <top style="medium">
        <color auto="1"/>
      </top>
      <bottom style="medium">
        <color auto="1"/>
      </bottom>
      <diagonal/>
    </border>
    <border>
      <left style="double">
        <color auto="1"/>
      </left>
      <right style="double">
        <color auto="1"/>
      </right>
      <top style="double">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double">
        <color auto="1"/>
      </top>
      <bottom style="medium">
        <color auto="1"/>
      </bottom>
      <diagonal/>
    </border>
    <border>
      <left style="medium">
        <color auto="1"/>
      </left>
      <right/>
      <top style="double">
        <color auto="1"/>
      </top>
      <bottom style="medium">
        <color auto="1"/>
      </bottom>
      <diagonal/>
    </border>
    <border>
      <left/>
      <right style="medium">
        <color auto="1"/>
      </right>
      <top style="double">
        <color auto="1"/>
      </top>
      <bottom style="medium">
        <color auto="1"/>
      </bottom>
      <diagonal/>
    </border>
    <border>
      <left style="thin">
        <color indexed="64"/>
      </left>
      <right style="thin">
        <color indexed="64"/>
      </right>
      <top style="thin">
        <color indexed="64"/>
      </top>
      <bottom style="thin">
        <color indexed="64"/>
      </bottom>
      <diagonal/>
    </border>
    <border>
      <left style="double">
        <color auto="1"/>
      </left>
      <right/>
      <top style="double">
        <color auto="1"/>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style="thick">
        <color indexed="64"/>
      </left>
      <right style="thick">
        <color indexed="64"/>
      </right>
      <top style="thick">
        <color indexed="64"/>
      </top>
      <bottom/>
      <diagonal/>
    </border>
    <border>
      <left style="medium">
        <color auto="1"/>
      </left>
      <right style="medium">
        <color auto="1"/>
      </right>
      <top/>
      <bottom style="medium">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style="thin">
        <color rgb="FF000000"/>
      </bottom>
      <diagonal/>
    </border>
    <border>
      <left/>
      <right/>
      <top style="thin">
        <color rgb="FF000000"/>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right/>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top/>
      <bottom style="medium">
        <color rgb="FF000000"/>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style="thin">
        <color indexed="64"/>
      </left>
      <right/>
      <top style="thin">
        <color indexed="64"/>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3">
    <xf numFmtId="0" fontId="0" fillId="0" borderId="0"/>
    <xf numFmtId="44" fontId="25" fillId="0" borderId="0" applyFont="0" applyFill="0" applyBorder="0" applyAlignment="0" applyProtection="0"/>
    <xf numFmtId="0" fontId="29" fillId="0" borderId="0" applyNumberFormat="0" applyFill="0" applyBorder="0" applyAlignment="0" applyProtection="0"/>
  </cellStyleXfs>
  <cellXfs count="537">
    <xf numFmtId="0" fontId="0" fillId="0" borderId="0" xfId="0"/>
    <xf numFmtId="0" fontId="2" fillId="0" borderId="0" xfId="0" applyFont="1"/>
    <xf numFmtId="0" fontId="1" fillId="0" borderId="0" xfId="0" applyFont="1"/>
    <xf numFmtId="0" fontId="3" fillId="7" borderId="3" xfId="0" applyFont="1" applyFill="1" applyBorder="1" applyAlignment="1">
      <alignment horizontal="center"/>
    </xf>
    <xf numFmtId="49" fontId="3" fillId="10" borderId="3" xfId="0" applyNumberFormat="1" applyFont="1" applyFill="1" applyBorder="1" applyAlignment="1">
      <alignment horizontal="center"/>
    </xf>
    <xf numFmtId="49" fontId="3" fillId="9" borderId="3" xfId="0" applyNumberFormat="1" applyFont="1" applyFill="1" applyBorder="1" applyAlignment="1">
      <alignment horizontal="center"/>
    </xf>
    <xf numFmtId="49" fontId="3" fillId="8" borderId="3" xfId="0" applyNumberFormat="1" applyFont="1" applyFill="1" applyBorder="1" applyAlignment="1">
      <alignment horizontal="center"/>
    </xf>
    <xf numFmtId="49" fontId="3" fillId="11" borderId="3" xfId="0" applyNumberFormat="1" applyFont="1" applyFill="1" applyBorder="1" applyAlignment="1">
      <alignment horizontal="center"/>
    </xf>
    <xf numFmtId="0" fontId="1" fillId="3" borderId="2" xfId="0" applyFont="1" applyFill="1" applyBorder="1" applyAlignment="1">
      <alignment horizontal="center"/>
    </xf>
    <xf numFmtId="0" fontId="1" fillId="7" borderId="2" xfId="0" applyFont="1" applyFill="1" applyBorder="1"/>
    <xf numFmtId="0" fontId="1" fillId="10" borderId="2" xfId="0" applyFont="1" applyFill="1" applyBorder="1"/>
    <xf numFmtId="0" fontId="1" fillId="9" borderId="2" xfId="0" applyFont="1" applyFill="1" applyBorder="1"/>
    <xf numFmtId="0" fontId="1" fillId="8" borderId="2" xfId="0" applyFont="1" applyFill="1" applyBorder="1"/>
    <xf numFmtId="0" fontId="1" fillId="11" borderId="2" xfId="0" applyFont="1" applyFill="1" applyBorder="1"/>
    <xf numFmtId="0" fontId="1" fillId="12" borderId="2" xfId="0" applyFont="1" applyFill="1" applyBorder="1"/>
    <xf numFmtId="0" fontId="1" fillId="11" borderId="2" xfId="0" applyFont="1" applyFill="1" applyBorder="1" applyAlignment="1">
      <alignment horizontal="center"/>
    </xf>
    <xf numFmtId="0" fontId="1" fillId="9" borderId="2" xfId="0" applyFont="1" applyFill="1" applyBorder="1" applyAlignment="1">
      <alignment horizontal="center"/>
    </xf>
    <xf numFmtId="0" fontId="1" fillId="7" borderId="2" xfId="0" applyFont="1" applyFill="1" applyBorder="1" applyAlignment="1">
      <alignment horizontal="center"/>
    </xf>
    <xf numFmtId="0" fontId="1" fillId="10" borderId="2" xfId="0" applyFont="1" applyFill="1" applyBorder="1" applyAlignment="1">
      <alignment horizontal="center"/>
    </xf>
    <xf numFmtId="0" fontId="1" fillId="4" borderId="2" xfId="0" applyFont="1" applyFill="1" applyBorder="1" applyAlignment="1">
      <alignment horizontal="center"/>
    </xf>
    <xf numFmtId="0" fontId="1" fillId="5" borderId="2" xfId="0" applyFont="1" applyFill="1" applyBorder="1" applyAlignment="1">
      <alignment horizontal="center"/>
    </xf>
    <xf numFmtId="0" fontId="1" fillId="6" borderId="2" xfId="0" applyFont="1" applyFill="1" applyBorder="1" applyAlignment="1">
      <alignment horizontal="center"/>
    </xf>
    <xf numFmtId="0" fontId="1" fillId="3" borderId="6" xfId="0" applyFont="1" applyFill="1" applyBorder="1" applyAlignment="1">
      <alignment horizontal="center"/>
    </xf>
    <xf numFmtId="0" fontId="1" fillId="4" borderId="6" xfId="0" applyFont="1" applyFill="1" applyBorder="1" applyAlignment="1">
      <alignment horizontal="center"/>
    </xf>
    <xf numFmtId="0" fontId="1" fillId="5" borderId="6" xfId="0" applyFont="1" applyFill="1" applyBorder="1" applyAlignment="1">
      <alignment horizontal="center"/>
    </xf>
    <xf numFmtId="0" fontId="1" fillId="6" borderId="6" xfId="0" applyFont="1" applyFill="1" applyBorder="1" applyAlignment="1">
      <alignment horizontal="center"/>
    </xf>
    <xf numFmtId="0" fontId="1" fillId="7" borderId="6" xfId="0" applyFont="1" applyFill="1" applyBorder="1" applyAlignment="1">
      <alignment horizontal="center"/>
    </xf>
    <xf numFmtId="0" fontId="1" fillId="10" borderId="6" xfId="0" applyFont="1" applyFill="1" applyBorder="1" applyAlignment="1">
      <alignment horizontal="center"/>
    </xf>
    <xf numFmtId="0" fontId="1" fillId="12" borderId="4" xfId="0" applyFont="1" applyFill="1" applyBorder="1" applyAlignment="1">
      <alignment horizontal="center"/>
    </xf>
    <xf numFmtId="49" fontId="3" fillId="12" borderId="10" xfId="0" applyNumberFormat="1" applyFont="1" applyFill="1" applyBorder="1" applyAlignment="1">
      <alignment horizontal="center"/>
    </xf>
    <xf numFmtId="0" fontId="1" fillId="12" borderId="7" xfId="0" applyFont="1" applyFill="1" applyBorder="1" applyAlignment="1">
      <alignment horizontal="center"/>
    </xf>
    <xf numFmtId="0" fontId="0" fillId="0" borderId="9" xfId="0" applyBorder="1"/>
    <xf numFmtId="0" fontId="1" fillId="8" borderId="2" xfId="0" applyFont="1" applyFill="1" applyBorder="1" applyAlignment="1">
      <alignment horizontal="center"/>
    </xf>
    <xf numFmtId="0" fontId="1" fillId="11" borderId="6" xfId="0" applyFont="1" applyFill="1" applyBorder="1" applyAlignment="1">
      <alignment horizontal="center"/>
    </xf>
    <xf numFmtId="0" fontId="1" fillId="0" borderId="9" xfId="0" applyFont="1" applyBorder="1" applyAlignment="1">
      <alignment horizontal="center"/>
    </xf>
    <xf numFmtId="0" fontId="0" fillId="0" borderId="9" xfId="0" applyBorder="1" applyAlignment="1">
      <alignment horizontal="center"/>
    </xf>
    <xf numFmtId="0" fontId="1" fillId="9" borderId="6" xfId="0" applyFont="1" applyFill="1" applyBorder="1" applyAlignment="1">
      <alignment horizontal="center"/>
    </xf>
    <xf numFmtId="0" fontId="1" fillId="8" borderId="6" xfId="0" applyFont="1" applyFill="1" applyBorder="1" applyAlignment="1">
      <alignment horizontal="center"/>
    </xf>
    <xf numFmtId="0" fontId="1" fillId="4" borderId="2" xfId="0" applyFont="1" applyFill="1" applyBorder="1" applyAlignment="1">
      <alignment horizontal="center" vertical="center"/>
    </xf>
    <xf numFmtId="0" fontId="1" fillId="5" borderId="2" xfId="0" applyFont="1" applyFill="1" applyBorder="1" applyAlignment="1">
      <alignment horizontal="center" vertical="center"/>
    </xf>
    <xf numFmtId="0" fontId="1" fillId="6" borderId="2" xfId="0" applyFont="1" applyFill="1" applyBorder="1" applyAlignment="1">
      <alignment horizontal="center" vertical="center"/>
    </xf>
    <xf numFmtId="0" fontId="1" fillId="7" borderId="2" xfId="0" applyFont="1" applyFill="1" applyBorder="1" applyAlignment="1">
      <alignment horizontal="center" vertical="center"/>
    </xf>
    <xf numFmtId="0" fontId="1" fillId="10" borderId="2" xfId="0" applyFont="1" applyFill="1" applyBorder="1" applyAlignment="1">
      <alignment horizontal="center" vertical="center"/>
    </xf>
    <xf numFmtId="0" fontId="1" fillId="9" borderId="2" xfId="0" applyFont="1" applyFill="1" applyBorder="1" applyAlignment="1">
      <alignment horizontal="center" vertical="center"/>
    </xf>
    <xf numFmtId="0" fontId="1" fillId="8" borderId="2" xfId="0" applyFont="1" applyFill="1" applyBorder="1" applyAlignment="1">
      <alignment horizontal="center" vertical="center"/>
    </xf>
    <xf numFmtId="0" fontId="1" fillId="11" borderId="2" xfId="0" applyFont="1" applyFill="1" applyBorder="1" applyAlignment="1">
      <alignment horizontal="center" vertical="center"/>
    </xf>
    <xf numFmtId="0" fontId="1" fillId="12" borderId="4" xfId="0" applyFont="1" applyFill="1" applyBorder="1" applyAlignment="1">
      <alignment horizontal="center" vertical="center"/>
    </xf>
    <xf numFmtId="0" fontId="0" fillId="0" borderId="9" xfId="0" applyBorder="1" applyAlignment="1">
      <alignment vertical="center" wrapText="1"/>
    </xf>
    <xf numFmtId="0" fontId="0" fillId="0" borderId="0" xfId="0" applyAlignment="1">
      <alignment wrapText="1"/>
    </xf>
    <xf numFmtId="0" fontId="4" fillId="14" borderId="14" xfId="0" applyFont="1" applyFill="1" applyBorder="1" applyAlignment="1">
      <alignment horizontal="center" vertical="center" wrapText="1"/>
    </xf>
    <xf numFmtId="49" fontId="3" fillId="12" borderId="3" xfId="0" applyNumberFormat="1" applyFont="1" applyFill="1" applyBorder="1" applyAlignment="1">
      <alignment horizontal="center"/>
    </xf>
    <xf numFmtId="0" fontId="4" fillId="15" borderId="9" xfId="0" applyFont="1" applyFill="1" applyBorder="1" applyAlignment="1">
      <alignment vertical="center" wrapText="1"/>
    </xf>
    <xf numFmtId="14" fontId="1" fillId="5" borderId="6" xfId="0" applyNumberFormat="1" applyFont="1" applyFill="1" applyBorder="1" applyAlignment="1">
      <alignment horizontal="center"/>
    </xf>
    <xf numFmtId="0" fontId="1" fillId="12" borderId="6" xfId="0" applyFont="1" applyFill="1" applyBorder="1" applyAlignment="1">
      <alignment horizontal="center"/>
    </xf>
    <xf numFmtId="0" fontId="5" fillId="0" borderId="9" xfId="0" applyFont="1" applyBorder="1" applyAlignment="1">
      <alignment wrapText="1"/>
    </xf>
    <xf numFmtId="0" fontId="1" fillId="12" borderId="2" xfId="0" applyFont="1" applyFill="1" applyBorder="1" applyAlignment="1">
      <alignment horizontal="center"/>
    </xf>
    <xf numFmtId="14" fontId="1" fillId="5" borderId="2" xfId="0" applyNumberFormat="1" applyFont="1" applyFill="1" applyBorder="1" applyAlignment="1">
      <alignment horizontal="center"/>
    </xf>
    <xf numFmtId="0" fontId="6" fillId="0" borderId="9" xfId="0" applyFont="1" applyBorder="1" applyAlignment="1">
      <alignment wrapText="1"/>
    </xf>
    <xf numFmtId="0" fontId="1" fillId="2" borderId="4" xfId="0" applyFont="1" applyFill="1" applyBorder="1" applyAlignment="1">
      <alignment horizontal="left"/>
    </xf>
    <xf numFmtId="0" fontId="1" fillId="2" borderId="5" xfId="0" applyFont="1" applyFill="1" applyBorder="1" applyAlignment="1">
      <alignment horizontal="left"/>
    </xf>
    <xf numFmtId="0" fontId="1" fillId="2" borderId="2" xfId="0" applyFont="1" applyFill="1" applyBorder="1" applyAlignment="1">
      <alignment horizontal="left"/>
    </xf>
    <xf numFmtId="0" fontId="6" fillId="0" borderId="0" xfId="0" applyFont="1"/>
    <xf numFmtId="0" fontId="1" fillId="16" borderId="2" xfId="0" applyFont="1" applyFill="1" applyBorder="1"/>
    <xf numFmtId="0" fontId="5" fillId="0" borderId="0" xfId="0" applyFont="1"/>
    <xf numFmtId="0" fontId="5" fillId="0" borderId="0" xfId="0" applyFont="1" applyAlignment="1">
      <alignment wrapText="1"/>
    </xf>
    <xf numFmtId="0" fontId="1" fillId="7" borderId="9" xfId="0" applyFont="1" applyFill="1" applyBorder="1" applyAlignment="1">
      <alignment horizontal="center" vertical="center"/>
    </xf>
    <xf numFmtId="0" fontId="1" fillId="10" borderId="9" xfId="0" applyFont="1" applyFill="1" applyBorder="1" applyAlignment="1">
      <alignment horizontal="center" vertical="center"/>
    </xf>
    <xf numFmtId="0" fontId="1" fillId="9" borderId="9" xfId="0" applyFont="1" applyFill="1" applyBorder="1" applyAlignment="1">
      <alignment horizontal="center" vertical="center"/>
    </xf>
    <xf numFmtId="0" fontId="1" fillId="8" borderId="9" xfId="0" applyFont="1" applyFill="1" applyBorder="1" applyAlignment="1">
      <alignment horizontal="center" vertical="center"/>
    </xf>
    <xf numFmtId="0" fontId="1" fillId="11" borderId="9" xfId="0" applyFont="1" applyFill="1" applyBorder="1" applyAlignment="1">
      <alignment horizontal="center" vertical="center"/>
    </xf>
    <xf numFmtId="0" fontId="1" fillId="12" borderId="9" xfId="0" applyFont="1" applyFill="1" applyBorder="1" applyAlignment="1">
      <alignment horizontal="center" vertical="center"/>
    </xf>
    <xf numFmtId="0" fontId="0" fillId="0" borderId="9" xfId="0" applyBorder="1" applyAlignment="1">
      <alignment wrapText="1"/>
    </xf>
    <xf numFmtId="0" fontId="1" fillId="2" borderId="6" xfId="0" applyFont="1" applyFill="1" applyBorder="1" applyAlignment="1">
      <alignment horizontal="left"/>
    </xf>
    <xf numFmtId="0" fontId="1" fillId="3" borderId="15" xfId="0" applyFont="1" applyFill="1" applyBorder="1" applyAlignment="1">
      <alignment horizontal="center"/>
    </xf>
    <xf numFmtId="0" fontId="7" fillId="3" borderId="9" xfId="0" applyFont="1" applyFill="1" applyBorder="1" applyAlignment="1">
      <alignment horizontal="center" vertical="center"/>
    </xf>
    <xf numFmtId="0" fontId="9" fillId="14" borderId="9" xfId="0" applyFont="1" applyFill="1" applyBorder="1" applyAlignment="1">
      <alignment horizontal="center" vertical="center" wrapText="1"/>
    </xf>
    <xf numFmtId="0" fontId="0" fillId="3" borderId="9" xfId="0" applyFill="1" applyBorder="1" applyAlignment="1">
      <alignment horizontal="center" vertical="center"/>
    </xf>
    <xf numFmtId="0" fontId="0" fillId="2" borderId="9" xfId="0" applyFill="1" applyBorder="1" applyAlignment="1">
      <alignment vertical="center"/>
    </xf>
    <xf numFmtId="0" fontId="0" fillId="4" borderId="9" xfId="0" applyFill="1" applyBorder="1" applyAlignment="1">
      <alignment horizontal="center" vertical="center"/>
    </xf>
    <xf numFmtId="0" fontId="0" fillId="5" borderId="9" xfId="0" applyFill="1" applyBorder="1" applyAlignment="1">
      <alignment horizontal="center" vertical="center"/>
    </xf>
    <xf numFmtId="0" fontId="0" fillId="6" borderId="9" xfId="0" applyFill="1" applyBorder="1" applyAlignment="1">
      <alignment horizontal="center" vertical="center"/>
    </xf>
    <xf numFmtId="0" fontId="0" fillId="7" borderId="9" xfId="0" applyFill="1" applyBorder="1" applyAlignment="1">
      <alignment horizontal="center" vertical="center"/>
    </xf>
    <xf numFmtId="0" fontId="0" fillId="10" borderId="9" xfId="0" applyFill="1" applyBorder="1" applyAlignment="1">
      <alignment horizontal="center" vertical="center"/>
    </xf>
    <xf numFmtId="0" fontId="0" fillId="9" borderId="9" xfId="0" applyFill="1" applyBorder="1" applyAlignment="1">
      <alignment horizontal="center" vertical="center"/>
    </xf>
    <xf numFmtId="0" fontId="0" fillId="8" borderId="9" xfId="0" applyFill="1" applyBorder="1" applyAlignment="1">
      <alignment horizontal="center" vertical="center"/>
    </xf>
    <xf numFmtId="0" fontId="0" fillId="11" borderId="9" xfId="0" applyFill="1" applyBorder="1" applyAlignment="1">
      <alignment horizontal="center" vertical="center"/>
    </xf>
    <xf numFmtId="0" fontId="0" fillId="12" borderId="9" xfId="0" applyFill="1" applyBorder="1" applyAlignment="1">
      <alignment horizontal="center" vertical="center"/>
    </xf>
    <xf numFmtId="0" fontId="0" fillId="2" borderId="16" xfId="0" applyFill="1" applyBorder="1" applyAlignment="1">
      <alignment vertical="center"/>
    </xf>
    <xf numFmtId="0" fontId="0" fillId="2" borderId="9" xfId="0" applyFill="1" applyBorder="1" applyAlignment="1">
      <alignment horizontal="left" vertical="center"/>
    </xf>
    <xf numFmtId="0" fontId="0" fillId="0" borderId="0" xfId="0"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0" fillId="0" borderId="0" xfId="0" applyAlignment="1">
      <alignment vertical="center" wrapText="1"/>
    </xf>
    <xf numFmtId="0" fontId="1" fillId="0" borderId="0" xfId="0" applyFont="1" applyAlignment="1">
      <alignment vertical="center"/>
    </xf>
    <xf numFmtId="0" fontId="0" fillId="0" borderId="0" xfId="0" applyAlignment="1">
      <alignment horizontal="center" vertical="center"/>
    </xf>
    <xf numFmtId="0" fontId="8" fillId="2" borderId="9" xfId="0" applyFont="1" applyFill="1" applyBorder="1" applyAlignment="1">
      <alignment vertical="center"/>
    </xf>
    <xf numFmtId="0" fontId="8" fillId="4" borderId="9" xfId="0" applyFont="1" applyFill="1" applyBorder="1" applyAlignment="1">
      <alignment vertical="center"/>
    </xf>
    <xf numFmtId="0" fontId="8" fillId="5" borderId="9" xfId="0" applyFont="1" applyFill="1" applyBorder="1" applyAlignment="1">
      <alignment vertical="center"/>
    </xf>
    <xf numFmtId="0" fontId="8" fillId="6" borderId="9" xfId="0" applyFont="1" applyFill="1" applyBorder="1" applyAlignment="1">
      <alignment vertical="center"/>
    </xf>
    <xf numFmtId="0" fontId="8" fillId="7" borderId="9" xfId="0" applyFont="1" applyFill="1" applyBorder="1" applyAlignment="1">
      <alignment horizontal="center" vertical="center"/>
    </xf>
    <xf numFmtId="49" fontId="8" fillId="10" borderId="9" xfId="0" applyNumberFormat="1" applyFont="1" applyFill="1" applyBorder="1" applyAlignment="1">
      <alignment horizontal="center" vertical="center"/>
    </xf>
    <xf numFmtId="49" fontId="8" fillId="9" borderId="9" xfId="0" applyNumberFormat="1" applyFont="1" applyFill="1" applyBorder="1" applyAlignment="1">
      <alignment horizontal="center" vertical="center"/>
    </xf>
    <xf numFmtId="49" fontId="8" fillId="8" borderId="9" xfId="0" applyNumberFormat="1" applyFont="1" applyFill="1" applyBorder="1" applyAlignment="1">
      <alignment horizontal="center" vertical="center"/>
    </xf>
    <xf numFmtId="49" fontId="8" fillId="11" borderId="9" xfId="0" applyNumberFormat="1" applyFont="1" applyFill="1" applyBorder="1" applyAlignment="1">
      <alignment horizontal="center" vertical="center"/>
    </xf>
    <xf numFmtId="49" fontId="8" fillId="12" borderId="9" xfId="0" applyNumberFormat="1" applyFont="1" applyFill="1" applyBorder="1" applyAlignment="1">
      <alignment horizontal="center" vertical="center"/>
    </xf>
    <xf numFmtId="0" fontId="10" fillId="0" borderId="0" xfId="0" applyFont="1" applyAlignment="1">
      <alignment vertical="center"/>
    </xf>
    <xf numFmtId="0" fontId="1" fillId="0" borderId="0" xfId="0" applyFont="1" applyAlignment="1">
      <alignment horizontal="center" vertical="center"/>
    </xf>
    <xf numFmtId="0" fontId="8" fillId="3" borderId="9" xfId="0" applyFont="1" applyFill="1" applyBorder="1" applyAlignment="1">
      <alignment horizontal="center" vertical="center"/>
    </xf>
    <xf numFmtId="0" fontId="7"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10" borderId="0" xfId="0" applyFill="1"/>
    <xf numFmtId="0" fontId="11" fillId="7" borderId="0" xfId="0" applyFont="1" applyFill="1"/>
    <xf numFmtId="0" fontId="12" fillId="0" borderId="0" xfId="0" applyFont="1"/>
    <xf numFmtId="0" fontId="0" fillId="0" borderId="0" xfId="0" applyAlignment="1">
      <alignment horizontal="left" indent="2"/>
    </xf>
    <xf numFmtId="0" fontId="14" fillId="0" borderId="17" xfId="0" applyFont="1" applyBorder="1"/>
    <xf numFmtId="0" fontId="13" fillId="17" borderId="17" xfId="0" applyFont="1" applyFill="1" applyBorder="1" applyAlignment="1">
      <alignment horizontal="left"/>
    </xf>
    <xf numFmtId="0" fontId="13" fillId="18" borderId="17" xfId="0" applyFont="1" applyFill="1" applyBorder="1" applyAlignment="1">
      <alignment horizontal="center"/>
    </xf>
    <xf numFmtId="0" fontId="13" fillId="19" borderId="17" xfId="0" applyFont="1" applyFill="1" applyBorder="1" applyAlignment="1">
      <alignment horizontal="center"/>
    </xf>
    <xf numFmtId="0" fontId="13" fillId="0" borderId="17" xfId="0" applyFont="1" applyBorder="1" applyAlignment="1">
      <alignment horizontal="left"/>
    </xf>
    <xf numFmtId="0" fontId="13" fillId="0" borderId="17" xfId="0" applyFont="1" applyBorder="1" applyAlignment="1">
      <alignment horizontal="center"/>
    </xf>
    <xf numFmtId="0" fontId="8" fillId="6" borderId="9" xfId="0" applyFont="1" applyFill="1" applyBorder="1" applyAlignment="1">
      <alignment horizontal="center" vertical="center"/>
    </xf>
    <xf numFmtId="0" fontId="14" fillId="0" borderId="17" xfId="0" applyFont="1" applyBorder="1" applyAlignment="1">
      <alignment horizontal="center"/>
    </xf>
    <xf numFmtId="0" fontId="13" fillId="20" borderId="17" xfId="0" applyFont="1" applyFill="1" applyBorder="1" applyAlignment="1">
      <alignment horizontal="center"/>
    </xf>
    <xf numFmtId="0" fontId="0" fillId="0" borderId="0" xfId="0" applyAlignment="1">
      <alignment horizontal="center"/>
    </xf>
    <xf numFmtId="0" fontId="14" fillId="0" borderId="0" xfId="0" applyFont="1" applyAlignment="1">
      <alignment horizontal="center"/>
    </xf>
    <xf numFmtId="14" fontId="13" fillId="19" borderId="17" xfId="0" applyNumberFormat="1" applyFont="1" applyFill="1" applyBorder="1" applyAlignment="1">
      <alignment horizontal="center"/>
    </xf>
    <xf numFmtId="0" fontId="8" fillId="21" borderId="9" xfId="0" applyFont="1" applyFill="1" applyBorder="1" applyAlignment="1">
      <alignment horizontal="center" vertical="center"/>
    </xf>
    <xf numFmtId="0" fontId="13" fillId="21" borderId="17" xfId="0" applyFont="1" applyFill="1" applyBorder="1" applyAlignment="1">
      <alignment horizontal="center"/>
    </xf>
    <xf numFmtId="0" fontId="15" fillId="3" borderId="9" xfId="0" applyFont="1" applyFill="1" applyBorder="1" applyAlignment="1">
      <alignment horizontal="center" vertical="center"/>
    </xf>
    <xf numFmtId="0" fontId="15" fillId="2" borderId="9" xfId="0" applyFont="1" applyFill="1" applyBorder="1" applyAlignment="1">
      <alignment vertical="center"/>
    </xf>
    <xf numFmtId="0" fontId="15" fillId="4" borderId="9" xfId="0" applyFont="1" applyFill="1" applyBorder="1" applyAlignment="1">
      <alignment horizontal="center" vertical="center"/>
    </xf>
    <xf numFmtId="0" fontId="15" fillId="5" borderId="9" xfId="0" applyFont="1" applyFill="1" applyBorder="1" applyAlignment="1">
      <alignment horizontal="center" vertical="center"/>
    </xf>
    <xf numFmtId="0" fontId="15" fillId="6" borderId="9" xfId="0" applyFont="1" applyFill="1" applyBorder="1" applyAlignment="1">
      <alignment horizontal="center" vertical="center"/>
    </xf>
    <xf numFmtId="0" fontId="15" fillId="7" borderId="9" xfId="0" applyFont="1" applyFill="1" applyBorder="1" applyAlignment="1">
      <alignment horizontal="center" vertical="center"/>
    </xf>
    <xf numFmtId="0" fontId="15" fillId="10" borderId="9" xfId="0" applyFont="1" applyFill="1" applyBorder="1" applyAlignment="1">
      <alignment horizontal="center" vertical="center"/>
    </xf>
    <xf numFmtId="0" fontId="15" fillId="9" borderId="9" xfId="0" applyFont="1" applyFill="1" applyBorder="1" applyAlignment="1">
      <alignment horizontal="center" vertical="center"/>
    </xf>
    <xf numFmtId="0" fontId="15" fillId="8" borderId="9" xfId="0" applyFont="1" applyFill="1" applyBorder="1" applyAlignment="1">
      <alignment horizontal="center" vertical="center"/>
    </xf>
    <xf numFmtId="0" fontId="15" fillId="11" borderId="9" xfId="0" applyFont="1" applyFill="1" applyBorder="1" applyAlignment="1">
      <alignment horizontal="center" vertical="center"/>
    </xf>
    <xf numFmtId="0" fontId="15" fillId="12" borderId="9" xfId="0" applyFont="1" applyFill="1" applyBorder="1" applyAlignment="1">
      <alignment horizontal="center" vertical="center"/>
    </xf>
    <xf numFmtId="0" fontId="15" fillId="0" borderId="9" xfId="0" applyFont="1" applyBorder="1" applyAlignment="1">
      <alignment vertical="center" wrapText="1"/>
    </xf>
    <xf numFmtId="0" fontId="16" fillId="0" borderId="0" xfId="0" applyFont="1"/>
    <xf numFmtId="0" fontId="17" fillId="0" borderId="0" xfId="0" applyFont="1"/>
    <xf numFmtId="0" fontId="18" fillId="0" borderId="0" xfId="0" applyFont="1"/>
    <xf numFmtId="14" fontId="0" fillId="6" borderId="9" xfId="0" applyNumberFormat="1" applyFill="1" applyBorder="1" applyAlignment="1">
      <alignment horizontal="center" vertical="center"/>
    </xf>
    <xf numFmtId="0" fontId="20" fillId="17" borderId="17" xfId="0" applyFont="1" applyFill="1" applyBorder="1" applyAlignment="1">
      <alignment horizontal="left"/>
    </xf>
    <xf numFmtId="0" fontId="20" fillId="18" borderId="17" xfId="0" applyFont="1" applyFill="1" applyBorder="1" applyAlignment="1">
      <alignment horizontal="center"/>
    </xf>
    <xf numFmtId="0" fontId="20" fillId="19" borderId="17" xfId="0" applyFont="1" applyFill="1" applyBorder="1" applyAlignment="1">
      <alignment horizontal="center"/>
    </xf>
    <xf numFmtId="0" fontId="20" fillId="20" borderId="17" xfId="0" applyFont="1" applyFill="1" applyBorder="1" applyAlignment="1">
      <alignment horizontal="center"/>
    </xf>
    <xf numFmtId="0" fontId="20" fillId="21" borderId="17" xfId="0" applyFont="1" applyFill="1" applyBorder="1" applyAlignment="1">
      <alignment horizontal="center"/>
    </xf>
    <xf numFmtId="0" fontId="15" fillId="0" borderId="0" xfId="0" applyFont="1"/>
    <xf numFmtId="0" fontId="7" fillId="3" borderId="9" xfId="0" applyFont="1" applyFill="1" applyBorder="1" applyAlignment="1">
      <alignment horizontal="center" vertical="center" wrapText="1"/>
    </xf>
    <xf numFmtId="0" fontId="8" fillId="2" borderId="9" xfId="0" applyFont="1" applyFill="1" applyBorder="1" applyAlignment="1">
      <alignment vertical="center" wrapText="1"/>
    </xf>
    <xf numFmtId="0" fontId="8" fillId="4" borderId="9" xfId="0" applyFont="1" applyFill="1" applyBorder="1" applyAlignment="1">
      <alignment vertical="center" wrapText="1"/>
    </xf>
    <xf numFmtId="0" fontId="8" fillId="5" borderId="9" xfId="0" applyFont="1" applyFill="1" applyBorder="1" applyAlignment="1">
      <alignment vertical="center" wrapText="1"/>
    </xf>
    <xf numFmtId="0" fontId="8" fillId="6" borderId="9" xfId="0" applyFont="1" applyFill="1" applyBorder="1" applyAlignment="1">
      <alignment vertical="center" wrapText="1"/>
    </xf>
    <xf numFmtId="0" fontId="8" fillId="7" borderId="9" xfId="0" applyFont="1" applyFill="1" applyBorder="1" applyAlignment="1">
      <alignment horizontal="center" vertical="center" wrapText="1"/>
    </xf>
    <xf numFmtId="49" fontId="8" fillId="10" borderId="9" xfId="0" applyNumberFormat="1" applyFont="1" applyFill="1" applyBorder="1" applyAlignment="1">
      <alignment horizontal="center" vertical="center" wrapText="1"/>
    </xf>
    <xf numFmtId="49" fontId="8" fillId="9" borderId="9" xfId="0" applyNumberFormat="1" applyFont="1" applyFill="1" applyBorder="1" applyAlignment="1">
      <alignment horizontal="center" vertical="center" wrapText="1"/>
    </xf>
    <xf numFmtId="49" fontId="8" fillId="8" borderId="9" xfId="0" applyNumberFormat="1" applyFont="1" applyFill="1" applyBorder="1" applyAlignment="1">
      <alignment horizontal="center" vertical="center" wrapText="1"/>
    </xf>
    <xf numFmtId="49" fontId="8" fillId="11" borderId="9" xfId="0" applyNumberFormat="1" applyFont="1" applyFill="1" applyBorder="1" applyAlignment="1">
      <alignment horizontal="center" vertical="center" wrapText="1"/>
    </xf>
    <xf numFmtId="49" fontId="8" fillId="12" borderId="9" xfId="0" applyNumberFormat="1" applyFont="1" applyFill="1" applyBorder="1" applyAlignment="1">
      <alignment horizontal="center" vertical="center" wrapText="1"/>
    </xf>
    <xf numFmtId="0" fontId="17" fillId="25" borderId="9" xfId="0" applyFont="1" applyFill="1" applyBorder="1" applyAlignment="1">
      <alignment horizontal="center"/>
    </xf>
    <xf numFmtId="0" fontId="17" fillId="22" borderId="9" xfId="0" applyFont="1" applyFill="1" applyBorder="1"/>
    <xf numFmtId="0" fontId="17" fillId="23" borderId="9" xfId="0" applyFont="1" applyFill="1" applyBorder="1"/>
    <xf numFmtId="0" fontId="17" fillId="23" borderId="19" xfId="0" applyFont="1" applyFill="1" applyBorder="1"/>
    <xf numFmtId="0" fontId="16" fillId="26" borderId="9" xfId="0" applyFont="1" applyFill="1" applyBorder="1"/>
    <xf numFmtId="0" fontId="17" fillId="0" borderId="9" xfId="0" applyFont="1" applyBorder="1" applyAlignment="1">
      <alignment wrapText="1"/>
    </xf>
    <xf numFmtId="0" fontId="17" fillId="0" borderId="19" xfId="0" applyFont="1" applyBorder="1" applyAlignment="1">
      <alignment wrapText="1"/>
    </xf>
    <xf numFmtId="0" fontId="17" fillId="26" borderId="9" xfId="0" applyFont="1" applyFill="1" applyBorder="1"/>
    <xf numFmtId="0" fontId="0" fillId="6" borderId="9" xfId="0" quotePrefix="1" applyFill="1" applyBorder="1" applyAlignment="1">
      <alignment horizontal="center" vertical="center"/>
    </xf>
    <xf numFmtId="0" fontId="16" fillId="22" borderId="20" xfId="0" applyFont="1" applyFill="1" applyBorder="1"/>
    <xf numFmtId="0" fontId="24" fillId="22" borderId="20" xfId="0" applyFont="1" applyFill="1" applyBorder="1"/>
    <xf numFmtId="0" fontId="16" fillId="22" borderId="19" xfId="0" applyFont="1" applyFill="1" applyBorder="1"/>
    <xf numFmtId="0" fontId="16" fillId="23" borderId="9" xfId="0" applyFont="1" applyFill="1" applyBorder="1"/>
    <xf numFmtId="0" fontId="16" fillId="23" borderId="19" xfId="0" applyFont="1" applyFill="1" applyBorder="1"/>
    <xf numFmtId="14" fontId="16" fillId="24" borderId="9" xfId="0" applyNumberFormat="1" applyFont="1" applyFill="1" applyBorder="1"/>
    <xf numFmtId="0" fontId="16" fillId="24" borderId="19" xfId="0" applyFont="1" applyFill="1" applyBorder="1"/>
    <xf numFmtId="14" fontId="16" fillId="24" borderId="19" xfId="0" applyNumberFormat="1" applyFont="1" applyFill="1" applyBorder="1"/>
    <xf numFmtId="0" fontId="16" fillId="25" borderId="9" xfId="0" applyFont="1" applyFill="1" applyBorder="1"/>
    <xf numFmtId="0" fontId="16" fillId="25" borderId="19" xfId="0" applyFont="1" applyFill="1" applyBorder="1"/>
    <xf numFmtId="0" fontId="16" fillId="31" borderId="9" xfId="0" applyFont="1" applyFill="1" applyBorder="1"/>
    <xf numFmtId="0" fontId="16" fillId="30" borderId="9" xfId="0" applyFont="1" applyFill="1" applyBorder="1"/>
    <xf numFmtId="0" fontId="16" fillId="29" borderId="9" xfId="0" applyFont="1" applyFill="1" applyBorder="1"/>
    <xf numFmtId="0" fontId="16" fillId="28" borderId="9" xfId="0" applyFont="1" applyFill="1" applyBorder="1"/>
    <xf numFmtId="0" fontId="16" fillId="27" borderId="9" xfId="0" applyFont="1" applyFill="1" applyBorder="1"/>
    <xf numFmtId="0" fontId="24" fillId="32" borderId="9" xfId="0" applyFont="1" applyFill="1" applyBorder="1" applyAlignment="1">
      <alignment wrapText="1"/>
    </xf>
    <xf numFmtId="0" fontId="24" fillId="32" borderId="19" xfId="0" applyFont="1" applyFill="1" applyBorder="1" applyAlignment="1">
      <alignment wrapText="1"/>
    </xf>
    <xf numFmtId="0" fontId="24" fillId="0" borderId="19" xfId="0" applyFont="1" applyBorder="1" applyAlignment="1">
      <alignment wrapText="1"/>
    </xf>
    <xf numFmtId="0" fontId="24" fillId="0" borderId="21" xfId="0" applyFont="1" applyBorder="1" applyAlignment="1">
      <alignment wrapText="1"/>
    </xf>
    <xf numFmtId="0" fontId="24" fillId="0" borderId="9" xfId="0" applyFont="1" applyBorder="1" applyAlignment="1">
      <alignment wrapText="1"/>
    </xf>
    <xf numFmtId="0" fontId="24" fillId="0" borderId="18" xfId="0" applyFont="1" applyBorder="1" applyAlignment="1">
      <alignment wrapText="1"/>
    </xf>
    <xf numFmtId="0" fontId="16" fillId="22" borderId="16" xfId="0" applyFont="1" applyFill="1" applyBorder="1"/>
    <xf numFmtId="0" fontId="0" fillId="5" borderId="9" xfId="0" quotePrefix="1" applyFill="1" applyBorder="1" applyAlignment="1">
      <alignment horizontal="center" vertical="center"/>
    </xf>
    <xf numFmtId="0" fontId="16" fillId="0" borderId="0" xfId="0" applyFont="1" applyAlignment="1">
      <alignment horizontal="center"/>
    </xf>
    <xf numFmtId="0" fontId="17" fillId="0" borderId="0" xfId="0" applyFont="1" applyAlignment="1">
      <alignment horizontal="center"/>
    </xf>
    <xf numFmtId="0" fontId="17" fillId="24" borderId="9" xfId="0" applyFont="1" applyFill="1" applyBorder="1"/>
    <xf numFmtId="0" fontId="21" fillId="27" borderId="9" xfId="0" applyFont="1" applyFill="1" applyBorder="1" applyAlignment="1">
      <alignment wrapText="1"/>
    </xf>
    <xf numFmtId="14" fontId="17" fillId="24" borderId="9" xfId="0" applyNumberFormat="1" applyFont="1" applyFill="1" applyBorder="1"/>
    <xf numFmtId="0" fontId="19" fillId="0" borderId="9" xfId="0" applyFont="1" applyBorder="1" applyAlignment="1">
      <alignment wrapText="1"/>
    </xf>
    <xf numFmtId="0" fontId="16" fillId="10" borderId="9" xfId="0" applyFont="1" applyFill="1" applyBorder="1"/>
    <xf numFmtId="0" fontId="19" fillId="27" borderId="9" xfId="0" applyFont="1" applyFill="1" applyBorder="1" applyAlignment="1">
      <alignment wrapText="1"/>
    </xf>
    <xf numFmtId="0" fontId="17" fillId="27" borderId="9" xfId="0" applyFont="1" applyFill="1" applyBorder="1"/>
    <xf numFmtId="0" fontId="17" fillId="28" borderId="9" xfId="0" applyFont="1" applyFill="1" applyBorder="1"/>
    <xf numFmtId="0" fontId="17" fillId="29" borderId="9" xfId="0" applyFont="1" applyFill="1" applyBorder="1"/>
    <xf numFmtId="0" fontId="17" fillId="30" borderId="9" xfId="0" applyFont="1" applyFill="1" applyBorder="1"/>
    <xf numFmtId="0" fontId="17" fillId="31" borderId="9" xfId="0" applyFont="1" applyFill="1" applyBorder="1"/>
    <xf numFmtId="0" fontId="22" fillId="31" borderId="9" xfId="0" applyFont="1" applyFill="1" applyBorder="1"/>
    <xf numFmtId="0" fontId="21" fillId="0" borderId="9" xfId="0" applyFont="1" applyBorder="1" applyAlignment="1">
      <alignment wrapText="1"/>
    </xf>
    <xf numFmtId="0" fontId="17" fillId="26" borderId="9" xfId="0" applyFont="1" applyFill="1" applyBorder="1" applyAlignment="1">
      <alignment horizontal="center"/>
    </xf>
    <xf numFmtId="0" fontId="17" fillId="27" borderId="9" xfId="0" applyFont="1" applyFill="1" applyBorder="1" applyAlignment="1">
      <alignment horizontal="center"/>
    </xf>
    <xf numFmtId="0" fontId="17" fillId="28" borderId="9" xfId="0" applyFont="1" applyFill="1" applyBorder="1" applyAlignment="1">
      <alignment horizontal="center"/>
    </xf>
    <xf numFmtId="0" fontId="17" fillId="29" borderId="9" xfId="0" applyFont="1" applyFill="1" applyBorder="1" applyAlignment="1">
      <alignment horizontal="center"/>
    </xf>
    <xf numFmtId="0" fontId="17" fillId="30" borderId="9" xfId="0" applyFont="1" applyFill="1" applyBorder="1" applyAlignment="1">
      <alignment horizontal="center"/>
    </xf>
    <xf numFmtId="0" fontId="17" fillId="31" borderId="9" xfId="0" applyFont="1" applyFill="1" applyBorder="1" applyAlignment="1">
      <alignment horizontal="center"/>
    </xf>
    <xf numFmtId="0" fontId="17" fillId="10" borderId="9" xfId="0" applyFont="1" applyFill="1" applyBorder="1" applyAlignment="1">
      <alignment horizontal="center"/>
    </xf>
    <xf numFmtId="44" fontId="0" fillId="6" borderId="9" xfId="1" applyFont="1" applyFill="1" applyBorder="1" applyAlignment="1">
      <alignment horizontal="center" vertical="center"/>
    </xf>
    <xf numFmtId="44" fontId="8" fillId="6" borderId="9" xfId="1" applyFont="1" applyFill="1" applyBorder="1" applyAlignment="1">
      <alignment vertical="center" wrapText="1"/>
    </xf>
    <xf numFmtId="0" fontId="26" fillId="3" borderId="9" xfId="0" applyFont="1" applyFill="1" applyBorder="1" applyAlignment="1">
      <alignment horizontal="center" vertical="center"/>
    </xf>
    <xf numFmtId="0" fontId="27" fillId="22" borderId="20" xfId="0" applyFont="1" applyFill="1" applyBorder="1"/>
    <xf numFmtId="0" fontId="27" fillId="23" borderId="19" xfId="0" applyFont="1" applyFill="1" applyBorder="1"/>
    <xf numFmtId="14" fontId="27" fillId="24" borderId="19" xfId="0" applyNumberFormat="1" applyFont="1" applyFill="1" applyBorder="1"/>
    <xf numFmtId="0" fontId="27" fillId="25" borderId="19" xfId="0" applyFont="1" applyFill="1" applyBorder="1"/>
    <xf numFmtId="0" fontId="26" fillId="6" borderId="9" xfId="0" applyFont="1" applyFill="1" applyBorder="1" applyAlignment="1">
      <alignment horizontal="center" vertical="center"/>
    </xf>
    <xf numFmtId="0" fontId="26" fillId="7" borderId="9" xfId="0" applyFont="1" applyFill="1" applyBorder="1" applyAlignment="1">
      <alignment horizontal="center" vertical="center"/>
    </xf>
    <xf numFmtId="0" fontId="26" fillId="9" borderId="9" xfId="0" applyFont="1" applyFill="1" applyBorder="1" applyAlignment="1">
      <alignment horizontal="center" vertical="center"/>
    </xf>
    <xf numFmtId="0" fontId="26" fillId="8" borderId="9" xfId="0" applyFont="1" applyFill="1" applyBorder="1" applyAlignment="1">
      <alignment horizontal="center" vertical="center"/>
    </xf>
    <xf numFmtId="0" fontId="27" fillId="0" borderId="19" xfId="0" applyFont="1" applyBorder="1" applyAlignment="1">
      <alignment wrapText="1"/>
    </xf>
    <xf numFmtId="0" fontId="26" fillId="0" borderId="0" xfId="0" applyFont="1"/>
    <xf numFmtId="0" fontId="0" fillId="3" borderId="18" xfId="0" applyFill="1" applyBorder="1" applyAlignment="1">
      <alignment horizontal="center" vertical="center"/>
    </xf>
    <xf numFmtId="0" fontId="0" fillId="2" borderId="18" xfId="0" applyFill="1" applyBorder="1" applyAlignment="1">
      <alignment vertical="center"/>
    </xf>
    <xf numFmtId="0" fontId="0" fillId="4" borderId="18" xfId="0" applyFill="1" applyBorder="1" applyAlignment="1">
      <alignment horizontal="center" vertical="center"/>
    </xf>
    <xf numFmtId="0" fontId="0" fillId="5" borderId="18" xfId="0" applyFill="1" applyBorder="1" applyAlignment="1">
      <alignment horizontal="center" vertical="center"/>
    </xf>
    <xf numFmtId="0" fontId="0" fillId="6" borderId="18" xfId="0" applyFill="1" applyBorder="1" applyAlignment="1">
      <alignment horizontal="center" vertical="center"/>
    </xf>
    <xf numFmtId="0" fontId="0" fillId="7" borderId="18" xfId="0" applyFill="1" applyBorder="1" applyAlignment="1">
      <alignment horizontal="center" vertical="center"/>
    </xf>
    <xf numFmtId="0" fontId="0" fillId="10" borderId="18" xfId="0" applyFill="1" applyBorder="1" applyAlignment="1">
      <alignment horizontal="center" vertical="center"/>
    </xf>
    <xf numFmtId="0" fontId="0" fillId="9" borderId="18" xfId="0" applyFill="1" applyBorder="1" applyAlignment="1">
      <alignment horizontal="center" vertical="center"/>
    </xf>
    <xf numFmtId="0" fontId="0" fillId="8" borderId="18" xfId="0" applyFill="1" applyBorder="1" applyAlignment="1">
      <alignment horizontal="center" vertical="center"/>
    </xf>
    <xf numFmtId="0" fontId="0" fillId="11" borderId="18" xfId="0" applyFill="1" applyBorder="1" applyAlignment="1">
      <alignment horizontal="center" vertical="center"/>
    </xf>
    <xf numFmtId="0" fontId="0" fillId="12" borderId="18" xfId="0" applyFill="1" applyBorder="1" applyAlignment="1">
      <alignment horizontal="center" vertical="center"/>
    </xf>
    <xf numFmtId="0" fontId="0" fillId="0" borderId="18" xfId="0" applyBorder="1" applyAlignment="1">
      <alignment vertical="center" wrapText="1"/>
    </xf>
    <xf numFmtId="0" fontId="0" fillId="3" borderId="23" xfId="0" applyFill="1" applyBorder="1" applyAlignment="1">
      <alignment horizontal="center" vertical="center"/>
    </xf>
    <xf numFmtId="0" fontId="0" fillId="4" borderId="23" xfId="0" applyFill="1" applyBorder="1" applyAlignment="1">
      <alignment horizontal="center" vertical="center"/>
    </xf>
    <xf numFmtId="0" fontId="0" fillId="5" borderId="23" xfId="0" applyFill="1" applyBorder="1" applyAlignment="1">
      <alignment horizontal="center" vertical="center"/>
    </xf>
    <xf numFmtId="0" fontId="0" fillId="6" borderId="23" xfId="0" applyFill="1" applyBorder="1" applyAlignment="1">
      <alignment horizontal="center" vertical="center"/>
    </xf>
    <xf numFmtId="0" fontId="0" fillId="7" borderId="23" xfId="0" applyFill="1" applyBorder="1" applyAlignment="1">
      <alignment horizontal="center" vertical="center"/>
    </xf>
    <xf numFmtId="0" fontId="0" fillId="10" borderId="23" xfId="0" applyFill="1" applyBorder="1" applyAlignment="1">
      <alignment horizontal="center" vertical="center"/>
    </xf>
    <xf numFmtId="0" fontId="0" fillId="9" borderId="23" xfId="0" applyFill="1" applyBorder="1" applyAlignment="1">
      <alignment horizontal="center" vertical="center"/>
    </xf>
    <xf numFmtId="0" fontId="0" fillId="8"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center" vertical="center"/>
    </xf>
    <xf numFmtId="0" fontId="0" fillId="0" borderId="23" xfId="0" applyBorder="1" applyAlignment="1">
      <alignment vertical="center" wrapText="1"/>
    </xf>
    <xf numFmtId="0" fontId="0" fillId="0" borderId="24" xfId="0" applyBorder="1"/>
    <xf numFmtId="0" fontId="0" fillId="3" borderId="19" xfId="0" applyFill="1" applyBorder="1" applyAlignment="1">
      <alignment horizontal="center" vertical="center"/>
    </xf>
    <xf numFmtId="0" fontId="0" fillId="2" borderId="19" xfId="0" applyFill="1" applyBorder="1" applyAlignment="1">
      <alignment vertical="center"/>
    </xf>
    <xf numFmtId="0" fontId="0" fillId="4" borderId="19" xfId="0" applyFill="1" applyBorder="1" applyAlignment="1">
      <alignment horizontal="center" vertical="center"/>
    </xf>
    <xf numFmtId="0" fontId="0" fillId="5" borderId="19" xfId="0" applyFill="1" applyBorder="1" applyAlignment="1">
      <alignment horizontal="center" vertical="center"/>
    </xf>
    <xf numFmtId="0" fontId="0" fillId="6" borderId="19" xfId="0" applyFill="1" applyBorder="1" applyAlignment="1">
      <alignment horizontal="center" vertical="center"/>
    </xf>
    <xf numFmtId="0" fontId="0" fillId="7" borderId="19" xfId="0" applyFill="1" applyBorder="1" applyAlignment="1">
      <alignment horizontal="center" vertical="center"/>
    </xf>
    <xf numFmtId="0" fontId="0" fillId="10" borderId="19" xfId="0" applyFill="1" applyBorder="1" applyAlignment="1">
      <alignment horizontal="center" vertical="center"/>
    </xf>
    <xf numFmtId="0" fontId="0" fillId="9" borderId="19" xfId="0" applyFill="1" applyBorder="1" applyAlignment="1">
      <alignment horizontal="center" vertical="center"/>
    </xf>
    <xf numFmtId="0" fontId="0" fillId="8" borderId="19" xfId="0" applyFill="1" applyBorder="1" applyAlignment="1">
      <alignment horizontal="center" vertical="center"/>
    </xf>
    <xf numFmtId="0" fontId="0" fillId="11" borderId="19" xfId="0" applyFill="1" applyBorder="1" applyAlignment="1">
      <alignment horizontal="center" vertical="center"/>
    </xf>
    <xf numFmtId="0" fontId="0" fillId="12" borderId="19" xfId="0" applyFill="1" applyBorder="1" applyAlignment="1">
      <alignment horizontal="center" vertical="center"/>
    </xf>
    <xf numFmtId="0" fontId="0" fillId="0" borderId="19" xfId="0" applyBorder="1" applyAlignment="1">
      <alignment vertical="center" wrapText="1"/>
    </xf>
    <xf numFmtId="0" fontId="0" fillId="3" borderId="17" xfId="0" applyFill="1" applyBorder="1" applyAlignment="1">
      <alignment horizontal="center" vertical="center"/>
    </xf>
    <xf numFmtId="0" fontId="0" fillId="3" borderId="25" xfId="0" applyFill="1" applyBorder="1" applyAlignment="1">
      <alignment horizontal="center" vertical="center"/>
    </xf>
    <xf numFmtId="0" fontId="0" fillId="2" borderId="26" xfId="0" applyFill="1" applyBorder="1" applyAlignment="1">
      <alignment vertical="center"/>
    </xf>
    <xf numFmtId="0" fontId="15" fillId="5" borderId="9" xfId="0" quotePrefix="1" applyFont="1" applyFill="1" applyBorder="1" applyAlignment="1">
      <alignment horizontal="center" vertical="center"/>
    </xf>
    <xf numFmtId="14" fontId="20" fillId="19" borderId="17" xfId="0" applyNumberFormat="1" applyFont="1" applyFill="1" applyBorder="1" applyAlignment="1">
      <alignment horizontal="center"/>
    </xf>
    <xf numFmtId="0" fontId="28" fillId="23" borderId="9" xfId="0" applyFont="1" applyFill="1" applyBorder="1" applyAlignment="1">
      <alignment horizontal="center" vertical="center"/>
    </xf>
    <xf numFmtId="0" fontId="28" fillId="25" borderId="9" xfId="0" applyFont="1" applyFill="1" applyBorder="1" applyAlignment="1">
      <alignment horizontal="center" vertical="center"/>
    </xf>
    <xf numFmtId="17" fontId="0" fillId="6" borderId="9" xfId="0" applyNumberFormat="1" applyFill="1" applyBorder="1" applyAlignment="1">
      <alignment horizontal="center" vertical="center"/>
    </xf>
    <xf numFmtId="1" fontId="0" fillId="6" borderId="9" xfId="1" applyNumberFormat="1" applyFont="1" applyFill="1" applyBorder="1" applyAlignment="1">
      <alignment horizontal="center" vertical="center"/>
    </xf>
    <xf numFmtId="0" fontId="23" fillId="20" borderId="17" xfId="0" applyFont="1" applyFill="1" applyBorder="1" applyAlignment="1">
      <alignment horizontal="center"/>
    </xf>
    <xf numFmtId="14" fontId="0" fillId="5" borderId="9" xfId="0" applyNumberFormat="1" applyFill="1" applyBorder="1" applyAlignment="1">
      <alignment horizontal="center" vertical="center" wrapText="1"/>
    </xf>
    <xf numFmtId="0" fontId="0" fillId="2" borderId="9" xfId="0" applyFill="1" applyBorder="1" applyAlignment="1">
      <alignment horizontal="center" vertical="center"/>
    </xf>
    <xf numFmtId="0" fontId="26" fillId="4" borderId="9" xfId="0" applyFont="1" applyFill="1" applyBorder="1" applyAlignment="1">
      <alignment horizontal="center" vertical="center"/>
    </xf>
    <xf numFmtId="44" fontId="26" fillId="6" borderId="9" xfId="1" applyFont="1" applyFill="1" applyBorder="1" applyAlignment="1">
      <alignment horizontal="center" vertical="center"/>
    </xf>
    <xf numFmtId="0" fontId="26" fillId="0" borderId="9" xfId="0" applyFont="1" applyBorder="1" applyAlignment="1">
      <alignment vertical="center" wrapText="1"/>
    </xf>
    <xf numFmtId="0" fontId="0" fillId="2" borderId="9" xfId="0" applyFill="1" applyBorder="1" applyAlignment="1">
      <alignment horizontal="center" vertical="center" wrapText="1"/>
    </xf>
    <xf numFmtId="0" fontId="26" fillId="2" borderId="9" xfId="0" applyFont="1" applyFill="1" applyBorder="1" applyAlignment="1">
      <alignment horizontal="center" vertical="center"/>
    </xf>
    <xf numFmtId="0" fontId="0" fillId="6" borderId="0" xfId="0" applyFill="1" applyAlignment="1">
      <alignment horizontal="center" vertical="center"/>
    </xf>
    <xf numFmtId="0" fontId="16" fillId="23" borderId="21" xfId="0" applyFont="1" applyFill="1" applyBorder="1"/>
    <xf numFmtId="0" fontId="30" fillId="27" borderId="9" xfId="0" applyFont="1" applyFill="1" applyBorder="1" applyAlignment="1">
      <alignment horizontal="center"/>
    </xf>
    <xf numFmtId="0" fontId="31" fillId="28" borderId="9" xfId="0" applyFont="1" applyFill="1" applyBorder="1" applyAlignment="1">
      <alignment horizontal="center"/>
    </xf>
    <xf numFmtId="0" fontId="31" fillId="34" borderId="31" xfId="0" applyFont="1" applyFill="1" applyBorder="1"/>
    <xf numFmtId="0" fontId="31" fillId="34" borderId="27" xfId="0" applyFont="1" applyFill="1" applyBorder="1"/>
    <xf numFmtId="0" fontId="32" fillId="22" borderId="27" xfId="0" applyFont="1" applyFill="1" applyBorder="1"/>
    <xf numFmtId="0" fontId="32" fillId="23" borderId="31" xfId="0" applyFont="1" applyFill="1" applyBorder="1"/>
    <xf numFmtId="0" fontId="32" fillId="24" borderId="27" xfId="0" applyFont="1" applyFill="1" applyBorder="1"/>
    <xf numFmtId="0" fontId="32" fillId="25" borderId="31" xfId="0" applyFont="1" applyFill="1" applyBorder="1"/>
    <xf numFmtId="0" fontId="31" fillId="0" borderId="31" xfId="0" applyFont="1" applyBorder="1" applyAlignment="1">
      <alignment wrapText="1"/>
    </xf>
    <xf numFmtId="0" fontId="32" fillId="22" borderId="32" xfId="0" applyFont="1" applyFill="1" applyBorder="1"/>
    <xf numFmtId="0" fontId="32" fillId="23" borderId="19" xfId="0" applyFont="1" applyFill="1" applyBorder="1"/>
    <xf numFmtId="0" fontId="32" fillId="24" borderId="31" xfId="0" applyFont="1" applyFill="1" applyBorder="1"/>
    <xf numFmtId="14" fontId="32" fillId="24" borderId="31" xfId="0" applyNumberFormat="1" applyFont="1" applyFill="1" applyBorder="1"/>
    <xf numFmtId="0" fontId="32" fillId="22" borderId="31" xfId="0" applyFont="1" applyFill="1" applyBorder="1"/>
    <xf numFmtId="0" fontId="31" fillId="34" borderId="33" xfId="0" applyFont="1" applyFill="1" applyBorder="1"/>
    <xf numFmtId="0" fontId="32" fillId="22" borderId="33" xfId="0" applyFont="1" applyFill="1" applyBorder="1"/>
    <xf numFmtId="0" fontId="32" fillId="23" borderId="33" xfId="0" applyFont="1" applyFill="1" applyBorder="1"/>
    <xf numFmtId="0" fontId="32" fillId="24" borderId="33" xfId="0" applyFont="1" applyFill="1" applyBorder="1"/>
    <xf numFmtId="0" fontId="32" fillId="23" borderId="27" xfId="0" applyFont="1" applyFill="1" applyBorder="1"/>
    <xf numFmtId="0" fontId="0" fillId="3" borderId="35" xfId="0" applyFill="1" applyBorder="1" applyAlignment="1">
      <alignment horizontal="center" vertical="center"/>
    </xf>
    <xf numFmtId="0" fontId="24" fillId="22" borderId="36" xfId="0" applyFont="1" applyFill="1" applyBorder="1"/>
    <xf numFmtId="0" fontId="16" fillId="23" borderId="37" xfId="0" applyFont="1" applyFill="1" applyBorder="1"/>
    <xf numFmtId="14" fontId="16" fillId="24" borderId="37" xfId="0" applyNumberFormat="1" applyFont="1" applyFill="1" applyBorder="1"/>
    <xf numFmtId="0" fontId="16" fillId="25" borderId="37" xfId="0" applyFont="1" applyFill="1" applyBorder="1"/>
    <xf numFmtId="0" fontId="0" fillId="6" borderId="35" xfId="0" applyFill="1" applyBorder="1" applyAlignment="1">
      <alignment horizontal="center" vertical="center"/>
    </xf>
    <xf numFmtId="0" fontId="0" fillId="7" borderId="35" xfId="0" applyFill="1" applyBorder="1" applyAlignment="1">
      <alignment horizontal="center" vertical="center"/>
    </xf>
    <xf numFmtId="0" fontId="0" fillId="10" borderId="35" xfId="0" applyFill="1" applyBorder="1" applyAlignment="1">
      <alignment horizontal="center" vertical="center"/>
    </xf>
    <xf numFmtId="0" fontId="0" fillId="9" borderId="35" xfId="0" applyFill="1" applyBorder="1" applyAlignment="1">
      <alignment horizontal="center" vertical="center"/>
    </xf>
    <xf numFmtId="0" fontId="0" fillId="8" borderId="35" xfId="0" applyFill="1" applyBorder="1" applyAlignment="1">
      <alignment horizontal="center" vertical="center"/>
    </xf>
    <xf numFmtId="0" fontId="24" fillId="0" borderId="37" xfId="0" applyFont="1" applyBorder="1" applyAlignment="1">
      <alignment wrapText="1"/>
    </xf>
    <xf numFmtId="0" fontId="0" fillId="0" borderId="34" xfId="0" applyBorder="1"/>
    <xf numFmtId="0" fontId="31" fillId="34" borderId="38" xfId="0" applyFont="1" applyFill="1" applyBorder="1"/>
    <xf numFmtId="0" fontId="32" fillId="22" borderId="38" xfId="0" applyFont="1" applyFill="1" applyBorder="1"/>
    <xf numFmtId="0" fontId="32" fillId="23" borderId="38" xfId="0" applyFont="1" applyFill="1" applyBorder="1"/>
    <xf numFmtId="14" fontId="32" fillId="24" borderId="38" xfId="0" applyNumberFormat="1" applyFont="1" applyFill="1" applyBorder="1"/>
    <xf numFmtId="0" fontId="32" fillId="25" borderId="38" xfId="0" applyFont="1" applyFill="1" applyBorder="1"/>
    <xf numFmtId="0" fontId="31" fillId="0" borderId="38" xfId="0" applyFont="1" applyBorder="1" applyAlignment="1">
      <alignment wrapText="1"/>
    </xf>
    <xf numFmtId="0" fontId="31" fillId="25" borderId="31" xfId="0" applyFont="1" applyFill="1" applyBorder="1" applyAlignment="1">
      <alignment horizontal="center"/>
    </xf>
    <xf numFmtId="0" fontId="31" fillId="25" borderId="38" xfId="0" applyFont="1" applyFill="1" applyBorder="1" applyAlignment="1">
      <alignment horizontal="center"/>
    </xf>
    <xf numFmtId="0" fontId="31" fillId="34" borderId="31" xfId="0" applyFont="1" applyFill="1" applyBorder="1" applyAlignment="1">
      <alignment horizontal="center"/>
    </xf>
    <xf numFmtId="0" fontId="31" fillId="34" borderId="33" xfId="0" applyFont="1" applyFill="1" applyBorder="1" applyAlignment="1">
      <alignment horizontal="center"/>
    </xf>
    <xf numFmtId="0" fontId="31" fillId="34" borderId="27" xfId="0" applyFont="1" applyFill="1" applyBorder="1" applyAlignment="1">
      <alignment horizontal="center"/>
    </xf>
    <xf numFmtId="0" fontId="31" fillId="34" borderId="38" xfId="0" applyFont="1" applyFill="1" applyBorder="1" applyAlignment="1">
      <alignment horizontal="center"/>
    </xf>
    <xf numFmtId="0" fontId="32" fillId="29" borderId="31" xfId="0" applyFont="1" applyFill="1" applyBorder="1" applyAlignment="1">
      <alignment horizontal="center"/>
    </xf>
    <xf numFmtId="0" fontId="32" fillId="30" borderId="31" xfId="0" applyFont="1" applyFill="1" applyBorder="1" applyAlignment="1">
      <alignment horizontal="center"/>
    </xf>
    <xf numFmtId="0" fontId="32" fillId="31" borderId="31" xfId="0" applyFont="1" applyFill="1" applyBorder="1" applyAlignment="1">
      <alignment horizontal="center"/>
    </xf>
    <xf numFmtId="0" fontId="32" fillId="29" borderId="33" xfId="0" applyFont="1" applyFill="1" applyBorder="1" applyAlignment="1">
      <alignment horizontal="center"/>
    </xf>
    <xf numFmtId="0" fontId="32" fillId="30" borderId="33" xfId="0" applyFont="1" applyFill="1" applyBorder="1" applyAlignment="1">
      <alignment horizontal="center"/>
    </xf>
    <xf numFmtId="0" fontId="32" fillId="31" borderId="33" xfId="0" applyFont="1" applyFill="1" applyBorder="1" applyAlignment="1">
      <alignment horizontal="center"/>
    </xf>
    <xf numFmtId="0" fontId="32" fillId="29" borderId="27" xfId="0" applyFont="1" applyFill="1" applyBorder="1" applyAlignment="1">
      <alignment horizontal="center"/>
    </xf>
    <xf numFmtId="0" fontId="31" fillId="30" borderId="27" xfId="0" applyFont="1" applyFill="1" applyBorder="1" applyAlignment="1">
      <alignment horizontal="center"/>
    </xf>
    <xf numFmtId="0" fontId="31" fillId="31" borderId="27" xfId="0" applyFont="1" applyFill="1" applyBorder="1" applyAlignment="1">
      <alignment horizontal="center"/>
    </xf>
    <xf numFmtId="0" fontId="31" fillId="29" borderId="31" xfId="0" applyFont="1" applyFill="1" applyBorder="1" applyAlignment="1">
      <alignment horizontal="center"/>
    </xf>
    <xf numFmtId="0" fontId="31" fillId="29" borderId="38" xfId="0" applyFont="1" applyFill="1" applyBorder="1" applyAlignment="1">
      <alignment horizontal="center"/>
    </xf>
    <xf numFmtId="0" fontId="32" fillId="30" borderId="38" xfId="0" applyFont="1" applyFill="1" applyBorder="1" applyAlignment="1">
      <alignment horizontal="center"/>
    </xf>
    <xf numFmtId="0" fontId="32" fillId="31" borderId="38" xfId="0" applyFont="1" applyFill="1" applyBorder="1" applyAlignment="1">
      <alignment horizontal="center"/>
    </xf>
    <xf numFmtId="0" fontId="16" fillId="30" borderId="9" xfId="0" applyFont="1" applyFill="1" applyBorder="1" applyAlignment="1">
      <alignment horizontal="center"/>
    </xf>
    <xf numFmtId="0" fontId="16" fillId="30" borderId="19" xfId="0" applyFont="1" applyFill="1" applyBorder="1" applyAlignment="1">
      <alignment horizontal="center"/>
    </xf>
    <xf numFmtId="0" fontId="16" fillId="31" borderId="9" xfId="0" applyFont="1" applyFill="1" applyBorder="1" applyAlignment="1">
      <alignment horizontal="center"/>
    </xf>
    <xf numFmtId="0" fontId="16" fillId="31" borderId="19" xfId="0" applyFont="1" applyFill="1" applyBorder="1" applyAlignment="1">
      <alignment horizontal="center"/>
    </xf>
    <xf numFmtId="0" fontId="27" fillId="27" borderId="9" xfId="0" applyFont="1" applyFill="1" applyBorder="1" applyAlignment="1">
      <alignment horizontal="center"/>
    </xf>
    <xf numFmtId="0" fontId="27" fillId="30" borderId="19" xfId="0" applyFont="1" applyFill="1" applyBorder="1" applyAlignment="1">
      <alignment horizontal="center"/>
    </xf>
    <xf numFmtId="0" fontId="27" fillId="31" borderId="19" xfId="0" applyFont="1" applyFill="1" applyBorder="1" applyAlignment="1">
      <alignment horizontal="center"/>
    </xf>
    <xf numFmtId="0" fontId="16" fillId="27" borderId="9" xfId="0" applyFont="1" applyFill="1" applyBorder="1" applyAlignment="1">
      <alignment horizontal="center"/>
    </xf>
    <xf numFmtId="0" fontId="17" fillId="30" borderId="37" xfId="0" applyFont="1" applyFill="1" applyBorder="1" applyAlignment="1">
      <alignment horizontal="center"/>
    </xf>
    <xf numFmtId="0" fontId="17" fillId="31" borderId="37" xfId="0" applyFont="1" applyFill="1" applyBorder="1" applyAlignment="1">
      <alignment horizontal="center"/>
    </xf>
    <xf numFmtId="0" fontId="31" fillId="26" borderId="31" xfId="0" applyFont="1" applyFill="1" applyBorder="1" applyAlignment="1">
      <alignment horizontal="center"/>
    </xf>
    <xf numFmtId="0" fontId="31" fillId="27" borderId="31" xfId="0" applyFont="1" applyFill="1" applyBorder="1" applyAlignment="1">
      <alignment horizontal="center"/>
    </xf>
    <xf numFmtId="0" fontId="31" fillId="28" borderId="31" xfId="0" applyFont="1" applyFill="1" applyBorder="1" applyAlignment="1">
      <alignment horizontal="center"/>
    </xf>
    <xf numFmtId="0" fontId="31" fillId="26" borderId="33" xfId="0" applyFont="1" applyFill="1" applyBorder="1" applyAlignment="1">
      <alignment horizontal="center"/>
    </xf>
    <xf numFmtId="0" fontId="31" fillId="27" borderId="33" xfId="0" applyFont="1" applyFill="1" applyBorder="1" applyAlignment="1">
      <alignment horizontal="center"/>
    </xf>
    <xf numFmtId="0" fontId="31" fillId="28" borderId="33" xfId="0" applyFont="1" applyFill="1" applyBorder="1" applyAlignment="1">
      <alignment horizontal="center"/>
    </xf>
    <xf numFmtId="0" fontId="31" fillId="26" borderId="27" xfId="0" applyFont="1" applyFill="1" applyBorder="1" applyAlignment="1">
      <alignment horizontal="center"/>
    </xf>
    <xf numFmtId="0" fontId="31" fillId="27" borderId="27" xfId="0" applyFont="1" applyFill="1" applyBorder="1" applyAlignment="1">
      <alignment horizontal="center"/>
    </xf>
    <xf numFmtId="0" fontId="31" fillId="28" borderId="27" xfId="0" applyFont="1" applyFill="1" applyBorder="1" applyAlignment="1">
      <alignment horizontal="center"/>
    </xf>
    <xf numFmtId="0" fontId="31" fillId="26" borderId="38" xfId="0" applyFont="1" applyFill="1" applyBorder="1" applyAlignment="1">
      <alignment horizontal="center"/>
    </xf>
    <xf numFmtId="0" fontId="31" fillId="27" borderId="38" xfId="0" applyFont="1" applyFill="1" applyBorder="1" applyAlignment="1">
      <alignment horizontal="center"/>
    </xf>
    <xf numFmtId="0" fontId="31" fillId="28" borderId="38" xfId="0" applyFont="1" applyFill="1" applyBorder="1" applyAlignment="1">
      <alignment horizontal="center"/>
    </xf>
    <xf numFmtId="0" fontId="16" fillId="26" borderId="9" xfId="0" applyFont="1" applyFill="1" applyBorder="1" applyAlignment="1">
      <alignment horizontal="center"/>
    </xf>
    <xf numFmtId="0" fontId="16" fillId="28" borderId="9" xfId="0" applyFont="1" applyFill="1" applyBorder="1" applyAlignment="1">
      <alignment horizontal="center"/>
    </xf>
    <xf numFmtId="0" fontId="16" fillId="29" borderId="9" xfId="0" applyFont="1" applyFill="1" applyBorder="1" applyAlignment="1">
      <alignment horizontal="center"/>
    </xf>
    <xf numFmtId="0" fontId="31" fillId="34" borderId="19" xfId="0" applyFont="1" applyFill="1" applyBorder="1" applyAlignment="1">
      <alignment horizontal="center"/>
    </xf>
    <xf numFmtId="0" fontId="31" fillId="34" borderId="21" xfId="0" applyFont="1" applyFill="1" applyBorder="1" applyAlignment="1">
      <alignment horizontal="center"/>
    </xf>
    <xf numFmtId="0" fontId="31" fillId="34" borderId="9" xfId="0" applyFont="1" applyFill="1" applyBorder="1" applyAlignment="1">
      <alignment horizontal="center"/>
    </xf>
    <xf numFmtId="0" fontId="31" fillId="34" borderId="37" xfId="0" applyFont="1" applyFill="1" applyBorder="1" applyAlignment="1">
      <alignment horizontal="center"/>
    </xf>
    <xf numFmtId="0" fontId="16" fillId="22" borderId="36" xfId="0" applyFont="1" applyFill="1" applyBorder="1"/>
    <xf numFmtId="0" fontId="16" fillId="30" borderId="37" xfId="0" applyFont="1" applyFill="1" applyBorder="1" applyAlignment="1">
      <alignment horizontal="center"/>
    </xf>
    <xf numFmtId="0" fontId="16" fillId="31" borderId="37" xfId="0" applyFont="1" applyFill="1" applyBorder="1" applyAlignment="1">
      <alignment horizontal="center"/>
    </xf>
    <xf numFmtId="0" fontId="17" fillId="0" borderId="37" xfId="0" applyFont="1" applyBorder="1" applyAlignment="1">
      <alignment wrapText="1"/>
    </xf>
    <xf numFmtId="0" fontId="16" fillId="22" borderId="37" xfId="0" applyFont="1" applyFill="1" applyBorder="1"/>
    <xf numFmtId="0" fontId="0" fillId="11" borderId="35" xfId="0" applyFill="1" applyBorder="1" applyAlignment="1">
      <alignment horizontal="center" vertical="center"/>
    </xf>
    <xf numFmtId="0" fontId="16" fillId="31" borderId="35" xfId="0" applyFont="1" applyFill="1" applyBorder="1" applyAlignment="1">
      <alignment horizontal="center"/>
    </xf>
    <xf numFmtId="0" fontId="0" fillId="0" borderId="35" xfId="0" applyBorder="1" applyAlignment="1">
      <alignment vertical="center" wrapText="1"/>
    </xf>
    <xf numFmtId="0" fontId="0" fillId="2" borderId="35" xfId="0" applyFill="1" applyBorder="1" applyAlignment="1">
      <alignment vertical="center"/>
    </xf>
    <xf numFmtId="0" fontId="0" fillId="5" borderId="35" xfId="0" applyFill="1" applyBorder="1" applyAlignment="1">
      <alignment horizontal="center" vertical="center"/>
    </xf>
    <xf numFmtId="0" fontId="0" fillId="12" borderId="35" xfId="0" applyFill="1" applyBorder="1" applyAlignment="1">
      <alignment horizontal="center" vertical="center"/>
    </xf>
    <xf numFmtId="0" fontId="0" fillId="3" borderId="39" xfId="0" applyFill="1" applyBorder="1" applyAlignment="1">
      <alignment horizontal="center" vertical="center"/>
    </xf>
    <xf numFmtId="0" fontId="0" fillId="3" borderId="21" xfId="0" applyFill="1" applyBorder="1" applyAlignment="1">
      <alignment horizontal="center" vertical="center"/>
    </xf>
    <xf numFmtId="0" fontId="0" fillId="3" borderId="37" xfId="0" applyFill="1" applyBorder="1" applyAlignment="1">
      <alignment horizontal="center" vertical="center"/>
    </xf>
    <xf numFmtId="0" fontId="33" fillId="17" borderId="17" xfId="0" applyFont="1" applyFill="1" applyBorder="1" applyAlignment="1">
      <alignment horizontal="left"/>
    </xf>
    <xf numFmtId="0" fontId="33" fillId="18" borderId="17" xfId="0" applyFont="1" applyFill="1" applyBorder="1" applyAlignment="1">
      <alignment horizontal="center"/>
    </xf>
    <xf numFmtId="0" fontId="33" fillId="19" borderId="17" xfId="0" applyFont="1" applyFill="1" applyBorder="1" applyAlignment="1">
      <alignment horizontal="center"/>
    </xf>
    <xf numFmtId="0" fontId="33" fillId="20" borderId="17" xfId="0" applyFont="1" applyFill="1" applyBorder="1" applyAlignment="1">
      <alignment horizontal="center"/>
    </xf>
    <xf numFmtId="0" fontId="33" fillId="21" borderId="17" xfId="0" applyFont="1" applyFill="1" applyBorder="1" applyAlignment="1">
      <alignment horizontal="center"/>
    </xf>
    <xf numFmtId="0" fontId="17" fillId="4" borderId="9" xfId="0" applyFont="1" applyFill="1" applyBorder="1" applyAlignment="1">
      <alignment horizontal="center" vertical="center"/>
    </xf>
    <xf numFmtId="0" fontId="0" fillId="7" borderId="9" xfId="0" applyFill="1" applyBorder="1" applyAlignment="1">
      <alignment vertical="center" wrapText="1"/>
    </xf>
    <xf numFmtId="0" fontId="29" fillId="7" borderId="9" xfId="2" applyFill="1" applyBorder="1" applyAlignment="1">
      <alignment vertical="center" wrapText="1"/>
    </xf>
    <xf numFmtId="0" fontId="2" fillId="0" borderId="0" xfId="0" applyFont="1" applyAlignment="1">
      <alignment vertical="center" wrapText="1"/>
    </xf>
    <xf numFmtId="0" fontId="2" fillId="0" borderId="0" xfId="0" applyFont="1" applyAlignment="1">
      <alignment horizontal="center" vertical="center" wrapText="1"/>
    </xf>
    <xf numFmtId="44" fontId="2" fillId="0" borderId="0" xfId="1" applyFont="1" applyAlignment="1">
      <alignment vertical="center" wrapText="1"/>
    </xf>
    <xf numFmtId="0" fontId="1" fillId="0" borderId="0" xfId="0" applyFont="1" applyAlignment="1">
      <alignment vertical="center" wrapText="1"/>
    </xf>
    <xf numFmtId="44" fontId="1" fillId="0" borderId="0" xfId="1" applyFont="1" applyAlignment="1">
      <alignment vertical="center" wrapText="1"/>
    </xf>
    <xf numFmtId="0" fontId="0" fillId="7" borderId="9" xfId="0" applyFill="1" applyBorder="1" applyAlignment="1">
      <alignment horizontal="center" vertical="center" wrapText="1"/>
    </xf>
    <xf numFmtId="0" fontId="0" fillId="10" borderId="9" xfId="0" applyFill="1" applyBorder="1" applyAlignment="1">
      <alignment horizontal="center" vertical="center" wrapText="1"/>
    </xf>
    <xf numFmtId="0" fontId="0" fillId="9" borderId="9" xfId="0" applyFill="1" applyBorder="1" applyAlignment="1">
      <alignment horizontal="center" vertical="center" wrapText="1"/>
    </xf>
    <xf numFmtId="0" fontId="0" fillId="8" borderId="9" xfId="0" applyFill="1" applyBorder="1" applyAlignment="1">
      <alignment horizontal="center" vertical="center" wrapText="1"/>
    </xf>
    <xf numFmtId="0" fontId="0" fillId="11" borderId="9" xfId="0" applyFill="1" applyBorder="1" applyAlignment="1">
      <alignment horizontal="center" vertical="center" wrapText="1"/>
    </xf>
    <xf numFmtId="0" fontId="0" fillId="12" borderId="9" xfId="0" applyFill="1" applyBorder="1" applyAlignment="1">
      <alignment horizontal="center" vertical="center" wrapText="1"/>
    </xf>
    <xf numFmtId="0" fontId="0" fillId="0" borderId="0" xfId="0" applyAlignment="1">
      <alignment horizontal="center" vertical="center" wrapText="1"/>
    </xf>
    <xf numFmtId="44" fontId="0" fillId="0" borderId="0" xfId="1" applyFont="1" applyAlignment="1">
      <alignment vertical="center" wrapText="1"/>
    </xf>
    <xf numFmtId="0" fontId="8" fillId="3" borderId="9"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10" fillId="0" borderId="0" xfId="0" applyFont="1" applyAlignment="1">
      <alignment vertical="center" wrapText="1"/>
    </xf>
    <xf numFmtId="0" fontId="26" fillId="3" borderId="9" xfId="0" applyFont="1" applyFill="1" applyBorder="1" applyAlignment="1">
      <alignment horizontal="center" vertical="center" wrapText="1"/>
    </xf>
    <xf numFmtId="0" fontId="26" fillId="10" borderId="9" xfId="0" applyFont="1" applyFill="1" applyBorder="1" applyAlignment="1">
      <alignment vertical="center" wrapText="1"/>
    </xf>
    <xf numFmtId="0" fontId="26" fillId="2" borderId="9" xfId="0" applyFont="1" applyFill="1" applyBorder="1" applyAlignment="1">
      <alignment vertical="center" wrapText="1"/>
    </xf>
    <xf numFmtId="0" fontId="26" fillId="2" borderId="9" xfId="0" applyFont="1" applyFill="1" applyBorder="1" applyAlignment="1">
      <alignment horizontal="center" vertical="center" wrapText="1"/>
    </xf>
    <xf numFmtId="0" fontId="26" fillId="4" borderId="9" xfId="0" applyFont="1" applyFill="1" applyBorder="1" applyAlignment="1">
      <alignment horizontal="center" vertical="center" wrapText="1"/>
    </xf>
    <xf numFmtId="0" fontId="26" fillId="5" borderId="9" xfId="0" applyFont="1" applyFill="1" applyBorder="1" applyAlignment="1">
      <alignment horizontal="center" vertical="center" wrapText="1"/>
    </xf>
    <xf numFmtId="0" fontId="26" fillId="6" borderId="9" xfId="0" applyFont="1" applyFill="1" applyBorder="1" applyAlignment="1">
      <alignment horizontal="center" vertical="center" wrapText="1"/>
    </xf>
    <xf numFmtId="44" fontId="26" fillId="6" borderId="9" xfId="1" applyFont="1" applyFill="1" applyBorder="1" applyAlignment="1">
      <alignment horizontal="center" vertical="center" wrapText="1"/>
    </xf>
    <xf numFmtId="0" fontId="26" fillId="7" borderId="9" xfId="0" applyFont="1" applyFill="1" applyBorder="1" applyAlignment="1">
      <alignment horizontal="center" vertical="center" wrapText="1"/>
    </xf>
    <xf numFmtId="0" fontId="26" fillId="10" borderId="9" xfId="0" applyFont="1" applyFill="1" applyBorder="1" applyAlignment="1">
      <alignment horizontal="center" vertical="center" wrapText="1"/>
    </xf>
    <xf numFmtId="0" fontId="26" fillId="9" borderId="9" xfId="0" applyFont="1" applyFill="1" applyBorder="1" applyAlignment="1">
      <alignment horizontal="center" vertical="center" wrapText="1"/>
    </xf>
    <xf numFmtId="0" fontId="26" fillId="8" borderId="9" xfId="0" applyFont="1" applyFill="1" applyBorder="1" applyAlignment="1">
      <alignment horizontal="center" vertical="center" wrapText="1"/>
    </xf>
    <xf numFmtId="0" fontId="26" fillId="11" borderId="9" xfId="0" applyFont="1" applyFill="1" applyBorder="1" applyAlignment="1">
      <alignment horizontal="center" vertical="center" wrapText="1"/>
    </xf>
    <xf numFmtId="0" fontId="26" fillId="12" borderId="9" xfId="0" applyFont="1" applyFill="1" applyBorder="1" applyAlignment="1">
      <alignment horizontal="center" vertical="center" wrapText="1"/>
    </xf>
    <xf numFmtId="0" fontId="26" fillId="0" borderId="0" xfId="0" applyFont="1" applyAlignment="1">
      <alignment vertical="center" wrapText="1"/>
    </xf>
    <xf numFmtId="0" fontId="0" fillId="3" borderId="9" xfId="0" applyFill="1" applyBorder="1" applyAlignment="1">
      <alignment horizontal="center" vertical="center" wrapText="1"/>
    </xf>
    <xf numFmtId="0" fontId="0" fillId="2" borderId="9" xfId="0" applyFill="1" applyBorder="1" applyAlignment="1">
      <alignment vertical="center" wrapText="1"/>
    </xf>
    <xf numFmtId="0" fontId="0" fillId="4" borderId="9" xfId="0" applyFill="1" applyBorder="1" applyAlignment="1">
      <alignment horizontal="center" vertical="center" wrapText="1"/>
    </xf>
    <xf numFmtId="0" fontId="0" fillId="5" borderId="9" xfId="0" applyFill="1" applyBorder="1" applyAlignment="1">
      <alignment horizontal="center" vertical="center" wrapText="1"/>
    </xf>
    <xf numFmtId="0" fontId="0" fillId="6" borderId="9" xfId="0" applyFill="1" applyBorder="1" applyAlignment="1">
      <alignment horizontal="center" vertical="center" wrapText="1"/>
    </xf>
    <xf numFmtId="44" fontId="0" fillId="6" borderId="9" xfId="1" applyFont="1" applyFill="1" applyBorder="1" applyAlignment="1">
      <alignment horizontal="center" vertical="center" wrapText="1"/>
    </xf>
    <xf numFmtId="44" fontId="0" fillId="7" borderId="9" xfId="1" applyFont="1" applyFill="1" applyBorder="1" applyAlignment="1">
      <alignment horizontal="center" vertical="center" wrapText="1"/>
    </xf>
    <xf numFmtId="0" fontId="0" fillId="7" borderId="0" xfId="0" applyFill="1" applyAlignment="1">
      <alignment vertical="center" wrapText="1"/>
    </xf>
    <xf numFmtId="17" fontId="0" fillId="7" borderId="9" xfId="0" applyNumberFormat="1" applyFill="1" applyBorder="1" applyAlignment="1">
      <alignment horizontal="center" vertical="center" wrapText="1"/>
    </xf>
    <xf numFmtId="0" fontId="0" fillId="10" borderId="9" xfId="0" applyFill="1" applyBorder="1" applyAlignment="1">
      <alignment vertical="center" wrapText="1"/>
    </xf>
    <xf numFmtId="0" fontId="0" fillId="2" borderId="9" xfId="0" quotePrefix="1" applyFill="1" applyBorder="1" applyAlignment="1">
      <alignment vertical="center" wrapText="1"/>
    </xf>
    <xf numFmtId="0" fontId="26" fillId="4" borderId="18" xfId="0" applyFont="1" applyFill="1" applyBorder="1" applyAlignment="1">
      <alignment horizontal="center" vertical="center" wrapText="1"/>
    </xf>
    <xf numFmtId="0" fontId="26" fillId="4" borderId="28" xfId="0" applyFont="1" applyFill="1" applyBorder="1" applyAlignment="1">
      <alignment horizontal="center" vertical="center" wrapText="1"/>
    </xf>
    <xf numFmtId="0" fontId="26" fillId="4" borderId="17" xfId="0" applyFont="1" applyFill="1" applyBorder="1" applyAlignment="1">
      <alignment horizontal="center" vertical="center" wrapText="1"/>
    </xf>
    <xf numFmtId="0" fontId="26" fillId="4" borderId="29"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26" fillId="2" borderId="16" xfId="0" applyFont="1" applyFill="1" applyBorder="1" applyAlignment="1">
      <alignment horizontal="center" vertical="center" wrapText="1"/>
    </xf>
    <xf numFmtId="0" fontId="26" fillId="4" borderId="31" xfId="0" applyFont="1" applyFill="1" applyBorder="1" applyAlignment="1">
      <alignment horizontal="center" vertical="center" wrapText="1"/>
    </xf>
    <xf numFmtId="0" fontId="26" fillId="4" borderId="27" xfId="0" applyFont="1" applyFill="1" applyBorder="1" applyAlignment="1">
      <alignment horizontal="center" vertical="center" wrapText="1"/>
    </xf>
    <xf numFmtId="0" fontId="26" fillId="4" borderId="19" xfId="0" applyFont="1" applyFill="1" applyBorder="1" applyAlignment="1">
      <alignment horizontal="center" vertical="center" wrapText="1"/>
    </xf>
    <xf numFmtId="0" fontId="26" fillId="4" borderId="0" xfId="0" applyFont="1" applyFill="1" applyAlignment="1">
      <alignment horizontal="center" vertical="center" wrapText="1"/>
    </xf>
    <xf numFmtId="17" fontId="0" fillId="6" borderId="9" xfId="0" applyNumberFormat="1" applyFill="1" applyBorder="1" applyAlignment="1">
      <alignment horizontal="center" vertical="center" wrapText="1"/>
    </xf>
    <xf numFmtId="0" fontId="17" fillId="4" borderId="9" xfId="0" applyFont="1" applyFill="1" applyBorder="1" applyAlignment="1">
      <alignment horizontal="center" vertical="center" wrapText="1"/>
    </xf>
    <xf numFmtId="0" fontId="17" fillId="4" borderId="9" xfId="0" applyFont="1" applyFill="1" applyBorder="1" applyAlignment="1">
      <alignment wrapText="1"/>
    </xf>
    <xf numFmtId="0" fontId="35" fillId="4" borderId="9" xfId="0" applyFont="1" applyFill="1" applyBorder="1" applyAlignment="1">
      <alignment horizontal="center" vertical="center" wrapText="1"/>
    </xf>
    <xf numFmtId="0" fontId="35" fillId="4" borderId="9" xfId="0" applyFont="1" applyFill="1" applyBorder="1" applyAlignment="1">
      <alignment wrapText="1"/>
    </xf>
    <xf numFmtId="14" fontId="26" fillId="5" borderId="9" xfId="0" applyNumberFormat="1" applyFont="1" applyFill="1" applyBorder="1" applyAlignment="1">
      <alignment horizontal="center" vertical="center" wrapText="1"/>
    </xf>
    <xf numFmtId="0" fontId="26" fillId="33" borderId="9" xfId="0" applyFont="1" applyFill="1" applyBorder="1" applyAlignment="1">
      <alignment horizontal="center" vertical="center" wrapText="1"/>
    </xf>
    <xf numFmtId="0" fontId="36" fillId="2" borderId="9" xfId="0" applyFont="1" applyFill="1" applyBorder="1" applyAlignment="1">
      <alignment vertical="center" wrapText="1"/>
    </xf>
    <xf numFmtId="0" fontId="34" fillId="7" borderId="0" xfId="0" applyFont="1" applyFill="1" applyAlignment="1">
      <alignment horizontal="center" vertical="center" wrapText="1"/>
    </xf>
    <xf numFmtId="0" fontId="28" fillId="23" borderId="9" xfId="0" applyFont="1" applyFill="1" applyBorder="1" applyAlignment="1">
      <alignment horizontal="center" vertical="center" wrapText="1"/>
    </xf>
    <xf numFmtId="0" fontId="28" fillId="24" borderId="9" xfId="0" applyFont="1" applyFill="1" applyBorder="1" applyAlignment="1">
      <alignment horizontal="center" vertical="center" wrapText="1"/>
    </xf>
    <xf numFmtId="0" fontId="28" fillId="25" borderId="9" xfId="0" applyFont="1" applyFill="1" applyBorder="1" applyAlignment="1">
      <alignment horizontal="center" vertical="center" wrapText="1"/>
    </xf>
    <xf numFmtId="0" fontId="0" fillId="2" borderId="18" xfId="0" applyFill="1" applyBorder="1" applyAlignment="1">
      <alignment horizontal="center" vertical="center" wrapText="1"/>
    </xf>
    <xf numFmtId="0" fontId="0" fillId="2" borderId="16" xfId="0" applyFill="1" applyBorder="1" applyAlignment="1">
      <alignment vertical="center" wrapText="1"/>
    </xf>
    <xf numFmtId="0" fontId="0" fillId="4" borderId="27" xfId="0" applyFill="1" applyBorder="1" applyAlignment="1">
      <alignment horizontal="center" vertical="center" wrapText="1"/>
    </xf>
    <xf numFmtId="0" fontId="0" fillId="2" borderId="19" xfId="0" applyFill="1" applyBorder="1" applyAlignment="1">
      <alignment horizontal="center" vertical="center" wrapText="1"/>
    </xf>
    <xf numFmtId="8" fontId="28" fillId="25" borderId="9" xfId="0" applyNumberFormat="1" applyFont="1" applyFill="1" applyBorder="1" applyAlignment="1">
      <alignment horizontal="center" vertical="center" wrapText="1"/>
    </xf>
    <xf numFmtId="6" fontId="0" fillId="6" borderId="9" xfId="1" applyNumberFormat="1" applyFont="1" applyFill="1" applyBorder="1" applyAlignment="1">
      <alignment horizontal="center" vertical="center" wrapText="1"/>
    </xf>
    <xf numFmtId="14" fontId="0" fillId="7" borderId="9" xfId="0" applyNumberFormat="1" applyFill="1" applyBorder="1" applyAlignment="1">
      <alignment horizontal="center" vertical="center" wrapText="1"/>
    </xf>
    <xf numFmtId="0" fontId="0" fillId="7" borderId="9" xfId="0" quotePrefix="1" applyFill="1" applyBorder="1" applyAlignment="1">
      <alignment vertical="center" wrapText="1"/>
    </xf>
    <xf numFmtId="0" fontId="36" fillId="7" borderId="9" xfId="0" applyFont="1" applyFill="1" applyBorder="1" applyAlignment="1">
      <alignment horizontal="center" vertical="center" wrapText="1"/>
    </xf>
    <xf numFmtId="0" fontId="36" fillId="7" borderId="9" xfId="0" applyFont="1" applyFill="1" applyBorder="1" applyAlignment="1">
      <alignment vertical="center" wrapText="1"/>
    </xf>
    <xf numFmtId="0" fontId="36" fillId="7" borderId="0" xfId="0" applyFont="1" applyFill="1" applyAlignment="1">
      <alignment vertical="center" wrapText="1"/>
    </xf>
    <xf numFmtId="0" fontId="36" fillId="35" borderId="9" xfId="0" applyFont="1" applyFill="1" applyBorder="1" applyAlignment="1">
      <alignment horizontal="center" vertical="center" wrapText="1"/>
    </xf>
    <xf numFmtId="0" fontId="36" fillId="35" borderId="9" xfId="0" applyFont="1" applyFill="1" applyBorder="1" applyAlignment="1">
      <alignment vertical="center" wrapText="1"/>
    </xf>
    <xf numFmtId="0" fontId="36" fillId="35" borderId="27" xfId="0" applyFont="1" applyFill="1" applyBorder="1" applyAlignment="1">
      <alignment horizontal="center" vertical="center" wrapText="1"/>
    </xf>
    <xf numFmtId="0" fontId="36" fillId="35" borderId="0" xfId="0" applyFont="1" applyFill="1" applyAlignment="1">
      <alignment vertical="center" wrapText="1"/>
    </xf>
    <xf numFmtId="0" fontId="26" fillId="7" borderId="0" xfId="0" applyFont="1" applyFill="1" applyAlignment="1">
      <alignment vertical="center" wrapText="1"/>
    </xf>
    <xf numFmtId="0" fontId="36" fillId="0" borderId="9" xfId="0" applyFont="1" applyBorder="1" applyAlignment="1">
      <alignment horizontal="center" vertical="center" wrapText="1"/>
    </xf>
    <xf numFmtId="0" fontId="36" fillId="0" borderId="9" xfId="0" applyFont="1" applyBorder="1" applyAlignment="1">
      <alignment vertical="center" wrapText="1"/>
    </xf>
    <xf numFmtId="0" fontId="36" fillId="0" borderId="0" xfId="0" applyFont="1" applyAlignment="1">
      <alignment vertical="center" wrapText="1"/>
    </xf>
    <xf numFmtId="0" fontId="36" fillId="3" borderId="9" xfId="0" applyFont="1" applyFill="1" applyBorder="1" applyAlignment="1">
      <alignment horizontal="center" vertical="center" wrapText="1"/>
    </xf>
    <xf numFmtId="0" fontId="36" fillId="5" borderId="9" xfId="0" applyFont="1" applyFill="1" applyBorder="1" applyAlignment="1">
      <alignment horizontal="center" vertical="center" wrapText="1"/>
    </xf>
    <xf numFmtId="0" fontId="36" fillId="6" borderId="9" xfId="0" applyFont="1" applyFill="1" applyBorder="1" applyAlignment="1">
      <alignment horizontal="center" vertical="center" wrapText="1"/>
    </xf>
    <xf numFmtId="0" fontId="36" fillId="10" borderId="9" xfId="0" applyFont="1" applyFill="1" applyBorder="1" applyAlignment="1">
      <alignment horizontal="center" vertical="center" wrapText="1"/>
    </xf>
    <xf numFmtId="0" fontId="36" fillId="9" borderId="9" xfId="0" applyFont="1" applyFill="1" applyBorder="1" applyAlignment="1">
      <alignment horizontal="center" vertical="center" wrapText="1"/>
    </xf>
    <xf numFmtId="0" fontId="36" fillId="8" borderId="9" xfId="0" applyFont="1" applyFill="1" applyBorder="1" applyAlignment="1">
      <alignment horizontal="center" vertical="center" wrapText="1"/>
    </xf>
    <xf numFmtId="0" fontId="36" fillId="11" borderId="9" xfId="0" applyFont="1" applyFill="1" applyBorder="1" applyAlignment="1">
      <alignment horizontal="center" vertical="center" wrapText="1"/>
    </xf>
    <xf numFmtId="0" fontId="36" fillId="12" borderId="9" xfId="0" applyFont="1" applyFill="1" applyBorder="1" applyAlignment="1">
      <alignment horizontal="center" vertical="center" wrapText="1"/>
    </xf>
    <xf numFmtId="0" fontId="36" fillId="10" borderId="9" xfId="0" applyFont="1" applyFill="1" applyBorder="1" applyAlignment="1">
      <alignment vertical="center" wrapText="1"/>
    </xf>
    <xf numFmtId="14" fontId="36" fillId="5" borderId="9" xfId="0" applyNumberFormat="1" applyFont="1" applyFill="1" applyBorder="1" applyAlignment="1">
      <alignment horizontal="center" vertical="center" wrapText="1"/>
    </xf>
    <xf numFmtId="14" fontId="36" fillId="7" borderId="9" xfId="0" applyNumberFormat="1" applyFont="1" applyFill="1" applyBorder="1" applyAlignment="1">
      <alignment horizontal="center" vertical="center" wrapText="1"/>
    </xf>
    <xf numFmtId="0" fontId="28" fillId="26" borderId="9" xfId="0" applyFont="1" applyFill="1" applyBorder="1" applyAlignment="1">
      <alignment horizontal="center" vertical="center" wrapText="1"/>
    </xf>
    <xf numFmtId="0" fontId="0" fillId="7" borderId="16" xfId="0" applyFill="1" applyBorder="1" applyAlignment="1">
      <alignment vertical="center" wrapText="1"/>
    </xf>
    <xf numFmtId="0" fontId="13" fillId="6" borderId="17" xfId="0" applyFont="1" applyFill="1" applyBorder="1" applyAlignment="1">
      <alignment horizontal="left"/>
    </xf>
    <xf numFmtId="0" fontId="13" fillId="17" borderId="17" xfId="0" applyFont="1" applyFill="1" applyBorder="1" applyAlignment="1">
      <alignment horizontal="left" vertical="center"/>
    </xf>
    <xf numFmtId="0" fontId="13" fillId="18" borderId="17" xfId="0" applyFont="1" applyFill="1" applyBorder="1" applyAlignment="1">
      <alignment horizontal="center" vertical="center"/>
    </xf>
    <xf numFmtId="0" fontId="13" fillId="19" borderId="17" xfId="0" applyFont="1" applyFill="1" applyBorder="1" applyAlignment="1">
      <alignment horizontal="center" vertical="center"/>
    </xf>
    <xf numFmtId="0" fontId="0" fillId="0" borderId="17" xfId="0" applyBorder="1"/>
    <xf numFmtId="0" fontId="0" fillId="0" borderId="16" xfId="0" applyBorder="1" applyAlignment="1">
      <alignment vertical="center" wrapText="1"/>
    </xf>
    <xf numFmtId="0" fontId="37" fillId="36" borderId="9" xfId="0" applyFont="1" applyFill="1" applyBorder="1" applyAlignment="1">
      <alignment horizontal="left" vertical="center" wrapText="1"/>
    </xf>
    <xf numFmtId="0" fontId="0" fillId="0" borderId="17" xfId="0" applyBorder="1" applyAlignment="1">
      <alignment horizontal="left"/>
    </xf>
    <xf numFmtId="0" fontId="0" fillId="0" borderId="40" xfId="0" applyBorder="1" applyAlignment="1">
      <alignment horizontal="left"/>
    </xf>
    <xf numFmtId="17" fontId="13" fillId="17" borderId="17" xfId="0" applyNumberFormat="1" applyFont="1" applyFill="1" applyBorder="1" applyAlignment="1">
      <alignment horizontal="left"/>
    </xf>
    <xf numFmtId="0" fontId="13" fillId="17" borderId="17" xfId="0" applyFont="1" applyFill="1" applyBorder="1" applyAlignment="1">
      <alignment horizontal="center"/>
    </xf>
    <xf numFmtId="0" fontId="33" fillId="17" borderId="17" xfId="0" applyFont="1" applyFill="1" applyBorder="1" applyAlignment="1">
      <alignment horizontal="center"/>
    </xf>
    <xf numFmtId="0" fontId="0" fillId="0" borderId="41" xfId="0" applyBorder="1"/>
    <xf numFmtId="0" fontId="8" fillId="5" borderId="9" xfId="0" applyFont="1" applyFill="1" applyBorder="1" applyAlignment="1">
      <alignment horizontal="center" vertical="center"/>
    </xf>
    <xf numFmtId="0" fontId="17" fillId="24" borderId="9" xfId="0" applyFont="1" applyFill="1" applyBorder="1" applyAlignment="1">
      <alignment horizontal="center"/>
    </xf>
    <xf numFmtId="14" fontId="17" fillId="24" borderId="9" xfId="0" applyNumberFormat="1" applyFont="1" applyFill="1" applyBorder="1" applyAlignment="1">
      <alignment horizont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3" fillId="4" borderId="1" xfId="0" applyFont="1" applyFill="1" applyBorder="1" applyAlignment="1">
      <alignment horizontal="center"/>
    </xf>
    <xf numFmtId="0" fontId="3" fillId="4" borderId="3" xfId="0" applyFont="1" applyFill="1" applyBorder="1" applyAlignment="1">
      <alignment horizontal="center"/>
    </xf>
    <xf numFmtId="0" fontId="3" fillId="5" borderId="1" xfId="0" applyFont="1" applyFill="1" applyBorder="1" applyAlignment="1">
      <alignment horizontal="center"/>
    </xf>
    <xf numFmtId="0" fontId="3" fillId="5" borderId="3" xfId="0" applyFont="1" applyFill="1" applyBorder="1" applyAlignment="1">
      <alignment horizontal="center"/>
    </xf>
    <xf numFmtId="0" fontId="3" fillId="6" borderId="1" xfId="0" applyFont="1" applyFill="1" applyBorder="1" applyAlignment="1">
      <alignment horizontal="center"/>
    </xf>
    <xf numFmtId="0" fontId="3" fillId="6" borderId="3" xfId="0" applyFont="1" applyFill="1" applyBorder="1" applyAlignment="1">
      <alignment horizontal="center"/>
    </xf>
    <xf numFmtId="0" fontId="3" fillId="13" borderId="1" xfId="0" applyFont="1" applyFill="1" applyBorder="1" applyAlignment="1">
      <alignment horizontal="center"/>
    </xf>
    <xf numFmtId="0" fontId="3" fillId="13" borderId="11" xfId="0" applyFont="1" applyFill="1" applyBorder="1" applyAlignment="1">
      <alignment horizontal="center"/>
    </xf>
    <xf numFmtId="0" fontId="2" fillId="0" borderId="0" xfId="0" applyFont="1" applyAlignment="1">
      <alignment horizontal="center"/>
    </xf>
    <xf numFmtId="0" fontId="3" fillId="2" borderId="1" xfId="0" applyFont="1" applyFill="1" applyBorder="1" applyAlignment="1">
      <alignment horizontal="center"/>
    </xf>
    <xf numFmtId="0" fontId="3" fillId="2" borderId="3" xfId="0" applyFont="1" applyFill="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2" xfId="0" applyFont="1" applyFill="1" applyBorder="1" applyAlignment="1">
      <alignment horizontal="left"/>
    </xf>
    <xf numFmtId="0" fontId="1" fillId="13" borderId="11" xfId="0" applyFont="1" applyFill="1" applyBorder="1" applyAlignment="1">
      <alignment horizontal="center" wrapText="1"/>
    </xf>
    <xf numFmtId="0" fontId="1" fillId="13" borderId="12" xfId="0" applyFont="1" applyFill="1" applyBorder="1" applyAlignment="1">
      <alignment horizontal="center" wrapText="1"/>
    </xf>
    <xf numFmtId="0" fontId="1" fillId="13" borderId="13" xfId="0" applyFont="1" applyFill="1" applyBorder="1" applyAlignment="1">
      <alignment horizontal="center" wrapText="1"/>
    </xf>
    <xf numFmtId="0" fontId="1" fillId="2" borderId="7" xfId="0" applyFont="1" applyFill="1" applyBorder="1" applyAlignment="1">
      <alignment horizontal="left"/>
    </xf>
    <xf numFmtId="0" fontId="1" fillId="2" borderId="8" xfId="0" applyFont="1" applyFill="1" applyBorder="1" applyAlignment="1">
      <alignment horizontal="left"/>
    </xf>
    <xf numFmtId="0" fontId="1" fillId="2" borderId="6" xfId="0" applyFont="1" applyFill="1" applyBorder="1" applyAlignment="1">
      <alignment horizontal="left"/>
    </xf>
    <xf numFmtId="0" fontId="1" fillId="2" borderId="4" xfId="0" applyFont="1" applyFill="1" applyBorder="1" applyAlignment="1">
      <alignment horizontal="left"/>
    </xf>
    <xf numFmtId="0" fontId="1" fillId="2" borderId="5" xfId="0" applyFont="1" applyFill="1" applyBorder="1" applyAlignment="1">
      <alignment horizontal="left"/>
    </xf>
    <xf numFmtId="0" fontId="24" fillId="0" borderId="21" xfId="0" applyFont="1" applyBorder="1" applyAlignment="1">
      <alignment wrapText="1"/>
    </xf>
    <xf numFmtId="0" fontId="24" fillId="0" borderId="22" xfId="0" applyFont="1" applyBorder="1" applyAlignment="1">
      <alignment wrapText="1"/>
    </xf>
    <xf numFmtId="0" fontId="16" fillId="23" borderId="21" xfId="0" applyFont="1" applyFill="1" applyBorder="1" applyAlignment="1"/>
    <xf numFmtId="14" fontId="16" fillId="24" borderId="21" xfId="0" applyNumberFormat="1" applyFont="1" applyFill="1" applyBorder="1" applyAlignment="1"/>
    <xf numFmtId="0" fontId="16" fillId="24" borderId="21" xfId="0" applyFont="1" applyFill="1" applyBorder="1" applyAlignment="1"/>
    <xf numFmtId="0" fontId="16" fillId="23" borderId="22" xfId="0" applyFont="1" applyFill="1" applyBorder="1" applyAlignment="1"/>
    <xf numFmtId="0" fontId="16" fillId="24" borderId="22" xfId="0" applyFont="1" applyFill="1" applyBorder="1" applyAlignment="1"/>
  </cellXfs>
  <cellStyles count="3">
    <cellStyle name="Currency" xfId="1" builtinId="4"/>
    <cellStyle name="Hyperlink" xfId="2"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[Machine and Equipment Longevity Tracking Tables.xlsx]BWC(2) pivot1!PivotTable4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'BWC(2) pivot1'!$B$3:$B$4</c:f>
              <c:strCache>
                <c:ptCount val="1"/>
                <c:pt idx="0">
                  <c:v>12 FT NIAGARA SHEAR WITH FEEDER</c:v>
                </c:pt>
              </c:strCache>
            </c:strRef>
          </c:tx>
          <c:spPr>
            <a:solidFill>
              <a:schemeClr val="accent1"/>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pivot1'!$B$5:$B$12</c:f>
              <c:numCache>
                <c:formatCode>General</c:formatCode>
                <c:ptCount val="6"/>
                <c:pt idx="1">
                  <c:v>1</c:v>
                </c:pt>
              </c:numCache>
            </c:numRef>
          </c:val>
          <c:extLst>
            <c:ext xmlns:c16="http://schemas.microsoft.com/office/drawing/2014/chart" uri="{C3380CC4-5D6E-409C-BE32-E72D297353CC}">
              <c16:uniqueId val="{00000000-E3EE-4B98-99FA-F7503DD2AA7A}"/>
            </c:ext>
          </c:extLst>
        </c:ser>
        <c:ser>
          <c:idx val="1"/>
          <c:order val="1"/>
          <c:tx>
            <c:strRef>
              <c:f>'BWC(2) pivot1'!$C$3:$C$4</c:f>
              <c:strCache>
                <c:ptCount val="1"/>
                <c:pt idx="0">
                  <c:v>12" GAUER EDGER</c:v>
                </c:pt>
              </c:strCache>
            </c:strRef>
          </c:tx>
          <c:spPr>
            <a:solidFill>
              <a:schemeClr val="accent2"/>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pivot1'!$C$5:$C$12</c:f>
              <c:numCache>
                <c:formatCode>General</c:formatCode>
                <c:ptCount val="6"/>
                <c:pt idx="3">
                  <c:v>1</c:v>
                </c:pt>
              </c:numCache>
            </c:numRef>
          </c:val>
          <c:extLst>
            <c:ext xmlns:c16="http://schemas.microsoft.com/office/drawing/2014/chart" uri="{C3380CC4-5D6E-409C-BE32-E72D297353CC}">
              <c16:uniqueId val="{00000007-E3EE-4B98-99FA-F7503DD2AA7A}"/>
            </c:ext>
          </c:extLst>
        </c:ser>
        <c:ser>
          <c:idx val="2"/>
          <c:order val="2"/>
          <c:tx>
            <c:strRef>
              <c:f>'BWC(2) pivot1'!$D$3:$D$4</c:f>
              <c:strCache>
                <c:ptCount val="1"/>
                <c:pt idx="0">
                  <c:v>120 TON AIDA PRESS</c:v>
                </c:pt>
              </c:strCache>
            </c:strRef>
          </c:tx>
          <c:spPr>
            <a:solidFill>
              <a:schemeClr val="accent3"/>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pivot1'!$D$5:$D$12</c:f>
              <c:numCache>
                <c:formatCode>General</c:formatCode>
                <c:ptCount val="6"/>
                <c:pt idx="3">
                  <c:v>1</c:v>
                </c:pt>
              </c:numCache>
            </c:numRef>
          </c:val>
          <c:extLst>
            <c:ext xmlns:c16="http://schemas.microsoft.com/office/drawing/2014/chart" uri="{C3380CC4-5D6E-409C-BE32-E72D297353CC}">
              <c16:uniqueId val="{00000008-E3EE-4B98-99FA-F7503DD2AA7A}"/>
            </c:ext>
          </c:extLst>
        </c:ser>
        <c:ser>
          <c:idx val="3"/>
          <c:order val="3"/>
          <c:tx>
            <c:strRef>
              <c:f>'BWC(2) pivot1'!$E$3:$E$4</c:f>
              <c:strCache>
                <c:ptCount val="1"/>
                <c:pt idx="0">
                  <c:v>130-Ton Accurpress</c:v>
                </c:pt>
              </c:strCache>
            </c:strRef>
          </c:tx>
          <c:spPr>
            <a:solidFill>
              <a:schemeClr val="accent4"/>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pivot1'!$E$5:$E$12</c:f>
              <c:numCache>
                <c:formatCode>General</c:formatCode>
                <c:ptCount val="6"/>
                <c:pt idx="5">
                  <c:v>1</c:v>
                </c:pt>
              </c:numCache>
            </c:numRef>
          </c:val>
          <c:extLst>
            <c:ext xmlns:c16="http://schemas.microsoft.com/office/drawing/2014/chart" uri="{C3380CC4-5D6E-409C-BE32-E72D297353CC}">
              <c16:uniqueId val="{00000009-E3EE-4B98-99FA-F7503DD2AA7A}"/>
            </c:ext>
          </c:extLst>
        </c:ser>
        <c:ser>
          <c:idx val="4"/>
          <c:order val="4"/>
          <c:tx>
            <c:strRef>
              <c:f>'BWC(2) pivot1'!$F$3:$F$4</c:f>
              <c:strCache>
                <c:ptCount val="1"/>
                <c:pt idx="0">
                  <c:v>150 TON AIDA</c:v>
                </c:pt>
              </c:strCache>
            </c:strRef>
          </c:tx>
          <c:spPr>
            <a:solidFill>
              <a:schemeClr val="accent5"/>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pivot1'!$F$5:$F$12</c:f>
              <c:numCache>
                <c:formatCode>General</c:formatCode>
                <c:ptCount val="6"/>
                <c:pt idx="4">
                  <c:v>1</c:v>
                </c:pt>
              </c:numCache>
            </c:numRef>
          </c:val>
          <c:extLst>
            <c:ext xmlns:c16="http://schemas.microsoft.com/office/drawing/2014/chart" uri="{C3380CC4-5D6E-409C-BE32-E72D297353CC}">
              <c16:uniqueId val="{0000000A-E3EE-4B98-99FA-F7503DD2AA7A}"/>
            </c:ext>
          </c:extLst>
        </c:ser>
        <c:ser>
          <c:idx val="5"/>
          <c:order val="5"/>
          <c:tx>
            <c:strRef>
              <c:f>'BWC(2) pivot1'!$G$3:$G$4</c:f>
              <c:strCache>
                <c:ptCount val="1"/>
                <c:pt idx="0">
                  <c:v>24" GAUER EDGER</c:v>
                </c:pt>
              </c:strCache>
            </c:strRef>
          </c:tx>
          <c:spPr>
            <a:solidFill>
              <a:schemeClr val="accent6"/>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pivot1'!$G$5:$G$12</c:f>
              <c:numCache>
                <c:formatCode>General</c:formatCode>
                <c:ptCount val="6"/>
                <c:pt idx="3">
                  <c:v>1</c:v>
                </c:pt>
              </c:numCache>
            </c:numRef>
          </c:val>
          <c:extLst>
            <c:ext xmlns:c16="http://schemas.microsoft.com/office/drawing/2014/chart" uri="{C3380CC4-5D6E-409C-BE32-E72D297353CC}">
              <c16:uniqueId val="{0000000B-E3EE-4B98-99FA-F7503DD2AA7A}"/>
            </c:ext>
          </c:extLst>
        </c:ser>
        <c:ser>
          <c:idx val="6"/>
          <c:order val="6"/>
          <c:tx>
            <c:strRef>
              <c:f>'BWC(2) pivot1'!$H$3:$H$4</c:f>
              <c:strCache>
                <c:ptCount val="1"/>
                <c:pt idx="0">
                  <c:v>30" GAUER EDGER</c:v>
                </c:pt>
              </c:strCache>
            </c:strRef>
          </c:tx>
          <c:spPr>
            <a:solidFill>
              <a:schemeClr val="accent1">
                <a:lumMod val="60000"/>
              </a:schemeClr>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pivot1'!$H$5:$H$12</c:f>
              <c:numCache>
                <c:formatCode>General</c:formatCode>
                <c:ptCount val="6"/>
                <c:pt idx="3">
                  <c:v>1</c:v>
                </c:pt>
              </c:numCache>
            </c:numRef>
          </c:val>
          <c:extLst>
            <c:ext xmlns:c16="http://schemas.microsoft.com/office/drawing/2014/chart" uri="{C3380CC4-5D6E-409C-BE32-E72D297353CC}">
              <c16:uniqueId val="{0000000C-E3EE-4B98-99FA-F7503DD2AA7A}"/>
            </c:ext>
          </c:extLst>
        </c:ser>
        <c:ser>
          <c:idx val="7"/>
          <c:order val="7"/>
          <c:tx>
            <c:strRef>
              <c:f>'BWC(2) pivot1'!$I$3:$I$4</c:f>
              <c:strCache>
                <c:ptCount val="1"/>
                <c:pt idx="0">
                  <c:v>300 TON ALLSTEEL PRESS</c:v>
                </c:pt>
              </c:strCache>
            </c:strRef>
          </c:tx>
          <c:spPr>
            <a:solidFill>
              <a:schemeClr val="accent2">
                <a:lumMod val="60000"/>
              </a:schemeClr>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pivot1'!$I$5:$I$12</c:f>
              <c:numCache>
                <c:formatCode>General</c:formatCode>
                <c:ptCount val="6"/>
                <c:pt idx="4">
                  <c:v>1</c:v>
                </c:pt>
              </c:numCache>
            </c:numRef>
          </c:val>
          <c:extLst>
            <c:ext xmlns:c16="http://schemas.microsoft.com/office/drawing/2014/chart" uri="{C3380CC4-5D6E-409C-BE32-E72D297353CC}">
              <c16:uniqueId val="{0000000D-E3EE-4B98-99FA-F7503DD2AA7A}"/>
            </c:ext>
          </c:extLst>
        </c:ser>
        <c:ser>
          <c:idx val="8"/>
          <c:order val="8"/>
          <c:tx>
            <c:strRef>
              <c:f>'BWC(2) pivot1'!$J$3:$J$4</c:f>
              <c:strCache>
                <c:ptCount val="1"/>
                <c:pt idx="0">
                  <c:v>330 TON KOMATSU</c:v>
                </c:pt>
              </c:strCache>
            </c:strRef>
          </c:tx>
          <c:spPr>
            <a:solidFill>
              <a:schemeClr val="accent3">
                <a:lumMod val="60000"/>
              </a:schemeClr>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pivot1'!$J$5:$J$12</c:f>
              <c:numCache>
                <c:formatCode>General</c:formatCode>
                <c:ptCount val="6"/>
                <c:pt idx="5">
                  <c:v>1</c:v>
                </c:pt>
              </c:numCache>
            </c:numRef>
          </c:val>
          <c:extLst>
            <c:ext xmlns:c16="http://schemas.microsoft.com/office/drawing/2014/chart" uri="{C3380CC4-5D6E-409C-BE32-E72D297353CC}">
              <c16:uniqueId val="{0000000E-E3EE-4B98-99FA-F7503DD2AA7A}"/>
            </c:ext>
          </c:extLst>
        </c:ser>
        <c:ser>
          <c:idx val="9"/>
          <c:order val="9"/>
          <c:tx>
            <c:strRef>
              <c:f>'BWC(2) pivot1'!$K$3:$K$4</c:f>
              <c:strCache>
                <c:ptCount val="1"/>
                <c:pt idx="0">
                  <c:v>4 Ft Shear</c:v>
                </c:pt>
              </c:strCache>
            </c:strRef>
          </c:tx>
          <c:spPr>
            <a:solidFill>
              <a:schemeClr val="accent4">
                <a:lumMod val="60000"/>
              </a:schemeClr>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pivot1'!$K$5:$K$12</c:f>
              <c:numCache>
                <c:formatCode>General</c:formatCode>
                <c:ptCount val="6"/>
                <c:pt idx="5">
                  <c:v>1</c:v>
                </c:pt>
              </c:numCache>
            </c:numRef>
          </c:val>
          <c:extLst>
            <c:ext xmlns:c16="http://schemas.microsoft.com/office/drawing/2014/chart" uri="{C3380CC4-5D6E-409C-BE32-E72D297353CC}">
              <c16:uniqueId val="{0000000F-E3EE-4B98-99FA-F7503DD2AA7A}"/>
            </c:ext>
          </c:extLst>
        </c:ser>
        <c:ser>
          <c:idx val="10"/>
          <c:order val="10"/>
          <c:tx>
            <c:strRef>
              <c:f>'BWC(2) pivot1'!$L$3:$L$4</c:f>
              <c:strCache>
                <c:ptCount val="1"/>
                <c:pt idx="0">
                  <c:v>8 FT ALLSTEEL 45 TON BRAKE</c:v>
                </c:pt>
              </c:strCache>
            </c:strRef>
          </c:tx>
          <c:spPr>
            <a:solidFill>
              <a:schemeClr val="accent5">
                <a:lumMod val="60000"/>
              </a:schemeClr>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pivot1'!$L$5:$L$12</c:f>
              <c:numCache>
                <c:formatCode>General</c:formatCode>
                <c:ptCount val="6"/>
                <c:pt idx="0">
                  <c:v>1</c:v>
                </c:pt>
              </c:numCache>
            </c:numRef>
          </c:val>
          <c:extLst>
            <c:ext xmlns:c16="http://schemas.microsoft.com/office/drawing/2014/chart" uri="{C3380CC4-5D6E-409C-BE32-E72D297353CC}">
              <c16:uniqueId val="{00000010-E3EE-4B98-99FA-F7503DD2AA7A}"/>
            </c:ext>
          </c:extLst>
        </c:ser>
        <c:ser>
          <c:idx val="11"/>
          <c:order val="11"/>
          <c:tx>
            <c:strRef>
              <c:f>'BWC(2) pivot1'!$M$3:$M$4</c:f>
              <c:strCache>
                <c:ptCount val="1"/>
                <c:pt idx="0">
                  <c:v>8 FT ALLSTEEL 65 TON BRAKE</c:v>
                </c:pt>
              </c:strCache>
            </c:strRef>
          </c:tx>
          <c:spPr>
            <a:solidFill>
              <a:schemeClr val="accent6">
                <a:lumMod val="60000"/>
              </a:schemeClr>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pivot1'!$M$5:$M$12</c:f>
              <c:numCache>
                <c:formatCode>General</c:formatCode>
                <c:ptCount val="6"/>
                <c:pt idx="0">
                  <c:v>1</c:v>
                </c:pt>
              </c:numCache>
            </c:numRef>
          </c:val>
          <c:extLst>
            <c:ext xmlns:c16="http://schemas.microsoft.com/office/drawing/2014/chart" uri="{C3380CC4-5D6E-409C-BE32-E72D297353CC}">
              <c16:uniqueId val="{00000011-E3EE-4B98-99FA-F7503DD2AA7A}"/>
            </c:ext>
          </c:extLst>
        </c:ser>
        <c:ser>
          <c:idx val="12"/>
          <c:order val="12"/>
          <c:tx>
            <c:strRef>
              <c:f>'BWC(2) pivot1'!$N$3:$N$4</c:f>
              <c:strCache>
                <c:ptCount val="1"/>
                <c:pt idx="0">
                  <c:v>8 FT CINCINNATI SHEAR WITH FEEDER</c:v>
                </c:pt>
              </c:strCache>
            </c:strRef>
          </c:tx>
          <c:spPr>
            <a:solidFill>
              <a:schemeClr val="accent1">
                <a:lumMod val="80000"/>
                <a:lumOff val="20000"/>
              </a:schemeClr>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pivot1'!$N$5:$N$12</c:f>
              <c:numCache>
                <c:formatCode>General</c:formatCode>
                <c:ptCount val="6"/>
                <c:pt idx="1">
                  <c:v>1</c:v>
                </c:pt>
              </c:numCache>
            </c:numRef>
          </c:val>
          <c:extLst>
            <c:ext xmlns:c16="http://schemas.microsoft.com/office/drawing/2014/chart" uri="{C3380CC4-5D6E-409C-BE32-E72D297353CC}">
              <c16:uniqueId val="{00000012-E3EE-4B98-99FA-F7503DD2AA7A}"/>
            </c:ext>
          </c:extLst>
        </c:ser>
        <c:ser>
          <c:idx val="13"/>
          <c:order val="13"/>
          <c:tx>
            <c:strRef>
              <c:f>'BWC(2) pivot1'!$O$3:$O$4</c:f>
              <c:strCache>
                <c:ptCount val="1"/>
                <c:pt idx="0">
                  <c:v>80 TON KOMATSU PRESS</c:v>
                </c:pt>
              </c:strCache>
            </c:strRef>
          </c:tx>
          <c:spPr>
            <a:solidFill>
              <a:schemeClr val="accent2">
                <a:lumMod val="80000"/>
                <a:lumOff val="20000"/>
              </a:schemeClr>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pivot1'!$O$5:$O$12</c:f>
              <c:numCache>
                <c:formatCode>General</c:formatCode>
                <c:ptCount val="6"/>
                <c:pt idx="4">
                  <c:v>1</c:v>
                </c:pt>
              </c:numCache>
            </c:numRef>
          </c:val>
          <c:extLst>
            <c:ext xmlns:c16="http://schemas.microsoft.com/office/drawing/2014/chart" uri="{C3380CC4-5D6E-409C-BE32-E72D297353CC}">
              <c16:uniqueId val="{00000013-E3EE-4B98-99FA-F7503DD2AA7A}"/>
            </c:ext>
          </c:extLst>
        </c:ser>
        <c:ser>
          <c:idx val="14"/>
          <c:order val="14"/>
          <c:tx>
            <c:strRef>
              <c:f>'BWC(2) pivot1'!$P$3:$P$4</c:f>
              <c:strCache>
                <c:ptCount val="1"/>
                <c:pt idx="0">
                  <c:v>ACCURPRESS 50 TON</c:v>
                </c:pt>
              </c:strCache>
            </c:strRef>
          </c:tx>
          <c:spPr>
            <a:solidFill>
              <a:schemeClr val="accent3">
                <a:lumMod val="80000"/>
                <a:lumOff val="20000"/>
              </a:schemeClr>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pivot1'!$P$5:$P$12</c:f>
              <c:numCache>
                <c:formatCode>General</c:formatCode>
                <c:ptCount val="6"/>
                <c:pt idx="5">
                  <c:v>1</c:v>
                </c:pt>
              </c:numCache>
            </c:numRef>
          </c:val>
          <c:extLst>
            <c:ext xmlns:c16="http://schemas.microsoft.com/office/drawing/2014/chart" uri="{C3380CC4-5D6E-409C-BE32-E72D297353CC}">
              <c16:uniqueId val="{00000014-E3EE-4B98-99FA-F7503DD2AA7A}"/>
            </c:ext>
          </c:extLst>
        </c:ser>
        <c:ser>
          <c:idx val="15"/>
          <c:order val="15"/>
          <c:tx>
            <c:strRef>
              <c:f>'BWC(2) pivot1'!$Q$3:$Q$4</c:f>
              <c:strCache>
                <c:ptCount val="1"/>
                <c:pt idx="0">
                  <c:v>AMADA LASER</c:v>
                </c:pt>
              </c:strCache>
            </c:strRef>
          </c:tx>
          <c:spPr>
            <a:solidFill>
              <a:schemeClr val="accent4">
                <a:lumMod val="80000"/>
                <a:lumOff val="20000"/>
              </a:schemeClr>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pivot1'!$Q$5:$Q$12</c:f>
              <c:numCache>
                <c:formatCode>General</c:formatCode>
                <c:ptCount val="6"/>
                <c:pt idx="2">
                  <c:v>1</c:v>
                </c:pt>
              </c:numCache>
            </c:numRef>
          </c:val>
          <c:extLst>
            <c:ext xmlns:c16="http://schemas.microsoft.com/office/drawing/2014/chart" uri="{C3380CC4-5D6E-409C-BE32-E72D297353CC}">
              <c16:uniqueId val="{00000015-E3EE-4B98-99FA-F7503DD2AA7A}"/>
            </c:ext>
          </c:extLst>
        </c:ser>
        <c:ser>
          <c:idx val="16"/>
          <c:order val="16"/>
          <c:tx>
            <c:strRef>
              <c:f>'BWC(2) pivot1'!$R$3:$R$4</c:f>
              <c:strCache>
                <c:ptCount val="1"/>
                <c:pt idx="0">
                  <c:v>DUST COLLECTOR</c:v>
                </c:pt>
              </c:strCache>
            </c:strRef>
          </c:tx>
          <c:spPr>
            <a:solidFill>
              <a:schemeClr val="accent5">
                <a:lumMod val="80000"/>
                <a:lumOff val="20000"/>
              </a:schemeClr>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pivot1'!$R$5:$R$12</c:f>
              <c:numCache>
                <c:formatCode>General</c:formatCode>
                <c:ptCount val="6"/>
                <c:pt idx="4">
                  <c:v>1</c:v>
                </c:pt>
              </c:numCache>
            </c:numRef>
          </c:val>
          <c:extLst>
            <c:ext xmlns:c16="http://schemas.microsoft.com/office/drawing/2014/chart" uri="{C3380CC4-5D6E-409C-BE32-E72D297353CC}">
              <c16:uniqueId val="{00000016-E3EE-4B98-99FA-F7503DD2AA7A}"/>
            </c:ext>
          </c:extLst>
        </c:ser>
        <c:ser>
          <c:idx val="17"/>
          <c:order val="17"/>
          <c:tx>
            <c:strRef>
              <c:f>'BWC(2) pivot1'!$S$3:$S$4</c:f>
              <c:strCache>
                <c:ptCount val="1"/>
                <c:pt idx="0">
                  <c:v>FLADDER</c:v>
                </c:pt>
              </c:strCache>
            </c:strRef>
          </c:tx>
          <c:spPr>
            <a:solidFill>
              <a:schemeClr val="accent6">
                <a:lumMod val="80000"/>
                <a:lumOff val="20000"/>
              </a:schemeClr>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pivot1'!$S$5:$S$12</c:f>
              <c:numCache>
                <c:formatCode>General</c:formatCode>
                <c:ptCount val="6"/>
                <c:pt idx="1">
                  <c:v>1</c:v>
                </c:pt>
              </c:numCache>
            </c:numRef>
          </c:val>
          <c:extLst>
            <c:ext xmlns:c16="http://schemas.microsoft.com/office/drawing/2014/chart" uri="{C3380CC4-5D6E-409C-BE32-E72D297353CC}">
              <c16:uniqueId val="{00000017-E3EE-4B98-99FA-F7503DD2AA7A}"/>
            </c:ext>
          </c:extLst>
        </c:ser>
        <c:ser>
          <c:idx val="18"/>
          <c:order val="18"/>
          <c:tx>
            <c:strRef>
              <c:f>'BWC(2) pivot1'!$T$3:$T$4</c:f>
              <c:strCache>
                <c:ptCount val="1"/>
                <c:pt idx="0">
                  <c:v>GASPARINI 25 TON BRAKE</c:v>
                </c:pt>
              </c:strCache>
            </c:strRef>
          </c:tx>
          <c:spPr>
            <a:solidFill>
              <a:schemeClr val="accent1">
                <a:lumMod val="80000"/>
              </a:schemeClr>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pivot1'!$T$5:$T$12</c:f>
              <c:numCache>
                <c:formatCode>General</c:formatCode>
                <c:ptCount val="6"/>
                <c:pt idx="5">
                  <c:v>1</c:v>
                </c:pt>
              </c:numCache>
            </c:numRef>
          </c:val>
          <c:extLst>
            <c:ext xmlns:c16="http://schemas.microsoft.com/office/drawing/2014/chart" uri="{C3380CC4-5D6E-409C-BE32-E72D297353CC}">
              <c16:uniqueId val="{00000018-E3EE-4B98-99FA-F7503DD2AA7A}"/>
            </c:ext>
          </c:extLst>
        </c:ser>
        <c:ser>
          <c:idx val="19"/>
          <c:order val="19"/>
          <c:tx>
            <c:strRef>
              <c:f>'BWC(2) pivot1'!$U$3:$U$4</c:f>
              <c:strCache>
                <c:ptCount val="1"/>
                <c:pt idx="0">
                  <c:v>LASER SLAT CLEANER</c:v>
                </c:pt>
              </c:strCache>
            </c:strRef>
          </c:tx>
          <c:spPr>
            <a:solidFill>
              <a:schemeClr val="accent2">
                <a:lumMod val="80000"/>
              </a:schemeClr>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pivot1'!$U$5:$U$12</c:f>
              <c:numCache>
                <c:formatCode>General</c:formatCode>
                <c:ptCount val="6"/>
                <c:pt idx="5">
                  <c:v>1</c:v>
                </c:pt>
              </c:numCache>
            </c:numRef>
          </c:val>
          <c:extLst>
            <c:ext xmlns:c16="http://schemas.microsoft.com/office/drawing/2014/chart" uri="{C3380CC4-5D6E-409C-BE32-E72D297353CC}">
              <c16:uniqueId val="{00000019-E3EE-4B98-99FA-F7503DD2AA7A}"/>
            </c:ext>
          </c:extLst>
        </c:ser>
        <c:ser>
          <c:idx val="20"/>
          <c:order val="20"/>
          <c:tx>
            <c:strRef>
              <c:f>'BWC(2) pivot1'!$V$3:$V$4</c:f>
              <c:strCache>
                <c:ptCount val="1"/>
                <c:pt idx="0">
                  <c:v>STICK WELDER</c:v>
                </c:pt>
              </c:strCache>
            </c:strRef>
          </c:tx>
          <c:spPr>
            <a:solidFill>
              <a:schemeClr val="accent3">
                <a:lumMod val="80000"/>
              </a:schemeClr>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pivot1'!$V$5:$V$12</c:f>
              <c:numCache>
                <c:formatCode>General</c:formatCode>
                <c:ptCount val="6"/>
                <c:pt idx="2">
                  <c:v>1</c:v>
                </c:pt>
              </c:numCache>
            </c:numRef>
          </c:val>
          <c:extLst>
            <c:ext xmlns:c16="http://schemas.microsoft.com/office/drawing/2014/chart" uri="{C3380CC4-5D6E-409C-BE32-E72D297353CC}">
              <c16:uniqueId val="{0000001A-E3EE-4B98-99FA-F7503DD2AA7A}"/>
            </c:ext>
          </c:extLst>
        </c:ser>
        <c:ser>
          <c:idx val="21"/>
          <c:order val="21"/>
          <c:tx>
            <c:strRef>
              <c:f>'BWC(2) pivot1'!$W$3:$W$4</c:f>
              <c:strCache>
                <c:ptCount val="1"/>
                <c:pt idx="0">
                  <c:v>WALKIE</c:v>
                </c:pt>
              </c:strCache>
            </c:strRef>
          </c:tx>
          <c:spPr>
            <a:solidFill>
              <a:schemeClr val="accent4">
                <a:lumMod val="80000"/>
              </a:schemeClr>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pivot1'!$W$5:$W$12</c:f>
              <c:numCache>
                <c:formatCode>General</c:formatCode>
                <c:ptCount val="6"/>
                <c:pt idx="4">
                  <c:v>1</c:v>
                </c:pt>
              </c:numCache>
            </c:numRef>
          </c:val>
          <c:extLst>
            <c:ext xmlns:c16="http://schemas.microsoft.com/office/drawing/2014/chart" uri="{C3380CC4-5D6E-409C-BE32-E72D297353CC}">
              <c16:uniqueId val="{0000001B-E3EE-4B98-99FA-F7503DD2AA7A}"/>
            </c:ext>
          </c:extLst>
        </c:ser>
        <c:ser>
          <c:idx val="22"/>
          <c:order val="22"/>
          <c:tx>
            <c:strRef>
              <c:f>'BWC(2) pivot1'!$X$3:$X$4</c:f>
              <c:strCache>
                <c:ptCount val="1"/>
                <c:pt idx="0">
                  <c:v>YAWEI 160 TON BRAKE</c:v>
                </c:pt>
              </c:strCache>
            </c:strRef>
          </c:tx>
          <c:spPr>
            <a:solidFill>
              <a:schemeClr val="accent5">
                <a:lumMod val="80000"/>
              </a:schemeClr>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pivot1'!$X$5:$X$12</c:f>
              <c:numCache>
                <c:formatCode>General</c:formatCode>
                <c:ptCount val="6"/>
                <c:pt idx="4">
                  <c:v>1</c:v>
                </c:pt>
              </c:numCache>
            </c:numRef>
          </c:val>
          <c:extLst>
            <c:ext xmlns:c16="http://schemas.microsoft.com/office/drawing/2014/chart" uri="{C3380CC4-5D6E-409C-BE32-E72D297353CC}">
              <c16:uniqueId val="{0000001C-E3EE-4B98-99FA-F7503DD2AA7A}"/>
            </c:ext>
          </c:extLst>
        </c:ser>
        <c:ser>
          <c:idx val="23"/>
          <c:order val="23"/>
          <c:tx>
            <c:strRef>
              <c:f>'BWC(2) pivot1'!$Y$3:$Y$4</c:f>
              <c:strCache>
                <c:ptCount val="1"/>
                <c:pt idx="0">
                  <c:v>40" GAUER EDGER #1</c:v>
                </c:pt>
              </c:strCache>
            </c:strRef>
          </c:tx>
          <c:spPr>
            <a:solidFill>
              <a:schemeClr val="accent6">
                <a:lumMod val="80000"/>
              </a:schemeClr>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pivot1'!$Y$5:$Y$12</c:f>
              <c:numCache>
                <c:formatCode>General</c:formatCode>
                <c:ptCount val="6"/>
                <c:pt idx="3">
                  <c:v>1</c:v>
                </c:pt>
              </c:numCache>
            </c:numRef>
          </c:val>
          <c:extLst>
            <c:ext xmlns:c16="http://schemas.microsoft.com/office/drawing/2014/chart" uri="{C3380CC4-5D6E-409C-BE32-E72D297353CC}">
              <c16:uniqueId val="{0000001D-E3EE-4B98-99FA-F7503DD2AA7A}"/>
            </c:ext>
          </c:extLst>
        </c:ser>
        <c:ser>
          <c:idx val="24"/>
          <c:order val="24"/>
          <c:tx>
            <c:strRef>
              <c:f>'BWC(2) pivot1'!$Z$3:$Z$4</c:f>
              <c:strCache>
                <c:ptCount val="1"/>
                <c:pt idx="0">
                  <c:v>40" GAUER EDGER #2</c:v>
                </c:pt>
              </c:strCache>
            </c:strRef>
          </c:tx>
          <c:spPr>
            <a:solidFill>
              <a:schemeClr val="accent1">
                <a:lumMod val="60000"/>
                <a:lumOff val="40000"/>
              </a:schemeClr>
            </a:solidFill>
            <a:ln>
              <a:noFill/>
            </a:ln>
            <a:effectLst/>
          </c:spPr>
          <c:invertIfNegative val="0"/>
          <c:cat>
            <c:multiLvlStrRef>
              <c:f>'BWC(2) pivot1'!$A$5:$A$12</c:f>
              <c:multiLvlStrCache>
                <c:ptCount val="6"/>
                <c:lvl>
                  <c:pt idx="0">
                    <c:v>2024</c:v>
                  </c:pt>
                  <c:pt idx="1">
                    <c:v>2025</c:v>
                  </c:pt>
                  <c:pt idx="2">
                    <c:v>2026</c:v>
                  </c:pt>
                  <c:pt idx="3">
                    <c:v>2027</c:v>
                  </c:pt>
                  <c:pt idx="4">
                    <c:v>2028</c:v>
                  </c:pt>
                  <c:pt idx="5">
                    <c:v>2029</c:v>
                  </c:pt>
                </c:lvl>
                <c:lvl>
                  <c:pt idx="0">
                    <c:v>BWC</c:v>
                  </c:pt>
                </c:lvl>
              </c:multiLvlStrCache>
            </c:multiLvlStrRef>
          </c:cat>
          <c:val>
            <c:numRef>
              <c:f>'BWC(2) pivot1'!$Z$5:$Z$12</c:f>
              <c:numCache>
                <c:formatCode>General</c:formatCode>
                <c:ptCount val="6"/>
                <c:pt idx="3">
                  <c:v>1</c:v>
                </c:pt>
              </c:numCache>
            </c:numRef>
          </c:val>
          <c:extLst>
            <c:ext xmlns:c16="http://schemas.microsoft.com/office/drawing/2014/chart" uri="{C3380CC4-5D6E-409C-BE32-E72D297353CC}">
              <c16:uniqueId val="{0000001E-E3EE-4B98-99FA-F7503DD2AA7A}"/>
            </c:ext>
          </c:extLst>
        </c:ser>
        <c:dLbls>
          <c:showLegendKey val="0"/>
          <c:showVal val="0"/>
          <c:showCatName val="0"/>
          <c:showSerName val="0"/>
          <c:showPercent val="0"/>
          <c:showBubbleSize val="0"/>
        </c:dLbls>
        <c:gapWidth val="219"/>
        <c:overlap val="100"/>
        <c:axId val="672298751"/>
        <c:axId val="672322271"/>
      </c:barChart>
      <c:catAx>
        <c:axId val="67229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322271"/>
        <c:crosses val="autoZero"/>
        <c:auto val="1"/>
        <c:lblAlgn val="ctr"/>
        <c:lblOffset val="100"/>
        <c:noMultiLvlLbl val="0"/>
      </c:catAx>
      <c:valAx>
        <c:axId val="67232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29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[Machine and Equipment Longevity Tracking Tables.xlsx]BWC(2) pivot2!PivotTable4</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'BWC(2) pivot2'!$B$3:$B$4</c:f>
              <c:strCache>
                <c:ptCount val="1"/>
                <c:pt idx="0">
                  <c:v>2029</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'BWC(2) pivot2'!$A$5:$A$35</c:f>
              <c:multiLvlStrCache>
                <c:ptCount val="25"/>
                <c:lvl>
                  <c:pt idx="0">
                    <c:v>130-Ton Accurpress</c:v>
                  </c:pt>
                  <c:pt idx="1">
                    <c:v>LASER SLAT CLEANER</c:v>
                  </c:pt>
                  <c:pt idx="2">
                    <c:v>GASPARINI 25 TON BRAKE</c:v>
                  </c:pt>
                  <c:pt idx="3">
                    <c:v>330 TON KOMATSU</c:v>
                  </c:pt>
                  <c:pt idx="4">
                    <c:v>4 Ft Shear</c:v>
                  </c:pt>
                  <c:pt idx="5">
                    <c:v>ACCURPRESS 50 TON</c:v>
                  </c:pt>
                  <c:pt idx="6">
                    <c:v>YAWEI 160 TON BRAKE</c:v>
                  </c:pt>
                  <c:pt idx="7">
                    <c:v>80 TON KOMATSU PRESS</c:v>
                  </c:pt>
                  <c:pt idx="8">
                    <c:v>24" GAUER EDGER</c:v>
                  </c:pt>
                  <c:pt idx="9">
                    <c:v>40" GAUER EDGER #2</c:v>
                  </c:pt>
                  <c:pt idx="10">
                    <c:v>12" GAUER EDGER</c:v>
                  </c:pt>
                  <c:pt idx="11">
                    <c:v>40" GAUER EDGER #1</c:v>
                  </c:pt>
                  <c:pt idx="12">
                    <c:v>120 TON AIDA PRESS</c:v>
                  </c:pt>
                  <c:pt idx="13">
                    <c:v>30" GAUER EDGER</c:v>
                  </c:pt>
                  <c:pt idx="14">
                    <c:v>STICK WELDER</c:v>
                  </c:pt>
                  <c:pt idx="15">
                    <c:v>12 FT NIAGARA SHEAR WITH FEEDER</c:v>
                  </c:pt>
                  <c:pt idx="16">
                    <c:v>FLADDER</c:v>
                  </c:pt>
                  <c:pt idx="17">
                    <c:v>8 FT CINCINNATI SHEAR WITH FEEDER</c:v>
                  </c:pt>
                  <c:pt idx="18">
                    <c:v>DUST COLLECTOR</c:v>
                  </c:pt>
                  <c:pt idx="19">
                    <c:v>150 TON AIDA</c:v>
                  </c:pt>
                  <c:pt idx="20">
                    <c:v>WALKIE</c:v>
                  </c:pt>
                  <c:pt idx="21">
                    <c:v>300 TON ALLSTEEL PRESS</c:v>
                  </c:pt>
                  <c:pt idx="22">
                    <c:v>AMADA LASER</c:v>
                  </c:pt>
                  <c:pt idx="23">
                    <c:v>8 FT ALLSTEEL 65 TON BRAKE</c:v>
                  </c:pt>
                  <c:pt idx="24">
                    <c:v>8 FT ALLSTEEL 45 TON BRAKE</c:v>
                  </c:pt>
                </c:lvl>
                <c:lvl>
                  <c:pt idx="0">
                    <c:v>EXCELLENT</c:v>
                  </c:pt>
                  <c:pt idx="7">
                    <c:v>FAIR</c:v>
                  </c:pt>
                  <c:pt idx="18">
                    <c:v>Good</c:v>
                  </c:pt>
                  <c:pt idx="23">
                    <c:v>POOR</c:v>
                  </c:pt>
                </c:lvl>
                <c:lvl>
                  <c:pt idx="0">
                    <c:v>BWC</c:v>
                  </c:pt>
                </c:lvl>
              </c:multiLvlStrCache>
            </c:multiLvlStrRef>
          </c:cat>
          <c:val>
            <c:numRef>
              <c:f>'BWC(2) pivot2'!$B$5:$B$35</c:f>
              <c:numCache>
                <c:formatCode>General</c:formatCode>
                <c:ptCount val="25"/>
                <c:pt idx="0">
                  <c:v>2029</c:v>
                </c:pt>
                <c:pt idx="1">
                  <c:v>2029</c:v>
                </c:pt>
                <c:pt idx="2">
                  <c:v>2029</c:v>
                </c:pt>
                <c:pt idx="3">
                  <c:v>2029</c:v>
                </c:pt>
                <c:pt idx="4">
                  <c:v>2029</c:v>
                </c:pt>
                <c:pt idx="5">
                  <c:v>2029</c:v>
                </c:pt>
              </c:numCache>
            </c:numRef>
          </c:val>
          <c:extLst>
            <c:ext xmlns:c16="http://schemas.microsoft.com/office/drawing/2014/chart" uri="{C3380CC4-5D6E-409C-BE32-E72D297353CC}">
              <c16:uniqueId val="{00000000-D041-48A3-9182-5F333A16C6A6}"/>
            </c:ext>
          </c:extLst>
        </c:ser>
        <c:ser>
          <c:idx val="1"/>
          <c:order val="1"/>
          <c:tx>
            <c:strRef>
              <c:f>'BWC(2) pivot2'!$C$3:$C$4</c:f>
              <c:strCache>
                <c:ptCount val="1"/>
                <c:pt idx="0">
                  <c:v>2028</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'BWC(2) pivot2'!$A$5:$A$35</c:f>
              <c:multiLvlStrCache>
                <c:ptCount val="25"/>
                <c:lvl>
                  <c:pt idx="0">
                    <c:v>130-Ton Accurpress</c:v>
                  </c:pt>
                  <c:pt idx="1">
                    <c:v>LASER SLAT CLEANER</c:v>
                  </c:pt>
                  <c:pt idx="2">
                    <c:v>GASPARINI 25 TON BRAKE</c:v>
                  </c:pt>
                  <c:pt idx="3">
                    <c:v>330 TON KOMATSU</c:v>
                  </c:pt>
                  <c:pt idx="4">
                    <c:v>4 Ft Shear</c:v>
                  </c:pt>
                  <c:pt idx="5">
                    <c:v>ACCURPRESS 50 TON</c:v>
                  </c:pt>
                  <c:pt idx="6">
                    <c:v>YAWEI 160 TON BRAKE</c:v>
                  </c:pt>
                  <c:pt idx="7">
                    <c:v>80 TON KOMATSU PRESS</c:v>
                  </c:pt>
                  <c:pt idx="8">
                    <c:v>24" GAUER EDGER</c:v>
                  </c:pt>
                  <c:pt idx="9">
                    <c:v>40" GAUER EDGER #2</c:v>
                  </c:pt>
                  <c:pt idx="10">
                    <c:v>12" GAUER EDGER</c:v>
                  </c:pt>
                  <c:pt idx="11">
                    <c:v>40" GAUER EDGER #1</c:v>
                  </c:pt>
                  <c:pt idx="12">
                    <c:v>120 TON AIDA PRESS</c:v>
                  </c:pt>
                  <c:pt idx="13">
                    <c:v>30" GAUER EDGER</c:v>
                  </c:pt>
                  <c:pt idx="14">
                    <c:v>STICK WELDER</c:v>
                  </c:pt>
                  <c:pt idx="15">
                    <c:v>12 FT NIAGARA SHEAR WITH FEEDER</c:v>
                  </c:pt>
                  <c:pt idx="16">
                    <c:v>FLADDER</c:v>
                  </c:pt>
                  <c:pt idx="17">
                    <c:v>8 FT CINCINNATI SHEAR WITH FEEDER</c:v>
                  </c:pt>
                  <c:pt idx="18">
                    <c:v>DUST COLLECTOR</c:v>
                  </c:pt>
                  <c:pt idx="19">
                    <c:v>150 TON AIDA</c:v>
                  </c:pt>
                  <c:pt idx="20">
                    <c:v>WALKIE</c:v>
                  </c:pt>
                  <c:pt idx="21">
                    <c:v>300 TON ALLSTEEL PRESS</c:v>
                  </c:pt>
                  <c:pt idx="22">
                    <c:v>AMADA LASER</c:v>
                  </c:pt>
                  <c:pt idx="23">
                    <c:v>8 FT ALLSTEEL 65 TON BRAKE</c:v>
                  </c:pt>
                  <c:pt idx="24">
                    <c:v>8 FT ALLSTEEL 45 TON BRAKE</c:v>
                  </c:pt>
                </c:lvl>
                <c:lvl>
                  <c:pt idx="0">
                    <c:v>EXCELLENT</c:v>
                  </c:pt>
                  <c:pt idx="7">
                    <c:v>FAIR</c:v>
                  </c:pt>
                  <c:pt idx="18">
                    <c:v>Good</c:v>
                  </c:pt>
                  <c:pt idx="23">
                    <c:v>POOR</c:v>
                  </c:pt>
                </c:lvl>
                <c:lvl>
                  <c:pt idx="0">
                    <c:v>BWC</c:v>
                  </c:pt>
                </c:lvl>
              </c:multiLvlStrCache>
            </c:multiLvlStrRef>
          </c:cat>
          <c:val>
            <c:numRef>
              <c:f>'BWC(2) pivot2'!$C$5:$C$35</c:f>
              <c:numCache>
                <c:formatCode>General</c:formatCode>
                <c:ptCount val="25"/>
                <c:pt idx="6">
                  <c:v>2028</c:v>
                </c:pt>
                <c:pt idx="7">
                  <c:v>2028</c:v>
                </c:pt>
                <c:pt idx="18">
                  <c:v>2028</c:v>
                </c:pt>
                <c:pt idx="19">
                  <c:v>2028</c:v>
                </c:pt>
                <c:pt idx="20">
                  <c:v>2028</c:v>
                </c:pt>
                <c:pt idx="21">
                  <c:v>2028</c:v>
                </c:pt>
              </c:numCache>
            </c:numRef>
          </c:val>
          <c:extLst>
            <c:ext xmlns:c16="http://schemas.microsoft.com/office/drawing/2014/chart" uri="{C3380CC4-5D6E-409C-BE32-E72D297353CC}">
              <c16:uniqueId val="{0000001A-D041-48A3-9182-5F333A16C6A6}"/>
            </c:ext>
          </c:extLst>
        </c:ser>
        <c:ser>
          <c:idx val="2"/>
          <c:order val="2"/>
          <c:tx>
            <c:strRef>
              <c:f>'BWC(2) pivot2'!$D$3:$D$4</c:f>
              <c:strCache>
                <c:ptCount val="1"/>
                <c:pt idx="0">
                  <c:v>2027</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'BWC(2) pivot2'!$A$5:$A$35</c:f>
              <c:multiLvlStrCache>
                <c:ptCount val="25"/>
                <c:lvl>
                  <c:pt idx="0">
                    <c:v>130-Ton Accurpress</c:v>
                  </c:pt>
                  <c:pt idx="1">
                    <c:v>LASER SLAT CLEANER</c:v>
                  </c:pt>
                  <c:pt idx="2">
                    <c:v>GASPARINI 25 TON BRAKE</c:v>
                  </c:pt>
                  <c:pt idx="3">
                    <c:v>330 TON KOMATSU</c:v>
                  </c:pt>
                  <c:pt idx="4">
                    <c:v>4 Ft Shear</c:v>
                  </c:pt>
                  <c:pt idx="5">
                    <c:v>ACCURPRESS 50 TON</c:v>
                  </c:pt>
                  <c:pt idx="6">
                    <c:v>YAWEI 160 TON BRAKE</c:v>
                  </c:pt>
                  <c:pt idx="7">
                    <c:v>80 TON KOMATSU PRESS</c:v>
                  </c:pt>
                  <c:pt idx="8">
                    <c:v>24" GAUER EDGER</c:v>
                  </c:pt>
                  <c:pt idx="9">
                    <c:v>40" GAUER EDGER #2</c:v>
                  </c:pt>
                  <c:pt idx="10">
                    <c:v>12" GAUER EDGER</c:v>
                  </c:pt>
                  <c:pt idx="11">
                    <c:v>40" GAUER EDGER #1</c:v>
                  </c:pt>
                  <c:pt idx="12">
                    <c:v>120 TON AIDA PRESS</c:v>
                  </c:pt>
                  <c:pt idx="13">
                    <c:v>30" GAUER EDGER</c:v>
                  </c:pt>
                  <c:pt idx="14">
                    <c:v>STICK WELDER</c:v>
                  </c:pt>
                  <c:pt idx="15">
                    <c:v>12 FT NIAGARA SHEAR WITH FEEDER</c:v>
                  </c:pt>
                  <c:pt idx="16">
                    <c:v>FLADDER</c:v>
                  </c:pt>
                  <c:pt idx="17">
                    <c:v>8 FT CINCINNATI SHEAR WITH FEEDER</c:v>
                  </c:pt>
                  <c:pt idx="18">
                    <c:v>DUST COLLECTOR</c:v>
                  </c:pt>
                  <c:pt idx="19">
                    <c:v>150 TON AIDA</c:v>
                  </c:pt>
                  <c:pt idx="20">
                    <c:v>WALKIE</c:v>
                  </c:pt>
                  <c:pt idx="21">
                    <c:v>300 TON ALLSTEEL PRESS</c:v>
                  </c:pt>
                  <c:pt idx="22">
                    <c:v>AMADA LASER</c:v>
                  </c:pt>
                  <c:pt idx="23">
                    <c:v>8 FT ALLSTEEL 65 TON BRAKE</c:v>
                  </c:pt>
                  <c:pt idx="24">
                    <c:v>8 FT ALLSTEEL 45 TON BRAKE</c:v>
                  </c:pt>
                </c:lvl>
                <c:lvl>
                  <c:pt idx="0">
                    <c:v>EXCELLENT</c:v>
                  </c:pt>
                  <c:pt idx="7">
                    <c:v>FAIR</c:v>
                  </c:pt>
                  <c:pt idx="18">
                    <c:v>Good</c:v>
                  </c:pt>
                  <c:pt idx="23">
                    <c:v>POOR</c:v>
                  </c:pt>
                </c:lvl>
                <c:lvl>
                  <c:pt idx="0">
                    <c:v>BWC</c:v>
                  </c:pt>
                </c:lvl>
              </c:multiLvlStrCache>
            </c:multiLvlStrRef>
          </c:cat>
          <c:val>
            <c:numRef>
              <c:f>'BWC(2) pivot2'!$D$5:$D$35</c:f>
              <c:numCache>
                <c:formatCode>General</c:formatCode>
                <c:ptCount val="25"/>
                <c:pt idx="8">
                  <c:v>2027</c:v>
                </c:pt>
                <c:pt idx="9">
                  <c:v>2027</c:v>
                </c:pt>
                <c:pt idx="10">
                  <c:v>2027</c:v>
                </c:pt>
                <c:pt idx="11">
                  <c:v>2027</c:v>
                </c:pt>
                <c:pt idx="12">
                  <c:v>2027</c:v>
                </c:pt>
                <c:pt idx="13">
                  <c:v>2027</c:v>
                </c:pt>
              </c:numCache>
            </c:numRef>
          </c:val>
          <c:extLst>
            <c:ext xmlns:c16="http://schemas.microsoft.com/office/drawing/2014/chart" uri="{C3380CC4-5D6E-409C-BE32-E72D297353CC}">
              <c16:uniqueId val="{0000001B-D041-48A3-9182-5F333A16C6A6}"/>
            </c:ext>
          </c:extLst>
        </c:ser>
        <c:ser>
          <c:idx val="3"/>
          <c:order val="3"/>
          <c:tx>
            <c:strRef>
              <c:f>'BWC(2) pivot2'!$E$3:$E$4</c:f>
              <c:strCache>
                <c:ptCount val="1"/>
                <c:pt idx="0">
                  <c:v>2026</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'BWC(2) pivot2'!$A$5:$A$35</c:f>
              <c:multiLvlStrCache>
                <c:ptCount val="25"/>
                <c:lvl>
                  <c:pt idx="0">
                    <c:v>130-Ton Accurpress</c:v>
                  </c:pt>
                  <c:pt idx="1">
                    <c:v>LASER SLAT CLEANER</c:v>
                  </c:pt>
                  <c:pt idx="2">
                    <c:v>GASPARINI 25 TON BRAKE</c:v>
                  </c:pt>
                  <c:pt idx="3">
                    <c:v>330 TON KOMATSU</c:v>
                  </c:pt>
                  <c:pt idx="4">
                    <c:v>4 Ft Shear</c:v>
                  </c:pt>
                  <c:pt idx="5">
                    <c:v>ACCURPRESS 50 TON</c:v>
                  </c:pt>
                  <c:pt idx="6">
                    <c:v>YAWEI 160 TON BRAKE</c:v>
                  </c:pt>
                  <c:pt idx="7">
                    <c:v>80 TON KOMATSU PRESS</c:v>
                  </c:pt>
                  <c:pt idx="8">
                    <c:v>24" GAUER EDGER</c:v>
                  </c:pt>
                  <c:pt idx="9">
                    <c:v>40" GAUER EDGER #2</c:v>
                  </c:pt>
                  <c:pt idx="10">
                    <c:v>12" GAUER EDGER</c:v>
                  </c:pt>
                  <c:pt idx="11">
                    <c:v>40" GAUER EDGER #1</c:v>
                  </c:pt>
                  <c:pt idx="12">
                    <c:v>120 TON AIDA PRESS</c:v>
                  </c:pt>
                  <c:pt idx="13">
                    <c:v>30" GAUER EDGER</c:v>
                  </c:pt>
                  <c:pt idx="14">
                    <c:v>STICK WELDER</c:v>
                  </c:pt>
                  <c:pt idx="15">
                    <c:v>12 FT NIAGARA SHEAR WITH FEEDER</c:v>
                  </c:pt>
                  <c:pt idx="16">
                    <c:v>FLADDER</c:v>
                  </c:pt>
                  <c:pt idx="17">
                    <c:v>8 FT CINCINNATI SHEAR WITH FEEDER</c:v>
                  </c:pt>
                  <c:pt idx="18">
                    <c:v>DUST COLLECTOR</c:v>
                  </c:pt>
                  <c:pt idx="19">
                    <c:v>150 TON AIDA</c:v>
                  </c:pt>
                  <c:pt idx="20">
                    <c:v>WALKIE</c:v>
                  </c:pt>
                  <c:pt idx="21">
                    <c:v>300 TON ALLSTEEL PRESS</c:v>
                  </c:pt>
                  <c:pt idx="22">
                    <c:v>AMADA LASER</c:v>
                  </c:pt>
                  <c:pt idx="23">
                    <c:v>8 FT ALLSTEEL 65 TON BRAKE</c:v>
                  </c:pt>
                  <c:pt idx="24">
                    <c:v>8 FT ALLSTEEL 45 TON BRAKE</c:v>
                  </c:pt>
                </c:lvl>
                <c:lvl>
                  <c:pt idx="0">
                    <c:v>EXCELLENT</c:v>
                  </c:pt>
                  <c:pt idx="7">
                    <c:v>FAIR</c:v>
                  </c:pt>
                  <c:pt idx="18">
                    <c:v>Good</c:v>
                  </c:pt>
                  <c:pt idx="23">
                    <c:v>POOR</c:v>
                  </c:pt>
                </c:lvl>
                <c:lvl>
                  <c:pt idx="0">
                    <c:v>BWC</c:v>
                  </c:pt>
                </c:lvl>
              </c:multiLvlStrCache>
            </c:multiLvlStrRef>
          </c:cat>
          <c:val>
            <c:numRef>
              <c:f>'BWC(2) pivot2'!$E$5:$E$35</c:f>
              <c:numCache>
                <c:formatCode>General</c:formatCode>
                <c:ptCount val="25"/>
                <c:pt idx="14">
                  <c:v>2026</c:v>
                </c:pt>
                <c:pt idx="22">
                  <c:v>2026</c:v>
                </c:pt>
              </c:numCache>
            </c:numRef>
          </c:val>
          <c:extLst>
            <c:ext xmlns:c16="http://schemas.microsoft.com/office/drawing/2014/chart" uri="{C3380CC4-5D6E-409C-BE32-E72D297353CC}">
              <c16:uniqueId val="{0000001C-D041-48A3-9182-5F333A16C6A6}"/>
            </c:ext>
          </c:extLst>
        </c:ser>
        <c:ser>
          <c:idx val="4"/>
          <c:order val="4"/>
          <c:tx>
            <c:strRef>
              <c:f>'BWC(2) pivot2'!$F$3:$F$4</c:f>
              <c:strCache>
                <c:ptCount val="1"/>
                <c:pt idx="0">
                  <c:v>2025</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'BWC(2) pivot2'!$A$5:$A$35</c:f>
              <c:multiLvlStrCache>
                <c:ptCount val="25"/>
                <c:lvl>
                  <c:pt idx="0">
                    <c:v>130-Ton Accurpress</c:v>
                  </c:pt>
                  <c:pt idx="1">
                    <c:v>LASER SLAT CLEANER</c:v>
                  </c:pt>
                  <c:pt idx="2">
                    <c:v>GASPARINI 25 TON BRAKE</c:v>
                  </c:pt>
                  <c:pt idx="3">
                    <c:v>330 TON KOMATSU</c:v>
                  </c:pt>
                  <c:pt idx="4">
                    <c:v>4 Ft Shear</c:v>
                  </c:pt>
                  <c:pt idx="5">
                    <c:v>ACCURPRESS 50 TON</c:v>
                  </c:pt>
                  <c:pt idx="6">
                    <c:v>YAWEI 160 TON BRAKE</c:v>
                  </c:pt>
                  <c:pt idx="7">
                    <c:v>80 TON KOMATSU PRESS</c:v>
                  </c:pt>
                  <c:pt idx="8">
                    <c:v>24" GAUER EDGER</c:v>
                  </c:pt>
                  <c:pt idx="9">
                    <c:v>40" GAUER EDGER #2</c:v>
                  </c:pt>
                  <c:pt idx="10">
                    <c:v>12" GAUER EDGER</c:v>
                  </c:pt>
                  <c:pt idx="11">
                    <c:v>40" GAUER EDGER #1</c:v>
                  </c:pt>
                  <c:pt idx="12">
                    <c:v>120 TON AIDA PRESS</c:v>
                  </c:pt>
                  <c:pt idx="13">
                    <c:v>30" GAUER EDGER</c:v>
                  </c:pt>
                  <c:pt idx="14">
                    <c:v>STICK WELDER</c:v>
                  </c:pt>
                  <c:pt idx="15">
                    <c:v>12 FT NIAGARA SHEAR WITH FEEDER</c:v>
                  </c:pt>
                  <c:pt idx="16">
                    <c:v>FLADDER</c:v>
                  </c:pt>
                  <c:pt idx="17">
                    <c:v>8 FT CINCINNATI SHEAR WITH FEEDER</c:v>
                  </c:pt>
                  <c:pt idx="18">
                    <c:v>DUST COLLECTOR</c:v>
                  </c:pt>
                  <c:pt idx="19">
                    <c:v>150 TON AIDA</c:v>
                  </c:pt>
                  <c:pt idx="20">
                    <c:v>WALKIE</c:v>
                  </c:pt>
                  <c:pt idx="21">
                    <c:v>300 TON ALLSTEEL PRESS</c:v>
                  </c:pt>
                  <c:pt idx="22">
                    <c:v>AMADA LASER</c:v>
                  </c:pt>
                  <c:pt idx="23">
                    <c:v>8 FT ALLSTEEL 65 TON BRAKE</c:v>
                  </c:pt>
                  <c:pt idx="24">
                    <c:v>8 FT ALLSTEEL 45 TON BRAKE</c:v>
                  </c:pt>
                </c:lvl>
                <c:lvl>
                  <c:pt idx="0">
                    <c:v>EXCELLENT</c:v>
                  </c:pt>
                  <c:pt idx="7">
                    <c:v>FAIR</c:v>
                  </c:pt>
                  <c:pt idx="18">
                    <c:v>Good</c:v>
                  </c:pt>
                  <c:pt idx="23">
                    <c:v>POOR</c:v>
                  </c:pt>
                </c:lvl>
                <c:lvl>
                  <c:pt idx="0">
                    <c:v>BWC</c:v>
                  </c:pt>
                </c:lvl>
              </c:multiLvlStrCache>
            </c:multiLvlStrRef>
          </c:cat>
          <c:val>
            <c:numRef>
              <c:f>'BWC(2) pivot2'!$F$5:$F$35</c:f>
              <c:numCache>
                <c:formatCode>General</c:formatCode>
                <c:ptCount val="25"/>
                <c:pt idx="15">
                  <c:v>2025</c:v>
                </c:pt>
                <c:pt idx="16">
                  <c:v>2025</c:v>
                </c:pt>
                <c:pt idx="17">
                  <c:v>2025</c:v>
                </c:pt>
              </c:numCache>
            </c:numRef>
          </c:val>
          <c:extLst>
            <c:ext xmlns:c16="http://schemas.microsoft.com/office/drawing/2014/chart" uri="{C3380CC4-5D6E-409C-BE32-E72D297353CC}">
              <c16:uniqueId val="{0000001D-D041-48A3-9182-5F333A16C6A6}"/>
            </c:ext>
          </c:extLst>
        </c:ser>
        <c:ser>
          <c:idx val="5"/>
          <c:order val="5"/>
          <c:tx>
            <c:strRef>
              <c:f>'BWC(2) pivot2'!$G$3:$G$4</c:f>
              <c:strCache>
                <c:ptCount val="1"/>
                <c:pt idx="0">
                  <c:v>2024</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'BWC(2) pivot2'!$A$5:$A$35</c:f>
              <c:multiLvlStrCache>
                <c:ptCount val="25"/>
                <c:lvl>
                  <c:pt idx="0">
                    <c:v>130-Ton Accurpress</c:v>
                  </c:pt>
                  <c:pt idx="1">
                    <c:v>LASER SLAT CLEANER</c:v>
                  </c:pt>
                  <c:pt idx="2">
                    <c:v>GASPARINI 25 TON BRAKE</c:v>
                  </c:pt>
                  <c:pt idx="3">
                    <c:v>330 TON KOMATSU</c:v>
                  </c:pt>
                  <c:pt idx="4">
                    <c:v>4 Ft Shear</c:v>
                  </c:pt>
                  <c:pt idx="5">
                    <c:v>ACCURPRESS 50 TON</c:v>
                  </c:pt>
                  <c:pt idx="6">
                    <c:v>YAWEI 160 TON BRAKE</c:v>
                  </c:pt>
                  <c:pt idx="7">
                    <c:v>80 TON KOMATSU PRESS</c:v>
                  </c:pt>
                  <c:pt idx="8">
                    <c:v>24" GAUER EDGER</c:v>
                  </c:pt>
                  <c:pt idx="9">
                    <c:v>40" GAUER EDGER #2</c:v>
                  </c:pt>
                  <c:pt idx="10">
                    <c:v>12" GAUER EDGER</c:v>
                  </c:pt>
                  <c:pt idx="11">
                    <c:v>40" GAUER EDGER #1</c:v>
                  </c:pt>
                  <c:pt idx="12">
                    <c:v>120 TON AIDA PRESS</c:v>
                  </c:pt>
                  <c:pt idx="13">
                    <c:v>30" GAUER EDGER</c:v>
                  </c:pt>
                  <c:pt idx="14">
                    <c:v>STICK WELDER</c:v>
                  </c:pt>
                  <c:pt idx="15">
                    <c:v>12 FT NIAGARA SHEAR WITH FEEDER</c:v>
                  </c:pt>
                  <c:pt idx="16">
                    <c:v>FLADDER</c:v>
                  </c:pt>
                  <c:pt idx="17">
                    <c:v>8 FT CINCINNATI SHEAR WITH FEEDER</c:v>
                  </c:pt>
                  <c:pt idx="18">
                    <c:v>DUST COLLECTOR</c:v>
                  </c:pt>
                  <c:pt idx="19">
                    <c:v>150 TON AIDA</c:v>
                  </c:pt>
                  <c:pt idx="20">
                    <c:v>WALKIE</c:v>
                  </c:pt>
                  <c:pt idx="21">
                    <c:v>300 TON ALLSTEEL PRESS</c:v>
                  </c:pt>
                  <c:pt idx="22">
                    <c:v>AMADA LASER</c:v>
                  </c:pt>
                  <c:pt idx="23">
                    <c:v>8 FT ALLSTEEL 65 TON BRAKE</c:v>
                  </c:pt>
                  <c:pt idx="24">
                    <c:v>8 FT ALLSTEEL 45 TON BRAKE</c:v>
                  </c:pt>
                </c:lvl>
                <c:lvl>
                  <c:pt idx="0">
                    <c:v>EXCELLENT</c:v>
                  </c:pt>
                  <c:pt idx="7">
                    <c:v>FAIR</c:v>
                  </c:pt>
                  <c:pt idx="18">
                    <c:v>Good</c:v>
                  </c:pt>
                  <c:pt idx="23">
                    <c:v>POOR</c:v>
                  </c:pt>
                </c:lvl>
                <c:lvl>
                  <c:pt idx="0">
                    <c:v>BWC</c:v>
                  </c:pt>
                </c:lvl>
              </c:multiLvlStrCache>
            </c:multiLvlStrRef>
          </c:cat>
          <c:val>
            <c:numRef>
              <c:f>'BWC(2) pivot2'!$G$5:$G$35</c:f>
              <c:numCache>
                <c:formatCode>General</c:formatCode>
                <c:ptCount val="25"/>
                <c:pt idx="23">
                  <c:v>2024</c:v>
                </c:pt>
                <c:pt idx="24">
                  <c:v>2024</c:v>
                </c:pt>
              </c:numCache>
            </c:numRef>
          </c:val>
          <c:extLst>
            <c:ext xmlns:c16="http://schemas.microsoft.com/office/drawing/2014/chart" uri="{C3380CC4-5D6E-409C-BE32-E72D297353CC}">
              <c16:uniqueId val="{0000001E-D041-48A3-9182-5F333A16C6A6}"/>
            </c:ext>
          </c:extLst>
        </c:ser>
        <c:dLbls>
          <c:showLegendKey val="0"/>
          <c:showVal val="0"/>
          <c:showCatName val="0"/>
          <c:showSerName val="0"/>
          <c:showPercent val="0"/>
          <c:showBubbleSize val="0"/>
        </c:dLbls>
        <c:gapWidth val="115"/>
        <c:overlap val="-20"/>
        <c:axId val="672298751"/>
        <c:axId val="672322271"/>
      </c:barChart>
      <c:catAx>
        <c:axId val="6722987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2322271"/>
        <c:crosses val="autoZero"/>
        <c:auto val="1"/>
        <c:lblAlgn val="ctr"/>
        <c:lblOffset val="100"/>
        <c:noMultiLvlLbl val="0"/>
      </c:catAx>
      <c:valAx>
        <c:axId val="672322271"/>
        <c:scaling>
          <c:orientation val="minMax"/>
          <c:min val="2023"/>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229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1383030</xdr:colOff>
      <xdr:row>6</xdr:row>
      <xdr:rowOff>47624</xdr:rowOff>
    </xdr:from>
    <xdr:to>
      <xdr:col>7</xdr:col>
      <xdr:colOff>630555</xdr:colOff>
      <xdr:row>35</xdr:row>
      <xdr:rowOff>85724</xdr:rowOff>
    </xdr:to>
    <xdr:graphicFrame macro="">
      <xdr:nvGraphicFramePr>
        <xdr:cNvPr id="2" name="Chart 1">
          <a:extLst>
            <a:ext uri="{FF2B5EF4-FFF2-40B4-BE49-F238E27FC236}">
              <a16:creationId xmlns:a16="http://schemas.microsoft.com/office/drawing/2014/main" id="{4F653326-7CEF-46B7-9C3D-427AFAA1F8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838200</xdr:colOff>
      <xdr:row>0</xdr:row>
      <xdr:rowOff>0</xdr:rowOff>
    </xdr:from>
    <xdr:to>
      <xdr:col>15</xdr:col>
      <xdr:colOff>314325</xdr:colOff>
      <xdr:row>31</xdr:row>
      <xdr:rowOff>32384</xdr:rowOff>
    </xdr:to>
    <xdr:graphicFrame macro="">
      <xdr:nvGraphicFramePr>
        <xdr:cNvPr id="2" name="Chart 1">
          <a:extLst>
            <a:ext uri="{FF2B5EF4-FFF2-40B4-BE49-F238E27FC236}">
              <a16:creationId xmlns:a16="http://schemas.microsoft.com/office/drawing/2014/main" id="{F83C711D-DAE2-47AA-BC3B-4E7800D3E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Dale Kee" id="{6725C1A2-7076-4984-BAEB-AD4FB90D22AB}" userId="dalek@bobrick.net" providerId="PeoplePicker"/>
  <person displayName="Matt Guner" id="{47802DAE-0C07-48B7-841E-27FAB4696F3D}" userId="mattg@bobrick.net" providerId="PeoplePicker"/>
  <person displayName="Kieun Kim" id="{8EED5984-D9A0-4643-9A6A-B103536D1632}" userId="kieunk@bobrick.net" providerId="PeoplePicker"/>
  <person displayName="Dawn Hart" id="{CF83FD1A-CA27-4C60-9C59-847E42F3356D}" userId="BMCDAWN@bobrick.net" providerId="PeoplePicker"/>
  <person displayName="Francis Amushi" id="{050D8D9F-1A5E-4D08-A82B-973BB3B09EA4}" userId="FrancisA@bobrick.net" providerId="PeoplePicker"/>
  <person displayName="Michael Nygard" id="{B508022B-91FA-4895-9B50-9767AF848DF0}" userId="michaeln@bobrick.net" providerId="PeoplePicker"/>
  <person displayName="Sam Cho" id="{ABDEC16E-A8C3-438F-A667-30D9A36042A7}" userId="Jeong.Cho@bobrick.net" providerId="PeoplePicker"/>
  <person displayName="Jose Andrade" id="{B9174282-29D3-494D-BA3F-C577F70A4003}" userId="Jose.Andrade@bobrick.net" providerId="PeoplePicker"/>
  <person displayName="Scott Herbert" id="{BA2C59FC-516B-4AAF-8E21-4D602DAFE1D8}" userId="Preston.Herbert@bobrick.net" providerId="PeoplePicker"/>
  <person displayName="Michael Del Valle" id="{E22DA893-9DCA-4D27-AC43-27100B952D56}" userId="Michael.DelValle@bobrick.net" providerId="PeoplePicker"/>
  <person displayName="Dale Kee" id="{22F42B6C-2386-4152-A56E-965E910D2145}" userId="S::dalek@bobrick.net::e8d0cae9-0b5a-49a4-b1a0-ab96cbe0a1d7" providerId="AD"/>
  <person displayName="Kieun Kim" id="{856B2C74-3CEF-4229-A498-39BD94CC7154}" userId="S::kieunk@bobrick.net::dd9bcdad-7a1b-46e8-852e-ea48a8aa5bd4" providerId="AD"/>
  <person displayName="Francis Amushi" id="{8065141E-857E-4860-8B75-D94F735E4F54}" userId="S::francisa@bobrick.net::2fbedce1-2926-4c97-b5d3-a785d61f164c" providerId="AD"/>
  <person displayName="Michael Nygard" id="{4987AE0C-1B70-4B9A-9D6E-25F7307749AF}" userId="S::michaeln@bobrick.net::d73bcc08-acdf-46d8-8a2d-dcb96c4bb1cc" providerId="AD"/>
  <person displayName="Scott Herbert" id="{7FA477B1-732F-4D37-AFF9-81CC7FDE841F}" userId="S::preston.herbert@bobrick.net::a9ab2c4a-80cf-4929-8de2-26ef08a93bf6"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eun Kim" refreshedDate="45518.657000115738" createdVersion="8" refreshedVersion="8" minRefreshableVersion="3" recordCount="25" xr:uid="{7586410E-2743-4D04-A184-4E229190F5F3}">
  <cacheSource type="worksheet">
    <worksheetSource ref="A4:J29" sheet="BWC (2)"/>
  </cacheSource>
  <cacheFields count="10">
    <cacheField name="Division" numFmtId="0">
      <sharedItems count="1">
        <s v="BWC"/>
      </sharedItems>
    </cacheField>
    <cacheField name="item#" numFmtId="0">
      <sharedItems containsSemiMixedTypes="0" containsString="0" containsNumber="1" containsInteger="1" minValue="1" maxValue="25"/>
    </cacheField>
    <cacheField name="Cell/Line/Dept" numFmtId="0">
      <sharedItems/>
    </cacheField>
    <cacheField name="Machine and Equipment" numFmtId="0">
      <sharedItems count="26">
        <s v="8 FT CINCINNATI SHEAR WITH FEEDER"/>
        <s v="12 FT NIAGARA SHEAR WITH FEEDER"/>
        <s v="GASPARINI 25 TON BRAKE"/>
        <s v="4 Ft Shear"/>
        <s v="8 FT ALLSTEEL 45 TON BRAKE"/>
        <s v="8 FT ALLSTEEL 65 TON BRAKE"/>
        <s v="YAWEI 160 TON BRAKE"/>
        <s v="ACCURPRESS 50 TON"/>
        <s v="80 TON KOMATSU PRESS"/>
        <s v="120 TON AIDA PRESS"/>
        <s v="130-Ton Accurpress"/>
        <s v="300 TON ALLSTEEL PRESS"/>
        <s v="330 TON KOMATSU"/>
        <s v="150 TON AIDA"/>
        <s v="40&quot; GAUER EDGER #1"/>
        <s v="30&quot; GAUER EDGER"/>
        <s v="40&quot; GAUER EDGER #2"/>
        <s v="24&quot; GAUER EDGER"/>
        <s v="12&quot; GAUER EDGER"/>
        <s v="FLADDER"/>
        <s v="DUST COLLECTOR"/>
        <s v="STICK WELDER"/>
        <s v="WALKIE"/>
        <s v="LASER SLAT CLEANER"/>
        <s v="AMADA LASER"/>
        <s v="40&quot; GAUER EDGER" u="1"/>
      </sharedItems>
    </cacheField>
    <cacheField name="Asset #" numFmtId="0">
      <sharedItems containsNonDate="0" containsString="0" containsBlank="1"/>
    </cacheField>
    <cacheField name="Year New" numFmtId="0">
      <sharedItems containsMixedTypes="1" containsNumber="1" containsInteger="1" minValue="1972" maxValue="2022"/>
    </cacheField>
    <cacheField name="Condition" numFmtId="0">
      <sharedItems count="4">
        <s v="FAIR"/>
        <s v="EXCELLENT"/>
        <s v="POOR"/>
        <s v="Good"/>
      </sharedItems>
    </cacheField>
    <cacheField name="As of (Year-Month)" numFmtId="0">
      <sharedItems/>
    </cacheField>
    <cacheField name="Estimated Replacement Year" numFmtId="0">
      <sharedItems containsSemiMixedTypes="0" containsString="0" containsNumber="1" containsInteger="1" minValue="2024" maxValue="2029" count="6">
        <n v="2025"/>
        <n v="2029"/>
        <n v="2024"/>
        <n v="2028"/>
        <n v="2027"/>
        <n v="2026"/>
      </sharedItems>
    </cacheField>
    <cacheField name="COMMENT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n v="1"/>
    <s v="Fabrication"/>
    <x v="0"/>
    <m/>
    <n v="1974"/>
    <x v="0"/>
    <s v="2023-07"/>
    <x v="0"/>
    <s v="Feeder PLC controller required (~$15K)"/>
  </r>
  <r>
    <x v="0"/>
    <n v="2"/>
    <s v="Fabrication"/>
    <x v="1"/>
    <m/>
    <s v="&lt; 1972"/>
    <x v="0"/>
    <s v="2023-07"/>
    <x v="0"/>
    <s v="Feeder PLC controller required (~$15K)"/>
  </r>
  <r>
    <x v="0"/>
    <n v="3"/>
    <s v="Fabrication"/>
    <x v="2"/>
    <m/>
    <n v="2007"/>
    <x v="1"/>
    <s v="2023-07"/>
    <x v="1"/>
    <m/>
  </r>
  <r>
    <x v="0"/>
    <n v="4"/>
    <s v="Fabrication"/>
    <x v="3"/>
    <m/>
    <n v="2017"/>
    <x v="1"/>
    <s v="2023-07"/>
    <x v="1"/>
    <m/>
  </r>
  <r>
    <x v="0"/>
    <n v="5"/>
    <s v="Fabrication"/>
    <x v="4"/>
    <m/>
    <n v="1975"/>
    <x v="2"/>
    <s v="2023-07"/>
    <x v="2"/>
    <s v="Machine is current working at 50% capacity "/>
  </r>
  <r>
    <x v="0"/>
    <n v="6"/>
    <s v="Fabrication"/>
    <x v="5"/>
    <m/>
    <n v="1995"/>
    <x v="2"/>
    <s v="2023-07"/>
    <x v="2"/>
    <s v="Machine is current working at 50% capacity "/>
  </r>
  <r>
    <x v="0"/>
    <n v="7"/>
    <s v="Fabrication"/>
    <x v="6"/>
    <m/>
    <n v="2006"/>
    <x v="1"/>
    <s v="2023-07"/>
    <x v="3"/>
    <s v="We need to replace laser beam"/>
  </r>
  <r>
    <x v="0"/>
    <n v="8"/>
    <s v="Fabrication"/>
    <x v="7"/>
    <m/>
    <n v="2014"/>
    <x v="1"/>
    <s v="2023-07"/>
    <x v="1"/>
    <m/>
  </r>
  <r>
    <x v="0"/>
    <n v="9"/>
    <s v="Fabrication"/>
    <x v="8"/>
    <m/>
    <n v="1989"/>
    <x v="0"/>
    <s v="2023-07"/>
    <x v="3"/>
    <m/>
  </r>
  <r>
    <x v="0"/>
    <n v="10"/>
    <s v="Fabrication"/>
    <x v="9"/>
    <m/>
    <n v="1998"/>
    <x v="0"/>
    <s v="2023-07"/>
    <x v="4"/>
    <m/>
  </r>
  <r>
    <x v="0"/>
    <n v="11"/>
    <s v="Fabrication"/>
    <x v="10"/>
    <m/>
    <n v="2022"/>
    <x v="1"/>
    <s v="2023-07"/>
    <x v="1"/>
    <s v="New press brake-2022"/>
  </r>
  <r>
    <x v="0"/>
    <n v="12"/>
    <s v="Fabrication"/>
    <x v="11"/>
    <m/>
    <n v="2003"/>
    <x v="3"/>
    <s v="2023-07"/>
    <x v="3"/>
    <m/>
  </r>
  <r>
    <x v="0"/>
    <n v="13"/>
    <s v="Fabrication"/>
    <x v="12"/>
    <m/>
    <n v="2007"/>
    <x v="1"/>
    <s v="2023-07"/>
    <x v="1"/>
    <m/>
  </r>
  <r>
    <x v="0"/>
    <n v="14"/>
    <s v="Fabrication"/>
    <x v="13"/>
    <m/>
    <n v="1987"/>
    <x v="3"/>
    <s v="2023-07"/>
    <x v="3"/>
    <m/>
  </r>
  <r>
    <x v="0"/>
    <n v="15"/>
    <s v="Fabrication"/>
    <x v="14"/>
    <m/>
    <n v="1972"/>
    <x v="0"/>
    <s v="2023-07"/>
    <x v="4"/>
    <m/>
  </r>
  <r>
    <x v="0"/>
    <n v="16"/>
    <s v="Fabrication"/>
    <x v="15"/>
    <m/>
    <n v="1983"/>
    <x v="0"/>
    <s v="2023-07"/>
    <x v="4"/>
    <m/>
  </r>
  <r>
    <x v="0"/>
    <n v="17"/>
    <s v="Fabrication"/>
    <x v="16"/>
    <m/>
    <n v="1987"/>
    <x v="0"/>
    <s v="2023-07"/>
    <x v="4"/>
    <m/>
  </r>
  <r>
    <x v="0"/>
    <n v="18"/>
    <s v="Fabrication"/>
    <x v="17"/>
    <m/>
    <n v="1987"/>
    <x v="0"/>
    <s v="2023-07"/>
    <x v="4"/>
    <m/>
  </r>
  <r>
    <x v="0"/>
    <n v="19"/>
    <s v="Fabrication"/>
    <x v="18"/>
    <m/>
    <s v="N/A"/>
    <x v="0"/>
    <s v="2023-07"/>
    <x v="4"/>
    <m/>
  </r>
  <r>
    <x v="0"/>
    <n v="20"/>
    <s v="Fabrication"/>
    <x v="19"/>
    <m/>
    <n v="2004"/>
    <x v="0"/>
    <s v="2023-07"/>
    <x v="0"/>
    <s v="Belt and bed will need to be changed (1 year)"/>
  </r>
  <r>
    <x v="0"/>
    <n v="21"/>
    <s v="Fabrication"/>
    <x v="20"/>
    <m/>
    <n v="2004"/>
    <x v="3"/>
    <s v="2023-07"/>
    <x v="3"/>
    <m/>
  </r>
  <r>
    <x v="0"/>
    <n v="22"/>
    <s v="Fabrication"/>
    <x v="21"/>
    <m/>
    <n v="1997"/>
    <x v="0"/>
    <s v="2023-07"/>
    <x v="5"/>
    <s v="Used for repairs and jig building only (not often used)"/>
  </r>
  <r>
    <x v="0"/>
    <n v="23"/>
    <s v="Fabrication"/>
    <x v="22"/>
    <m/>
    <n v="2005"/>
    <x v="3"/>
    <s v="2023-07"/>
    <x v="3"/>
    <m/>
  </r>
  <r>
    <x v="0"/>
    <n v="24"/>
    <s v="Fabrication"/>
    <x v="23"/>
    <m/>
    <n v="2013"/>
    <x v="1"/>
    <s v="2023-07"/>
    <x v="1"/>
    <m/>
  </r>
  <r>
    <x v="0"/>
    <n v="25"/>
    <s v="Fabrication"/>
    <x v="24"/>
    <m/>
    <n v="2017"/>
    <x v="3"/>
    <s v="2023-07"/>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89B01F-F3A0-4713-9E1D-6C7392BCA968}" name="PivotTable4" cacheId="3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AA12" firstHeaderRow="1" firstDataRow="2" firstDataCol="1"/>
  <pivotFields count="10">
    <pivotField axis="axisRow" showAll="0">
      <items count="2">
        <item x="0"/>
        <item t="default"/>
      </items>
    </pivotField>
    <pivotField showAll="0"/>
    <pivotField showAll="0"/>
    <pivotField axis="axisCol" showAll="0">
      <items count="27">
        <item x="1"/>
        <item x="18"/>
        <item x="9"/>
        <item x="10"/>
        <item x="13"/>
        <item x="17"/>
        <item x="15"/>
        <item x="11"/>
        <item x="12"/>
        <item x="3"/>
        <item m="1" x="25"/>
        <item x="4"/>
        <item x="5"/>
        <item x="0"/>
        <item x="8"/>
        <item x="7"/>
        <item x="24"/>
        <item x="20"/>
        <item x="19"/>
        <item x="2"/>
        <item x="23"/>
        <item x="21"/>
        <item x="22"/>
        <item x="6"/>
        <item x="14"/>
        <item x="16"/>
        <item t="default"/>
      </items>
    </pivotField>
    <pivotField showAll="0"/>
    <pivotField showAll="0"/>
    <pivotField showAll="0"/>
    <pivotField showAll="0"/>
    <pivotField axis="axisRow" dataField="1" showAll="0">
      <items count="7">
        <item x="2"/>
        <item x="0"/>
        <item x="5"/>
        <item x="4"/>
        <item x="3"/>
        <item x="1"/>
        <item t="default"/>
      </items>
    </pivotField>
    <pivotField showAll="0"/>
  </pivotFields>
  <rowFields count="2">
    <field x="0"/>
    <field x="8"/>
  </rowFields>
  <rowItems count="8">
    <i>
      <x/>
    </i>
    <i r="1">
      <x/>
    </i>
    <i r="1">
      <x v="1"/>
    </i>
    <i r="1">
      <x v="2"/>
    </i>
    <i r="1">
      <x v="3"/>
    </i>
    <i r="1">
      <x v="4"/>
    </i>
    <i r="1">
      <x v="5"/>
    </i>
    <i t="grand">
      <x/>
    </i>
  </rowItems>
  <colFields count="1">
    <field x="3"/>
  </colFields>
  <colItems count="26">
    <i>
      <x/>
    </i>
    <i>
      <x v="1"/>
    </i>
    <i>
      <x v="2"/>
    </i>
    <i>
      <x v="3"/>
    </i>
    <i>
      <x v="4"/>
    </i>
    <i>
      <x v="5"/>
    </i>
    <i>
      <x v="6"/>
    </i>
    <i>
      <x v="7"/>
    </i>
    <i>
      <x v="8"/>
    </i>
    <i>
      <x v="9"/>
    </i>
    <i>
      <x v="11"/>
    </i>
    <i>
      <x v="12"/>
    </i>
    <i>
      <x v="13"/>
    </i>
    <i>
      <x v="14"/>
    </i>
    <i>
      <x v="15"/>
    </i>
    <i>
      <x v="16"/>
    </i>
    <i>
      <x v="17"/>
    </i>
    <i>
      <x v="18"/>
    </i>
    <i>
      <x v="19"/>
    </i>
    <i>
      <x v="20"/>
    </i>
    <i>
      <x v="21"/>
    </i>
    <i>
      <x v="22"/>
    </i>
    <i>
      <x v="23"/>
    </i>
    <i>
      <x v="24"/>
    </i>
    <i>
      <x v="25"/>
    </i>
    <i t="grand">
      <x/>
    </i>
  </colItems>
  <dataFields count="1">
    <dataField name="Count of Estimated Replacement Year" fld="8" subtotal="count" baseField="0" baseItem="0"/>
  </dataFields>
  <chartFormats count="3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3" count="1" selected="0">
            <x v="1"/>
          </reference>
        </references>
      </pivotArea>
    </chartFormat>
    <chartFormat chart="0" format="8" series="1">
      <pivotArea type="data" outline="0" fieldPosition="0">
        <references count="2">
          <reference field="4294967294" count="1" selected="0">
            <x v="0"/>
          </reference>
          <reference field="3" count="1" selected="0">
            <x v="2"/>
          </reference>
        </references>
      </pivotArea>
    </chartFormat>
    <chartFormat chart="0" format="9" series="1">
      <pivotArea type="data" outline="0" fieldPosition="0">
        <references count="2">
          <reference field="4294967294" count="1" selected="0">
            <x v="0"/>
          </reference>
          <reference field="3" count="1" selected="0">
            <x v="3"/>
          </reference>
        </references>
      </pivotArea>
    </chartFormat>
    <chartFormat chart="0" format="10" series="1">
      <pivotArea type="data" outline="0" fieldPosition="0">
        <references count="2">
          <reference field="4294967294" count="1" selected="0">
            <x v="0"/>
          </reference>
          <reference field="3" count="1" selected="0">
            <x v="4"/>
          </reference>
        </references>
      </pivotArea>
    </chartFormat>
    <chartFormat chart="0" format="11" series="1">
      <pivotArea type="data" outline="0" fieldPosition="0">
        <references count="2">
          <reference field="4294967294" count="1" selected="0">
            <x v="0"/>
          </reference>
          <reference field="3" count="1" selected="0">
            <x v="5"/>
          </reference>
        </references>
      </pivotArea>
    </chartFormat>
    <chartFormat chart="0" format="12" series="1">
      <pivotArea type="data" outline="0" fieldPosition="0">
        <references count="2">
          <reference field="4294967294" count="1" selected="0">
            <x v="0"/>
          </reference>
          <reference field="3" count="1" selected="0">
            <x v="6"/>
          </reference>
        </references>
      </pivotArea>
    </chartFormat>
    <chartFormat chart="0" format="13" series="1">
      <pivotArea type="data" outline="0" fieldPosition="0">
        <references count="2">
          <reference field="4294967294" count="1" selected="0">
            <x v="0"/>
          </reference>
          <reference field="3" count="1" selected="0">
            <x v="7"/>
          </reference>
        </references>
      </pivotArea>
    </chartFormat>
    <chartFormat chart="0" format="14" series="1">
      <pivotArea type="data" outline="0" fieldPosition="0">
        <references count="2">
          <reference field="4294967294" count="1" selected="0">
            <x v="0"/>
          </reference>
          <reference field="3" count="1" selected="0">
            <x v="8"/>
          </reference>
        </references>
      </pivotArea>
    </chartFormat>
    <chartFormat chart="0" format="15" series="1">
      <pivotArea type="data" outline="0" fieldPosition="0">
        <references count="2">
          <reference field="4294967294" count="1" selected="0">
            <x v="0"/>
          </reference>
          <reference field="3" count="1" selected="0">
            <x v="9"/>
          </reference>
        </references>
      </pivotArea>
    </chartFormat>
    <chartFormat chart="0" format="16" series="1">
      <pivotArea type="data" outline="0" fieldPosition="0">
        <references count="2">
          <reference field="4294967294" count="1" selected="0">
            <x v="0"/>
          </reference>
          <reference field="3" count="1" selected="0">
            <x v="11"/>
          </reference>
        </references>
      </pivotArea>
    </chartFormat>
    <chartFormat chart="0" format="17" series="1">
      <pivotArea type="data" outline="0" fieldPosition="0">
        <references count="2">
          <reference field="4294967294" count="1" selected="0">
            <x v="0"/>
          </reference>
          <reference field="3" count="1" selected="0">
            <x v="12"/>
          </reference>
        </references>
      </pivotArea>
    </chartFormat>
    <chartFormat chart="0" format="18" series="1">
      <pivotArea type="data" outline="0" fieldPosition="0">
        <references count="2">
          <reference field="4294967294" count="1" selected="0">
            <x v="0"/>
          </reference>
          <reference field="3" count="1" selected="0">
            <x v="13"/>
          </reference>
        </references>
      </pivotArea>
    </chartFormat>
    <chartFormat chart="0" format="19" series="1">
      <pivotArea type="data" outline="0" fieldPosition="0">
        <references count="2">
          <reference field="4294967294" count="1" selected="0">
            <x v="0"/>
          </reference>
          <reference field="3" count="1" selected="0">
            <x v="14"/>
          </reference>
        </references>
      </pivotArea>
    </chartFormat>
    <chartFormat chart="0" format="20" series="1">
      <pivotArea type="data" outline="0" fieldPosition="0">
        <references count="2">
          <reference field="4294967294" count="1" selected="0">
            <x v="0"/>
          </reference>
          <reference field="3" count="1" selected="0">
            <x v="15"/>
          </reference>
        </references>
      </pivotArea>
    </chartFormat>
    <chartFormat chart="0" format="21" series="1">
      <pivotArea type="data" outline="0" fieldPosition="0">
        <references count="2">
          <reference field="4294967294" count="1" selected="0">
            <x v="0"/>
          </reference>
          <reference field="3" count="1" selected="0">
            <x v="16"/>
          </reference>
        </references>
      </pivotArea>
    </chartFormat>
    <chartFormat chart="0" format="22" series="1">
      <pivotArea type="data" outline="0" fieldPosition="0">
        <references count="2">
          <reference field="4294967294" count="1" selected="0">
            <x v="0"/>
          </reference>
          <reference field="3" count="1" selected="0">
            <x v="17"/>
          </reference>
        </references>
      </pivotArea>
    </chartFormat>
    <chartFormat chart="0" format="23" series="1">
      <pivotArea type="data" outline="0" fieldPosition="0">
        <references count="2">
          <reference field="4294967294" count="1" selected="0">
            <x v="0"/>
          </reference>
          <reference field="3" count="1" selected="0">
            <x v="18"/>
          </reference>
        </references>
      </pivotArea>
    </chartFormat>
    <chartFormat chart="0" format="24" series="1">
      <pivotArea type="data" outline="0" fieldPosition="0">
        <references count="2">
          <reference field="4294967294" count="1" selected="0">
            <x v="0"/>
          </reference>
          <reference field="3" count="1" selected="0">
            <x v="19"/>
          </reference>
        </references>
      </pivotArea>
    </chartFormat>
    <chartFormat chart="0" format="25" series="1">
      <pivotArea type="data" outline="0" fieldPosition="0">
        <references count="2">
          <reference field="4294967294" count="1" selected="0">
            <x v="0"/>
          </reference>
          <reference field="3" count="1" selected="0">
            <x v="20"/>
          </reference>
        </references>
      </pivotArea>
    </chartFormat>
    <chartFormat chart="0" format="26" series="1">
      <pivotArea type="data" outline="0" fieldPosition="0">
        <references count="2">
          <reference field="4294967294" count="1" selected="0">
            <x v="0"/>
          </reference>
          <reference field="3" count="1" selected="0">
            <x v="21"/>
          </reference>
        </references>
      </pivotArea>
    </chartFormat>
    <chartFormat chart="0" format="27" series="1">
      <pivotArea type="data" outline="0" fieldPosition="0">
        <references count="2">
          <reference field="4294967294" count="1" selected="0">
            <x v="0"/>
          </reference>
          <reference field="3" count="1" selected="0">
            <x v="22"/>
          </reference>
        </references>
      </pivotArea>
    </chartFormat>
    <chartFormat chart="0" format="28" series="1">
      <pivotArea type="data" outline="0" fieldPosition="0">
        <references count="2">
          <reference field="4294967294" count="1" selected="0">
            <x v="0"/>
          </reference>
          <reference field="3" count="1" selected="0">
            <x v="23"/>
          </reference>
        </references>
      </pivotArea>
    </chartFormat>
    <chartFormat chart="0" format="29" series="1">
      <pivotArea type="data" outline="0" fieldPosition="0">
        <references count="2">
          <reference field="4294967294" count="1" selected="0">
            <x v="0"/>
          </reference>
          <reference field="3" count="1" selected="0">
            <x v="24"/>
          </reference>
        </references>
      </pivotArea>
    </chartFormat>
    <chartFormat chart="0" format="30" series="1">
      <pivotArea type="data" outline="0" fieldPosition="0">
        <references count="2">
          <reference field="4294967294" count="1" selected="0">
            <x v="0"/>
          </reference>
          <reference field="3" count="1" selected="0">
            <x v="25"/>
          </reference>
        </references>
      </pivotArea>
    </chartFormat>
    <chartFormat chart="0" format="31"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81A79F-5FE5-4D98-8A82-83CDEDEBEB6F}" name="PivotTable4" cacheId="3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H35" firstHeaderRow="1" firstDataRow="2" firstDataCol="1"/>
  <pivotFields count="10">
    <pivotField axis="axisRow" showAll="0">
      <items count="2">
        <item x="0"/>
        <item t="default"/>
      </items>
    </pivotField>
    <pivotField showAll="0"/>
    <pivotField showAll="0"/>
    <pivotField axis="axisRow" showAll="0" sortType="descending">
      <items count="27">
        <item x="1"/>
        <item x="18"/>
        <item x="9"/>
        <item x="10"/>
        <item x="13"/>
        <item x="17"/>
        <item x="15"/>
        <item x="11"/>
        <item x="12"/>
        <item x="3"/>
        <item m="1" x="25"/>
        <item x="4"/>
        <item x="5"/>
        <item x="0"/>
        <item x="8"/>
        <item x="7"/>
        <item x="24"/>
        <item x="20"/>
        <item x="19"/>
        <item x="2"/>
        <item x="23"/>
        <item x="21"/>
        <item x="22"/>
        <item x="6"/>
        <item x="14"/>
        <item x="16"/>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5">
        <item x="1"/>
        <item x="0"/>
        <item x="3"/>
        <item x="2"/>
        <item t="default"/>
      </items>
    </pivotField>
    <pivotField showAll="0"/>
    <pivotField axis="axisCol" dataField="1" showAll="0" sortType="descending">
      <items count="7">
        <item x="2"/>
        <item x="0"/>
        <item x="5"/>
        <item x="4"/>
        <item x="3"/>
        <item x="1"/>
        <item t="default"/>
      </items>
      <autoSortScope>
        <pivotArea dataOnly="0" outline="0" fieldPosition="0">
          <references count="1">
            <reference field="4294967294" count="1" selected="0">
              <x v="0"/>
            </reference>
          </references>
        </pivotArea>
      </autoSortScope>
    </pivotField>
    <pivotField showAll="0"/>
  </pivotFields>
  <rowFields count="3">
    <field x="0"/>
    <field x="6"/>
    <field x="3"/>
  </rowFields>
  <rowItems count="31">
    <i>
      <x/>
    </i>
    <i r="1">
      <x/>
    </i>
    <i r="2">
      <x v="3"/>
    </i>
    <i r="2">
      <x v="20"/>
    </i>
    <i r="2">
      <x v="19"/>
    </i>
    <i r="2">
      <x v="8"/>
    </i>
    <i r="2">
      <x v="9"/>
    </i>
    <i r="2">
      <x v="15"/>
    </i>
    <i r="2">
      <x v="23"/>
    </i>
    <i r="1">
      <x v="1"/>
    </i>
    <i r="2">
      <x v="14"/>
    </i>
    <i r="2">
      <x v="5"/>
    </i>
    <i r="2">
      <x v="25"/>
    </i>
    <i r="2">
      <x v="1"/>
    </i>
    <i r="2">
      <x v="24"/>
    </i>
    <i r="2">
      <x v="2"/>
    </i>
    <i r="2">
      <x v="6"/>
    </i>
    <i r="2">
      <x v="21"/>
    </i>
    <i r="2">
      <x/>
    </i>
    <i r="2">
      <x v="18"/>
    </i>
    <i r="2">
      <x v="13"/>
    </i>
    <i r="1">
      <x v="2"/>
    </i>
    <i r="2">
      <x v="17"/>
    </i>
    <i r="2">
      <x v="4"/>
    </i>
    <i r="2">
      <x v="22"/>
    </i>
    <i r="2">
      <x v="7"/>
    </i>
    <i r="2">
      <x v="16"/>
    </i>
    <i r="1">
      <x v="3"/>
    </i>
    <i r="2">
      <x v="12"/>
    </i>
    <i r="2">
      <x v="11"/>
    </i>
    <i t="grand">
      <x/>
    </i>
  </rowItems>
  <colFields count="1">
    <field x="8"/>
  </colFields>
  <colItems count="7">
    <i>
      <x v="5"/>
    </i>
    <i>
      <x v="4"/>
    </i>
    <i>
      <x v="3"/>
    </i>
    <i>
      <x v="2"/>
    </i>
    <i>
      <x v="1"/>
    </i>
    <i>
      <x/>
    </i>
    <i t="grand">
      <x/>
    </i>
  </colItems>
  <dataFields count="1">
    <dataField name="Average of Estimated Replacement Year" fld="8" subtotal="average" baseField="3" baseItem="2"/>
  </dataFields>
  <chartFormats count="6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3" count="1" selected="0">
            <x v="1"/>
          </reference>
        </references>
      </pivotArea>
    </chartFormat>
    <chartFormat chart="0" format="8" series="1">
      <pivotArea type="data" outline="0" fieldPosition="0">
        <references count="2">
          <reference field="4294967294" count="1" selected="0">
            <x v="0"/>
          </reference>
          <reference field="3" count="1" selected="0">
            <x v="2"/>
          </reference>
        </references>
      </pivotArea>
    </chartFormat>
    <chartFormat chart="0" format="9" series="1">
      <pivotArea type="data" outline="0" fieldPosition="0">
        <references count="2">
          <reference field="4294967294" count="1" selected="0">
            <x v="0"/>
          </reference>
          <reference field="3" count="1" selected="0">
            <x v="3"/>
          </reference>
        </references>
      </pivotArea>
    </chartFormat>
    <chartFormat chart="0" format="10" series="1">
      <pivotArea type="data" outline="0" fieldPosition="0">
        <references count="2">
          <reference field="4294967294" count="1" selected="0">
            <x v="0"/>
          </reference>
          <reference field="3" count="1" selected="0">
            <x v="4"/>
          </reference>
        </references>
      </pivotArea>
    </chartFormat>
    <chartFormat chart="0" format="11" series="1">
      <pivotArea type="data" outline="0" fieldPosition="0">
        <references count="2">
          <reference field="4294967294" count="1" selected="0">
            <x v="0"/>
          </reference>
          <reference field="3" count="1" selected="0">
            <x v="5"/>
          </reference>
        </references>
      </pivotArea>
    </chartFormat>
    <chartFormat chart="0" format="12" series="1">
      <pivotArea type="data" outline="0" fieldPosition="0">
        <references count="2">
          <reference field="4294967294" count="1" selected="0">
            <x v="0"/>
          </reference>
          <reference field="3" count="1" selected="0">
            <x v="6"/>
          </reference>
        </references>
      </pivotArea>
    </chartFormat>
    <chartFormat chart="0" format="13" series="1">
      <pivotArea type="data" outline="0" fieldPosition="0">
        <references count="2">
          <reference field="4294967294" count="1" selected="0">
            <x v="0"/>
          </reference>
          <reference field="3" count="1" selected="0">
            <x v="7"/>
          </reference>
        </references>
      </pivotArea>
    </chartFormat>
    <chartFormat chart="0" format="14" series="1">
      <pivotArea type="data" outline="0" fieldPosition="0">
        <references count="2">
          <reference field="4294967294" count="1" selected="0">
            <x v="0"/>
          </reference>
          <reference field="3" count="1" selected="0">
            <x v="8"/>
          </reference>
        </references>
      </pivotArea>
    </chartFormat>
    <chartFormat chart="0" format="15" series="1">
      <pivotArea type="data" outline="0" fieldPosition="0">
        <references count="2">
          <reference field="4294967294" count="1" selected="0">
            <x v="0"/>
          </reference>
          <reference field="3" count="1" selected="0">
            <x v="9"/>
          </reference>
        </references>
      </pivotArea>
    </chartFormat>
    <chartFormat chart="0" format="16" series="1">
      <pivotArea type="data" outline="0" fieldPosition="0">
        <references count="2">
          <reference field="4294967294" count="1" selected="0">
            <x v="0"/>
          </reference>
          <reference field="3" count="1" selected="0">
            <x v="11"/>
          </reference>
        </references>
      </pivotArea>
    </chartFormat>
    <chartFormat chart="0" format="17" series="1">
      <pivotArea type="data" outline="0" fieldPosition="0">
        <references count="2">
          <reference field="4294967294" count="1" selected="0">
            <x v="0"/>
          </reference>
          <reference field="3" count="1" selected="0">
            <x v="12"/>
          </reference>
        </references>
      </pivotArea>
    </chartFormat>
    <chartFormat chart="0" format="18" series="1">
      <pivotArea type="data" outline="0" fieldPosition="0">
        <references count="2">
          <reference field="4294967294" count="1" selected="0">
            <x v="0"/>
          </reference>
          <reference field="3" count="1" selected="0">
            <x v="13"/>
          </reference>
        </references>
      </pivotArea>
    </chartFormat>
    <chartFormat chart="0" format="19" series="1">
      <pivotArea type="data" outline="0" fieldPosition="0">
        <references count="2">
          <reference field="4294967294" count="1" selected="0">
            <x v="0"/>
          </reference>
          <reference field="3" count="1" selected="0">
            <x v="14"/>
          </reference>
        </references>
      </pivotArea>
    </chartFormat>
    <chartFormat chart="0" format="20" series="1">
      <pivotArea type="data" outline="0" fieldPosition="0">
        <references count="2">
          <reference field="4294967294" count="1" selected="0">
            <x v="0"/>
          </reference>
          <reference field="3" count="1" selected="0">
            <x v="15"/>
          </reference>
        </references>
      </pivotArea>
    </chartFormat>
    <chartFormat chart="0" format="21" series="1">
      <pivotArea type="data" outline="0" fieldPosition="0">
        <references count="2">
          <reference field="4294967294" count="1" selected="0">
            <x v="0"/>
          </reference>
          <reference field="3" count="1" selected="0">
            <x v="16"/>
          </reference>
        </references>
      </pivotArea>
    </chartFormat>
    <chartFormat chart="0" format="22" series="1">
      <pivotArea type="data" outline="0" fieldPosition="0">
        <references count="2">
          <reference field="4294967294" count="1" selected="0">
            <x v="0"/>
          </reference>
          <reference field="3" count="1" selected="0">
            <x v="17"/>
          </reference>
        </references>
      </pivotArea>
    </chartFormat>
    <chartFormat chart="0" format="23" series="1">
      <pivotArea type="data" outline="0" fieldPosition="0">
        <references count="2">
          <reference field="4294967294" count="1" selected="0">
            <x v="0"/>
          </reference>
          <reference field="3" count="1" selected="0">
            <x v="18"/>
          </reference>
        </references>
      </pivotArea>
    </chartFormat>
    <chartFormat chart="0" format="24" series="1">
      <pivotArea type="data" outline="0" fieldPosition="0">
        <references count="2">
          <reference field="4294967294" count="1" selected="0">
            <x v="0"/>
          </reference>
          <reference field="3" count="1" selected="0">
            <x v="19"/>
          </reference>
        </references>
      </pivotArea>
    </chartFormat>
    <chartFormat chart="0" format="25" series="1">
      <pivotArea type="data" outline="0" fieldPosition="0">
        <references count="2">
          <reference field="4294967294" count="1" selected="0">
            <x v="0"/>
          </reference>
          <reference field="3" count="1" selected="0">
            <x v="20"/>
          </reference>
        </references>
      </pivotArea>
    </chartFormat>
    <chartFormat chart="0" format="26" series="1">
      <pivotArea type="data" outline="0" fieldPosition="0">
        <references count="2">
          <reference field="4294967294" count="1" selected="0">
            <x v="0"/>
          </reference>
          <reference field="3" count="1" selected="0">
            <x v="21"/>
          </reference>
        </references>
      </pivotArea>
    </chartFormat>
    <chartFormat chart="0" format="27" series="1">
      <pivotArea type="data" outline="0" fieldPosition="0">
        <references count="2">
          <reference field="4294967294" count="1" selected="0">
            <x v="0"/>
          </reference>
          <reference field="3" count="1" selected="0">
            <x v="22"/>
          </reference>
        </references>
      </pivotArea>
    </chartFormat>
    <chartFormat chart="0" format="28" series="1">
      <pivotArea type="data" outline="0" fieldPosition="0">
        <references count="2">
          <reference field="4294967294" count="1" selected="0">
            <x v="0"/>
          </reference>
          <reference field="3" count="1" selected="0">
            <x v="23"/>
          </reference>
        </references>
      </pivotArea>
    </chartFormat>
    <chartFormat chart="0" format="29" series="1">
      <pivotArea type="data" outline="0" fieldPosition="0">
        <references count="2">
          <reference field="4294967294" count="1" selected="0">
            <x v="0"/>
          </reference>
          <reference field="3" count="1" selected="0">
            <x v="24"/>
          </reference>
        </references>
      </pivotArea>
    </chartFormat>
    <chartFormat chart="0" format="30" series="1">
      <pivotArea type="data" outline="0" fieldPosition="0">
        <references count="2">
          <reference field="4294967294" count="1" selected="0">
            <x v="0"/>
          </reference>
          <reference field="3" count="1" selected="0">
            <x v="25"/>
          </reference>
        </references>
      </pivotArea>
    </chartFormat>
    <chartFormat chart="0" format="31" series="1">
      <pivotArea type="data" outline="0" fieldPosition="0">
        <references count="2">
          <reference field="4294967294" count="1" selected="0">
            <x v="0"/>
          </reference>
          <reference field="3" count="1" selected="0">
            <x v="0"/>
          </reference>
        </references>
      </pivotArea>
    </chartFormat>
    <chartFormat chart="5" format="32" series="1">
      <pivotArea type="data" outline="0" fieldPosition="0">
        <references count="2">
          <reference field="4294967294" count="1" selected="0">
            <x v="0"/>
          </reference>
          <reference field="3" count="1" selected="0">
            <x v="0"/>
          </reference>
        </references>
      </pivotArea>
    </chartFormat>
    <chartFormat chart="5" format="33" series="1">
      <pivotArea type="data" outline="0" fieldPosition="0">
        <references count="2">
          <reference field="4294967294" count="1" selected="0">
            <x v="0"/>
          </reference>
          <reference field="3" count="1" selected="0">
            <x v="1"/>
          </reference>
        </references>
      </pivotArea>
    </chartFormat>
    <chartFormat chart="5" format="34" series="1">
      <pivotArea type="data" outline="0" fieldPosition="0">
        <references count="2">
          <reference field="4294967294" count="1" selected="0">
            <x v="0"/>
          </reference>
          <reference field="3" count="1" selected="0">
            <x v="2"/>
          </reference>
        </references>
      </pivotArea>
    </chartFormat>
    <chartFormat chart="5" format="35" series="1">
      <pivotArea type="data" outline="0" fieldPosition="0">
        <references count="2">
          <reference field="4294967294" count="1" selected="0">
            <x v="0"/>
          </reference>
          <reference field="3" count="1" selected="0">
            <x v="3"/>
          </reference>
        </references>
      </pivotArea>
    </chartFormat>
    <chartFormat chart="5" format="36" series="1">
      <pivotArea type="data" outline="0" fieldPosition="0">
        <references count="2">
          <reference field="4294967294" count="1" selected="0">
            <x v="0"/>
          </reference>
          <reference field="3" count="1" selected="0">
            <x v="4"/>
          </reference>
        </references>
      </pivotArea>
    </chartFormat>
    <chartFormat chart="5" format="37" series="1">
      <pivotArea type="data" outline="0" fieldPosition="0">
        <references count="2">
          <reference field="4294967294" count="1" selected="0">
            <x v="0"/>
          </reference>
          <reference field="3" count="1" selected="0">
            <x v="5"/>
          </reference>
        </references>
      </pivotArea>
    </chartFormat>
    <chartFormat chart="5" format="38" series="1">
      <pivotArea type="data" outline="0" fieldPosition="0">
        <references count="2">
          <reference field="4294967294" count="1" selected="0">
            <x v="0"/>
          </reference>
          <reference field="3" count="1" selected="0">
            <x v="6"/>
          </reference>
        </references>
      </pivotArea>
    </chartFormat>
    <chartFormat chart="5" format="39" series="1">
      <pivotArea type="data" outline="0" fieldPosition="0">
        <references count="2">
          <reference field="4294967294" count="1" selected="0">
            <x v="0"/>
          </reference>
          <reference field="3" count="1" selected="0">
            <x v="7"/>
          </reference>
        </references>
      </pivotArea>
    </chartFormat>
    <chartFormat chart="5" format="40" series="1">
      <pivotArea type="data" outline="0" fieldPosition="0">
        <references count="2">
          <reference field="4294967294" count="1" selected="0">
            <x v="0"/>
          </reference>
          <reference field="3" count="1" selected="0">
            <x v="8"/>
          </reference>
        </references>
      </pivotArea>
    </chartFormat>
    <chartFormat chart="5" format="41" series="1">
      <pivotArea type="data" outline="0" fieldPosition="0">
        <references count="2">
          <reference field="4294967294" count="1" selected="0">
            <x v="0"/>
          </reference>
          <reference field="3" count="1" selected="0">
            <x v="9"/>
          </reference>
        </references>
      </pivotArea>
    </chartFormat>
    <chartFormat chart="5" format="42" series="1">
      <pivotArea type="data" outline="0" fieldPosition="0">
        <references count="2">
          <reference field="4294967294" count="1" selected="0">
            <x v="0"/>
          </reference>
          <reference field="3" count="1" selected="0">
            <x v="11"/>
          </reference>
        </references>
      </pivotArea>
    </chartFormat>
    <chartFormat chart="5" format="43" series="1">
      <pivotArea type="data" outline="0" fieldPosition="0">
        <references count="2">
          <reference field="4294967294" count="1" selected="0">
            <x v="0"/>
          </reference>
          <reference field="3" count="1" selected="0">
            <x v="12"/>
          </reference>
        </references>
      </pivotArea>
    </chartFormat>
    <chartFormat chart="5" format="44" series="1">
      <pivotArea type="data" outline="0" fieldPosition="0">
        <references count="2">
          <reference field="4294967294" count="1" selected="0">
            <x v="0"/>
          </reference>
          <reference field="3" count="1" selected="0">
            <x v="13"/>
          </reference>
        </references>
      </pivotArea>
    </chartFormat>
    <chartFormat chart="5" format="45" series="1">
      <pivotArea type="data" outline="0" fieldPosition="0">
        <references count="2">
          <reference field="4294967294" count="1" selected="0">
            <x v="0"/>
          </reference>
          <reference field="3" count="1" selected="0">
            <x v="14"/>
          </reference>
        </references>
      </pivotArea>
    </chartFormat>
    <chartFormat chart="5" format="46" series="1">
      <pivotArea type="data" outline="0" fieldPosition="0">
        <references count="2">
          <reference field="4294967294" count="1" selected="0">
            <x v="0"/>
          </reference>
          <reference field="3" count="1" selected="0">
            <x v="15"/>
          </reference>
        </references>
      </pivotArea>
    </chartFormat>
    <chartFormat chart="5" format="47" series="1">
      <pivotArea type="data" outline="0" fieldPosition="0">
        <references count="2">
          <reference field="4294967294" count="1" selected="0">
            <x v="0"/>
          </reference>
          <reference field="3" count="1" selected="0">
            <x v="16"/>
          </reference>
        </references>
      </pivotArea>
    </chartFormat>
    <chartFormat chart="5" format="48" series="1">
      <pivotArea type="data" outline="0" fieldPosition="0">
        <references count="2">
          <reference field="4294967294" count="1" selected="0">
            <x v="0"/>
          </reference>
          <reference field="3" count="1" selected="0">
            <x v="17"/>
          </reference>
        </references>
      </pivotArea>
    </chartFormat>
    <chartFormat chart="5" format="49" series="1">
      <pivotArea type="data" outline="0" fieldPosition="0">
        <references count="2">
          <reference field="4294967294" count="1" selected="0">
            <x v="0"/>
          </reference>
          <reference field="3" count="1" selected="0">
            <x v="18"/>
          </reference>
        </references>
      </pivotArea>
    </chartFormat>
    <chartFormat chart="5" format="50" series="1">
      <pivotArea type="data" outline="0" fieldPosition="0">
        <references count="2">
          <reference field="4294967294" count="1" selected="0">
            <x v="0"/>
          </reference>
          <reference field="3" count="1" selected="0">
            <x v="19"/>
          </reference>
        </references>
      </pivotArea>
    </chartFormat>
    <chartFormat chart="5" format="51" series="1">
      <pivotArea type="data" outline="0" fieldPosition="0">
        <references count="2">
          <reference field="4294967294" count="1" selected="0">
            <x v="0"/>
          </reference>
          <reference field="3" count="1" selected="0">
            <x v="20"/>
          </reference>
        </references>
      </pivotArea>
    </chartFormat>
    <chartFormat chart="5" format="52" series="1">
      <pivotArea type="data" outline="0" fieldPosition="0">
        <references count="2">
          <reference field="4294967294" count="1" selected="0">
            <x v="0"/>
          </reference>
          <reference field="3" count="1" selected="0">
            <x v="21"/>
          </reference>
        </references>
      </pivotArea>
    </chartFormat>
    <chartFormat chart="5" format="53" series="1">
      <pivotArea type="data" outline="0" fieldPosition="0">
        <references count="2">
          <reference field="4294967294" count="1" selected="0">
            <x v="0"/>
          </reference>
          <reference field="3" count="1" selected="0">
            <x v="22"/>
          </reference>
        </references>
      </pivotArea>
    </chartFormat>
    <chartFormat chart="5" format="54" series="1">
      <pivotArea type="data" outline="0" fieldPosition="0">
        <references count="2">
          <reference field="4294967294" count="1" selected="0">
            <x v="0"/>
          </reference>
          <reference field="3" count="1" selected="0">
            <x v="23"/>
          </reference>
        </references>
      </pivotArea>
    </chartFormat>
    <chartFormat chart="5" format="55" series="1">
      <pivotArea type="data" outline="0" fieldPosition="0">
        <references count="2">
          <reference field="4294967294" count="1" selected="0">
            <x v="0"/>
          </reference>
          <reference field="3" count="1" selected="0">
            <x v="24"/>
          </reference>
        </references>
      </pivotArea>
    </chartFormat>
    <chartFormat chart="5" format="56" series="1">
      <pivotArea type="data" outline="0" fieldPosition="0">
        <references count="2">
          <reference field="4294967294" count="1" selected="0">
            <x v="0"/>
          </reference>
          <reference field="3" count="1" selected="0">
            <x v="25"/>
          </reference>
        </references>
      </pivotArea>
    </chartFormat>
    <chartFormat chart="5" format="57" series="1">
      <pivotArea type="data" outline="0" fieldPosition="0">
        <references count="1">
          <reference field="4294967294" count="1" selected="0">
            <x v="0"/>
          </reference>
        </references>
      </pivotArea>
    </chartFormat>
    <chartFormat chart="5" format="58" series="1">
      <pivotArea type="data" outline="0" fieldPosition="0">
        <references count="2">
          <reference field="4294967294" count="1" selected="0">
            <x v="0"/>
          </reference>
          <reference field="8" count="1" selected="0">
            <x v="1"/>
          </reference>
        </references>
      </pivotArea>
    </chartFormat>
    <chartFormat chart="5" format="59" series="1">
      <pivotArea type="data" outline="0" fieldPosition="0">
        <references count="2">
          <reference field="4294967294" count="1" selected="0">
            <x v="0"/>
          </reference>
          <reference field="8" count="1" selected="0">
            <x v="2"/>
          </reference>
        </references>
      </pivotArea>
    </chartFormat>
    <chartFormat chart="5" format="60" series="1">
      <pivotArea type="data" outline="0" fieldPosition="0">
        <references count="2">
          <reference field="4294967294" count="1" selected="0">
            <x v="0"/>
          </reference>
          <reference field="8" count="1" selected="0">
            <x v="3"/>
          </reference>
        </references>
      </pivotArea>
    </chartFormat>
    <chartFormat chart="5" format="61" series="1">
      <pivotArea type="data" outline="0" fieldPosition="0">
        <references count="2">
          <reference field="4294967294" count="1" selected="0">
            <x v="0"/>
          </reference>
          <reference field="8" count="1" selected="0">
            <x v="4"/>
          </reference>
        </references>
      </pivotArea>
    </chartFormat>
    <chartFormat chart="5" format="62" series="1">
      <pivotArea type="data" outline="0" fieldPosition="0">
        <references count="2">
          <reference field="4294967294" count="1" selected="0">
            <x v="0"/>
          </reference>
          <reference field="8" count="1" selected="0">
            <x v="5"/>
          </reference>
        </references>
      </pivotArea>
    </chartFormat>
    <chartFormat chart="5" format="63" series="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Q4" dT="2025-05-06T16:28:42.83" personId="{856B2C74-3CEF-4229-A498-39BD94CC7154}" id="{2F488BF8-EF2E-46D8-A4AC-76748960EC78}">
    <text>@Scott Herbert when you add in any comments, Can you prefix you comments with the date that you made the comment?  That way we know how current/old the comment’s information is?</text>
    <mentions>
      <mention mentionpersonId="{BA2C59FC-516B-4AAF-8E21-4D602DAFE1D8}" mentionId="{3CD92E8D-A9EB-4522-BA77-1EE6A960F223}" startIndex="0" length="14"/>
    </mentions>
  </threadedComment>
  <threadedComment ref="Q4" dT="2025-05-07T12:26:17.33" personId="{7FA477B1-732F-4D37-AFF9-81CC7FDE841F}" id="{829CB46A-E473-4B16-B651-5F51E9EA6506}" parentId="{2F488BF8-EF2E-46D8-A4AC-76748960EC78}">
    <text>@Kieun Kim Yes sir, will do....... I did not add any comments, that I know of, so was this just for informational purposes only?</text>
    <mentions>
      <mention mentionpersonId="{8EED5984-D9A0-4643-9A6A-B103536D1632}" mentionId="{D0C9E3E2-24CC-4955-B919-A25997D94F1E}" startIndex="0" length="10"/>
    </mentions>
  </threadedComment>
  <threadedComment ref="Q4" dT="2025-05-07T18:15:25.42" personId="{856B2C74-3CEF-4229-A498-39BD94CC7154}" id="{961CDD04-418B-4A10-B4FA-571CA1C78EA5}" parentId="{2F488BF8-EF2E-46D8-A4AC-76748960EC78}">
    <text>@Scott Herbert Yup, this is in case you do add in any comments.</text>
    <mentions>
      <mention mentionpersonId="{BA2C59FC-516B-4AAF-8E21-4D602DAFE1D8}" mentionId="{3CBEE085-42A6-4D7C-9D36-A4CF6557D149}" startIndex="0" length="14"/>
    </mentions>
  </threadedComment>
  <threadedComment ref="K8" dT="2025-05-30T18:40:12.35" personId="{856B2C74-3CEF-4229-A498-39BD94CC7154}" id="{8017CFA2-3A0C-43FE-AEA8-EA4C8B8D2F4A}">
    <text>This will be replaced by the new Lissmac machine that is undergoing the POR as of 5/30/2025.</text>
  </threadedComment>
</ThreadedComments>
</file>

<file path=xl/threadedComments/threadedComment2.xml><?xml version="1.0" encoding="utf-8"?>
<ThreadedComments xmlns="http://schemas.microsoft.com/office/spreadsheetml/2018/threadedcomments" xmlns:x="http://schemas.openxmlformats.org/spreadsheetml/2006/main">
  <threadedComment ref="E1" dT="2025-06-04T23:50:56.93" personId="{856B2C74-3CEF-4229-A498-39BD94CC7154}" id="{00647D3B-170F-4249-B152-2D2F5317EB9F}">
    <text>@Jose Andrade @Michael Del Valle @Matt Guner Guys, can I get your help to help fill this tab out for BLA?  If you need to pull in Maintenance please do so.</text>
    <mentions>
      <mention mentionpersonId="{B9174282-29D3-494D-BA3F-C577F70A4003}" mentionId="{97CEB141-4A0A-4859-9254-9BCA3AA221D8}" startIndex="0" length="13"/>
      <mention mentionpersonId="{E22DA893-9DCA-4D27-AC43-27100B952D56}" mentionId="{ABD350CB-C1E3-410B-9222-4CECBDC8A730}" startIndex="14" length="18"/>
      <mention mentionpersonId="{47802DAE-0C07-48B7-841E-27FAB4696F3D}" mentionId="{C409EFBD-2984-46D5-BB1E-234244DEDBDE}" startIndex="33" length="11"/>
    </mentions>
  </threadedComment>
  <threadedComment ref="W4" dT="2025-05-06T16:35:31.59" personId="{856B2C74-3CEF-4229-A498-39BD94CC7154}" id="{1F438048-B30F-46C4-8E94-1F107FF02017}">
    <text>@Jose Andrade @Matt Guner @Michael Del Valle @Sam Cho I suggest we remove the rows for Quality as that is not part of ME’s responsibilities in keeping up with the equipment - unless there’s some Quality equipment has specifically been given to ME as our responsibility.  Also, for Shipping, is that part of ME’s responsibilities?  Let’s track only those items that are part of ME’s responsibilities.  I suggest that Jiego, Sam, Matt, and Eric meet to discuss the TP machines, Jose, Jiego, Michael meet to go over the Soap machines, Matt and Gabriel should sort out the Machine Shop equipment, and I’d like to ask Matt and Michael to meet with Tracey to go over any of the Shipping equipment (and also sort out if there’s any that ME needs to be responsible for).</text>
    <mentions>
      <mention mentionpersonId="{B9174282-29D3-494D-BA3F-C577F70A4003}" mentionId="{FB551417-2B2C-41D1-A6C3-88BFC70FCC01}" startIndex="0" length="13"/>
      <mention mentionpersonId="{47802DAE-0C07-48B7-841E-27FAB4696F3D}" mentionId="{51AD73AF-C80D-4312-BC56-217BAD7AC398}" startIndex="14" length="11"/>
      <mention mentionpersonId="{E22DA893-9DCA-4D27-AC43-27100B952D56}" mentionId="{79862CD0-02AD-4E5D-9D69-78C6A946C5E0}" startIndex="26" length="18"/>
      <mention mentionpersonId="{ABDEC16E-A8C3-438F-A667-30D9A36042A7}" mentionId="{D3670C7C-B9A1-49DA-A233-FDFE419C131F}" startIndex="45" length="8"/>
    </mentions>
  </threadedComment>
  <threadedComment ref="W4" dT="2025-05-06T16:35:43.80" personId="{856B2C74-3CEF-4229-A498-39BD94CC7154}" id="{7907D71B-4ADD-464E-9602-788917B41951}" parentId="{1F438048-B30F-46C4-8E94-1F107FF02017}">
    <text>BTW, when you add in any comments, Can you prefix you comments with the date that you made the comment?  That way we know how current/old the comment’s information is?</text>
  </threadedComment>
  <threadedComment ref="W4" dT="2025-05-06T16:36:42.61" personId="{856B2C74-3CEF-4229-A498-39BD94CC7154}" id="{91C915E7-4BF6-429F-8E26-822A8DDCFEA9}" parentId="{1F438048-B30F-46C4-8E94-1F107FF02017}">
    <text>I forgot about the Maintenance equipment.  I think with Miguel out, we need to get Wayne, Gabriel, and Primo’s help on these.</text>
  </threadedComment>
</ThreadedComments>
</file>

<file path=xl/threadedComments/threadedComment3.xml><?xml version="1.0" encoding="utf-8"?>
<ThreadedComments xmlns="http://schemas.microsoft.com/office/spreadsheetml/2018/threadedcomments" xmlns:x="http://schemas.openxmlformats.org/spreadsheetml/2006/main">
  <threadedComment ref="D1" dT="2025-06-04T23:49:57.42" personId="{856B2C74-3CEF-4229-A498-39BD94CC7154}" id="{1241102D-C931-46A6-B5A3-95FED460BD21}">
    <text>@Dale Kee @Dawn Hart can I get your help to get the BMC tab completely filled out?</text>
    <mentions>
      <mention mentionpersonId="{6725C1A2-7076-4984-BAEB-AD4FB90D22AB}" mentionId="{1B5BE63D-C795-4715-8784-91D90D2A74C5}" startIndex="0" length="9"/>
      <mention mentionpersonId="{CF83FD1A-CA27-4C60-9C59-847E42F3356D}" mentionId="{38B6CBA1-D313-44CA-B5FE-DB73EB350440}" startIndex="10" length="10"/>
    </mentions>
  </threadedComment>
  <threadedComment ref="U4" dT="2025-05-06T16:28:21.93" personId="{856B2C74-3CEF-4229-A498-39BD94CC7154}" id="{33105E1C-09AF-4E36-B3FE-F25C85502A52}">
    <text>@Dale Kee when you add in any comments, Can you prefix you comments with the date that you made the comment?  That way we know how current/old the comment’s information is?</text>
    <mentions>
      <mention mentionpersonId="{6725C1A2-7076-4984-BAEB-AD4FB90D22AB}" mentionId="{EE859780-0FA6-45A9-86EA-721103C46E91}" startIndex="0" length="9"/>
    </mentions>
  </threadedComment>
  <threadedComment ref="U4" dT="2025-05-12T19:57:57.20" personId="{22F42B6C-2386-4152-A56E-965E910D2145}" id="{98D7FDB0-CFAD-47E7-B200-D30596C677E2}" parentId="{33105E1C-09AF-4E36-B3FE-F25C85502A52}">
    <text>@Kieun Kim will do.</text>
    <mentions>
      <mention mentionpersonId="{8EED5984-D9A0-4643-9A6A-B103536D1632}" mentionId="{7725A5B2-6C31-446E-9A0F-2CE409C0DC77}" startIndex="0" length="1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Q4" dT="2025-05-06T16:27:30.83" personId="{856B2C74-3CEF-4229-A498-39BD94CC7154}" id="{8DC8E504-FE7B-4A0F-AE1B-BA004F70FE67}">
    <text>@Francis Amushi Can you prefix you comments with the date that you made the comment?  That way we know how current/old the comment’s information is?</text>
    <mentions>
      <mention mentionpersonId="{050D8D9F-1A5E-4D08-A82B-973BB3B09EA4}" mentionId="{3104DE08-9945-46C0-8D1E-39683E2744A9}" startIndex="0" length="15"/>
    </mentions>
  </threadedComment>
  <threadedComment ref="D5" dT="2025-04-28T12:20:59.66" personId="{8065141E-857E-4860-8B75-D94F735E4F54}" id="{D0C31668-89E7-45FE-86CC-FFA2E671623F}">
    <text>No longer in service as of Fab 2025</text>
  </threadedComment>
  <threadedComment ref="D18" dT="2025-04-28T12:34:16.61" personId="{8065141E-857E-4860-8B75-D94F735E4F54}" id="{21B45B3A-9F53-4556-B9BC-3C710F5AC4FF}">
    <text>Out of service</text>
  </threadedComment>
  <threadedComment ref="A24" dT="2025-04-28T18:12:53.37" personId="{8065141E-857E-4860-8B75-D94F735E4F54}" id="{179712D1-E1EF-48C6-A389-DDE4DA231B1F}">
    <text>No longer in service</text>
  </threadedComment>
</ThreadedComments>
</file>

<file path=xl/threadedComments/threadedComment5.xml><?xml version="1.0" encoding="utf-8"?>
<ThreadedComments xmlns="http://schemas.microsoft.com/office/spreadsheetml/2018/threadedcomments" xmlns:x="http://schemas.openxmlformats.org/spreadsheetml/2006/main">
  <threadedComment ref="P4" dT="2025-05-06T16:28:01.46" personId="{856B2C74-3CEF-4229-A498-39BD94CC7154}" id="{9D807804-99F9-4E70-ABCD-177A577FCF47}">
    <text>@Michael Nygard when you add any comments, Can you prefix you comments with the date that you made the comment?  That way we know how current/old the comment’s information is?</text>
    <mentions>
      <mention mentionpersonId="{B508022B-91FA-4895-9B50-9767AF848DF0}" mentionId="{5A3465CB-17B0-4E2D-B46B-CF727A0640FB}" startIndex="0" length="15"/>
    </mentions>
  </threadedComment>
  <threadedComment ref="P4" dT="2025-05-07T02:39:38.90" personId="{4987AE0C-1B70-4B9A-9D6E-25F7307749AF}" id="{EB93881F-BF23-43AE-81CE-95341883DE5F}" parentId="{9D807804-99F9-4E70-ABCD-177A577FCF47}">
    <text>@Kieun Kim Ron Miller has the manufacturing supervisors each do their own department Equipment Longevity reporting.</text>
    <mentions>
      <mention mentionpersonId="{8EED5984-D9A0-4643-9A6A-B103536D1632}" mentionId="{5D994BE3-4A8C-4DE7-81E3-D48BE6D74B95}" startIndex="0" length="10"/>
    </mentions>
  </threadedComment>
  <threadedComment ref="P4" dT="2025-05-07T18:14:50.92" personId="{856B2C74-3CEF-4229-A498-39BD94CC7154}" id="{554B1BAD-2AA3-4935-AC83-EC9172738399}" parentId="{9D807804-99F9-4E70-ABCD-177A577FCF47}">
    <text xml:space="preserve">@Michael Nygard Can you tell me who I should add to the access list for this doc?  They can do the analysis and pool the information together in this form.  </text>
    <mentions>
      <mention mentionpersonId="{B508022B-91FA-4895-9B50-9767AF848DF0}" mentionId="{54540FBE-A92C-4849-972D-7948EE5EC6BF}" startIndex="0" length="15"/>
    </mentions>
  </threadedComment>
  <threadedComment ref="P4" dT="2025-05-07T21:31:14.13" personId="{4987AE0C-1B70-4B9A-9D6E-25F7307749AF}" id="{58C93682-F477-4FE7-8DEC-AB81C5F82F35}" parentId="{9D807804-99F9-4E70-ABCD-177A577FCF47}">
    <text>@Kieun Kim It might be best for me to check with Ron on this to see what he was thinking/planning. Problem is he is traveling this week and next.</text>
    <mentions>
      <mention mentionpersonId="{8EED5984-D9A0-4643-9A6A-B103536D1632}" mentionId="{981CDFAB-39C4-4F1A-84E9-D04230814F1E}" startIndex="0" length="10"/>
    </mentions>
  </threadedComment>
</ThreadedComments>
</file>

<file path=xl/threadedComments/threadedComment6.xml><?xml version="1.0" encoding="utf-8"?>
<ThreadedComments xmlns="http://schemas.microsoft.com/office/spreadsheetml/2018/threadedcomments" xmlns:x="http://schemas.openxmlformats.org/spreadsheetml/2006/main">
  <threadedComment ref="Q4" dT="2025-05-06T16:27:30.83" personId="{856B2C74-3CEF-4229-A498-39BD94CC7154}" id="{B5CAB490-9F6E-4453-B19A-074F0D6EDCB5}">
    <text>@Francis Amushi Can you prefix you comments with the date that you made the comment?  That way we know how current/old the comment’s information is?</text>
    <mentions>
      <mention mentionpersonId="{050D8D9F-1A5E-4D08-A82B-973BB3B09EA4}" mentionId="{BC42174F-8619-4E25-BEA9-BFFC6FC2A5AC}" startIndex="0" length="15"/>
    </mentions>
  </threadedComment>
</ThreadedComments>
</file>

<file path=xl/threadedComments/threadedComment7.xml><?xml version="1.0" encoding="utf-8"?>
<ThreadedComments xmlns="http://schemas.microsoft.com/office/spreadsheetml/2018/threadedcomments" xmlns:x="http://schemas.openxmlformats.org/spreadsheetml/2006/main">
  <threadedComment ref="O1" dT="2025-05-06T16:27:30.83" personId="{856B2C74-3CEF-4229-A498-39BD94CC7154}" id="{9C39854C-2442-4A10-8922-7404C019D4F3}">
    <text>@Francis Amushi Can you prefix you comments with the date that you made the comment?  That way we know how current/old the comment’s information is?</text>
    <mentions>
      <mention mentionpersonId="{050D8D9F-1A5E-4D08-A82B-973BB3B09EA4}" mentionId="{31D4E890-34E6-48C3-9ED1-0B037745F1CC}" startIndex="0" length="15"/>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www.mcmaster.com/2609A12/" TargetMode="External"/><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36"/>
  <sheetViews>
    <sheetView topLeftCell="B1" workbookViewId="0">
      <selection activeCell="L11" sqref="L11"/>
    </sheetView>
  </sheetViews>
  <sheetFormatPr defaultRowHeight="15"/>
  <cols>
    <col min="2" max="2" width="12.140625" customWidth="1"/>
    <col min="3" max="3" width="35" customWidth="1"/>
    <col min="4" max="4" width="11.7109375" bestFit="1" customWidth="1"/>
    <col min="5" max="5" width="10.28515625" bestFit="1" customWidth="1"/>
    <col min="6" max="6" width="11.85546875" customWidth="1"/>
    <col min="13" max="13" width="40.85546875" bestFit="1" customWidth="1"/>
  </cols>
  <sheetData>
    <row r="1" spans="1:17" ht="15" customHeight="1">
      <c r="B1" s="516" t="s">
        <v>0</v>
      </c>
      <c r="C1" s="516"/>
      <c r="D1" s="516"/>
      <c r="E1" s="516"/>
      <c r="F1" s="516"/>
      <c r="G1" s="516"/>
      <c r="H1" s="516"/>
      <c r="I1" s="516"/>
      <c r="J1" s="516"/>
      <c r="K1" s="516"/>
      <c r="L1" s="516"/>
      <c r="M1" s="1"/>
      <c r="N1" s="1"/>
      <c r="O1" s="1"/>
      <c r="P1" s="1"/>
      <c r="Q1" s="1"/>
    </row>
    <row r="2" spans="1:17" ht="15" customHeight="1">
      <c r="B2" s="516"/>
      <c r="C2" s="516"/>
      <c r="D2" s="516"/>
      <c r="E2" s="516"/>
      <c r="F2" s="516"/>
      <c r="G2" s="516"/>
      <c r="H2" s="516"/>
      <c r="I2" s="516"/>
      <c r="J2" s="516"/>
      <c r="K2" s="516"/>
      <c r="L2" s="516"/>
      <c r="M2" s="1"/>
      <c r="N2" s="1"/>
      <c r="O2" s="1"/>
      <c r="P2" s="1"/>
      <c r="Q2" s="1"/>
    </row>
    <row r="3" spans="1:17" ht="15.75" thickBot="1"/>
    <row r="4" spans="1:17" ht="17.25" thickTop="1" thickBot="1">
      <c r="A4" s="517" t="s">
        <v>1</v>
      </c>
      <c r="B4" s="517"/>
      <c r="C4" s="517"/>
      <c r="D4" s="508" t="s">
        <v>2</v>
      </c>
      <c r="E4" s="510" t="s">
        <v>3</v>
      </c>
      <c r="F4" s="512" t="s">
        <v>4</v>
      </c>
      <c r="G4" s="514" t="s">
        <v>5</v>
      </c>
      <c r="H4" s="514"/>
      <c r="I4" s="514"/>
      <c r="J4" s="514"/>
      <c r="K4" s="514"/>
      <c r="L4" s="515"/>
      <c r="M4" s="34" t="s">
        <v>6</v>
      </c>
    </row>
    <row r="5" spans="1:17" ht="17.25" thickTop="1" thickBot="1">
      <c r="A5" s="518"/>
      <c r="B5" s="518"/>
      <c r="C5" s="518"/>
      <c r="D5" s="509"/>
      <c r="E5" s="511"/>
      <c r="F5" s="513"/>
      <c r="G5" s="3" t="s">
        <v>7</v>
      </c>
      <c r="H5" s="4" t="s">
        <v>8</v>
      </c>
      <c r="I5" s="5" t="s">
        <v>9</v>
      </c>
      <c r="J5" s="6" t="s">
        <v>10</v>
      </c>
      <c r="K5" s="7" t="s">
        <v>11</v>
      </c>
      <c r="L5" s="29" t="s">
        <v>12</v>
      </c>
      <c r="M5" s="35"/>
    </row>
    <row r="6" spans="1:17" ht="16.5" thickTop="1" thickBot="1">
      <c r="A6" s="22">
        <v>1</v>
      </c>
      <c r="B6" s="519" t="s">
        <v>13</v>
      </c>
      <c r="C6" s="520"/>
      <c r="D6" s="23">
        <v>10456</v>
      </c>
      <c r="E6" s="24">
        <v>2001</v>
      </c>
      <c r="F6" s="25" t="s">
        <v>14</v>
      </c>
      <c r="G6" s="26"/>
      <c r="H6" s="27"/>
      <c r="I6" s="36"/>
      <c r="J6" s="37"/>
      <c r="K6" s="33" t="s">
        <v>15</v>
      </c>
      <c r="L6" s="30"/>
      <c r="M6" s="31"/>
    </row>
    <row r="7" spans="1:17" ht="15.75" thickBot="1">
      <c r="A7" s="8">
        <v>2</v>
      </c>
      <c r="B7" s="506" t="s">
        <v>16</v>
      </c>
      <c r="C7" s="507"/>
      <c r="D7" s="19">
        <v>10531</v>
      </c>
      <c r="E7" s="20">
        <v>2004</v>
      </c>
      <c r="F7" s="21" t="s">
        <v>17</v>
      </c>
      <c r="G7" s="17"/>
      <c r="H7" s="18"/>
      <c r="I7" s="16"/>
      <c r="J7" s="32"/>
      <c r="K7" s="15"/>
      <c r="L7" s="28" t="s">
        <v>15</v>
      </c>
      <c r="M7" s="31"/>
    </row>
    <row r="8" spans="1:17" ht="15.75" thickBot="1">
      <c r="A8" s="8">
        <v>3</v>
      </c>
      <c r="B8" s="506" t="s">
        <v>18</v>
      </c>
      <c r="C8" s="507"/>
      <c r="D8" s="19">
        <v>10632</v>
      </c>
      <c r="E8" s="20">
        <v>2006</v>
      </c>
      <c r="F8" s="21" t="s">
        <v>19</v>
      </c>
      <c r="G8" s="17"/>
      <c r="H8" s="18"/>
      <c r="I8" s="16"/>
      <c r="J8" s="32"/>
      <c r="K8" s="15" t="s">
        <v>15</v>
      </c>
      <c r="L8" s="28"/>
      <c r="M8" s="31"/>
    </row>
    <row r="9" spans="1:17" ht="15.75" thickBot="1">
      <c r="A9" s="8">
        <v>4</v>
      </c>
      <c r="B9" s="506" t="s">
        <v>18</v>
      </c>
      <c r="C9" s="507"/>
      <c r="D9" s="19">
        <v>10633</v>
      </c>
      <c r="E9" s="20">
        <v>2006</v>
      </c>
      <c r="F9" s="21" t="s">
        <v>19</v>
      </c>
      <c r="G9" s="17"/>
      <c r="H9" s="18"/>
      <c r="I9" s="16"/>
      <c r="J9" s="32"/>
      <c r="K9" s="15" t="s">
        <v>15</v>
      </c>
      <c r="L9" s="28"/>
      <c r="M9" s="31"/>
    </row>
    <row r="10" spans="1:17" ht="15.75" thickBot="1">
      <c r="A10" s="8">
        <v>5</v>
      </c>
      <c r="B10" s="506" t="s">
        <v>20</v>
      </c>
      <c r="C10" s="507"/>
      <c r="D10" s="19">
        <v>11906</v>
      </c>
      <c r="E10" s="20">
        <v>2010</v>
      </c>
      <c r="F10" s="21" t="s">
        <v>17</v>
      </c>
      <c r="G10" s="17"/>
      <c r="H10" s="18"/>
      <c r="I10" s="16"/>
      <c r="J10" s="32"/>
      <c r="K10" s="15"/>
      <c r="L10" s="28" t="s">
        <v>15</v>
      </c>
      <c r="M10" s="31"/>
    </row>
    <row r="11" spans="1:17" ht="15.75" thickBot="1">
      <c r="A11" s="8">
        <v>6</v>
      </c>
      <c r="B11" s="506" t="s">
        <v>21</v>
      </c>
      <c r="C11" s="507"/>
      <c r="D11" s="19">
        <v>10463</v>
      </c>
      <c r="E11" s="20">
        <v>1999</v>
      </c>
      <c r="F11" s="21" t="s">
        <v>17</v>
      </c>
      <c r="G11" s="17"/>
      <c r="H11" s="18"/>
      <c r="I11" s="16"/>
      <c r="J11" s="32"/>
      <c r="K11" s="15" t="s">
        <v>15</v>
      </c>
      <c r="L11" s="28"/>
      <c r="M11" s="31" t="s">
        <v>22</v>
      </c>
    </row>
    <row r="12" spans="1:17" ht="15.75" thickBot="1">
      <c r="A12" s="8">
        <v>7</v>
      </c>
      <c r="B12" s="506" t="s">
        <v>23</v>
      </c>
      <c r="C12" s="507"/>
      <c r="D12" s="19">
        <v>10535</v>
      </c>
      <c r="E12" s="20">
        <v>2004</v>
      </c>
      <c r="F12" s="21" t="s">
        <v>19</v>
      </c>
      <c r="G12" s="17"/>
      <c r="H12" s="18"/>
      <c r="I12" s="16"/>
      <c r="J12" s="32"/>
      <c r="K12" s="15" t="s">
        <v>15</v>
      </c>
      <c r="L12" s="28"/>
      <c r="M12" s="31"/>
    </row>
    <row r="13" spans="1:17" ht="15.75" thickBot="1">
      <c r="A13" s="8">
        <v>8</v>
      </c>
      <c r="B13" s="506" t="s">
        <v>24</v>
      </c>
      <c r="C13" s="507"/>
      <c r="D13" s="19" t="s">
        <v>25</v>
      </c>
      <c r="E13" s="20" t="s">
        <v>26</v>
      </c>
      <c r="F13" s="21" t="s">
        <v>14</v>
      </c>
      <c r="G13" s="17"/>
      <c r="H13" s="18"/>
      <c r="I13" s="16"/>
      <c r="J13" s="32" t="s">
        <v>15</v>
      </c>
      <c r="K13" s="15"/>
      <c r="L13" s="28"/>
      <c r="M13" s="31" t="s">
        <v>27</v>
      </c>
    </row>
    <row r="14" spans="1:17" ht="15.75" thickBot="1">
      <c r="A14" s="8">
        <v>9</v>
      </c>
      <c r="B14" s="506" t="s">
        <v>28</v>
      </c>
      <c r="C14" s="507"/>
      <c r="D14" s="19">
        <v>10538</v>
      </c>
      <c r="E14" s="20">
        <v>2004</v>
      </c>
      <c r="F14" s="21" t="s">
        <v>19</v>
      </c>
      <c r="G14" s="17"/>
      <c r="H14" s="18"/>
      <c r="I14" s="16"/>
      <c r="J14" s="32"/>
      <c r="K14" s="15" t="s">
        <v>15</v>
      </c>
      <c r="L14" s="28"/>
      <c r="M14" s="31"/>
    </row>
    <row r="15" spans="1:17" ht="15.75" thickBot="1">
      <c r="A15" s="8">
        <v>10</v>
      </c>
      <c r="B15" s="506" t="s">
        <v>29</v>
      </c>
      <c r="C15" s="507"/>
      <c r="D15" s="19">
        <v>11920</v>
      </c>
      <c r="E15" s="20">
        <v>2012</v>
      </c>
      <c r="F15" s="21" t="s">
        <v>17</v>
      </c>
      <c r="G15" s="17"/>
      <c r="H15" s="18"/>
      <c r="I15" s="16"/>
      <c r="J15" s="32"/>
      <c r="K15" s="15"/>
      <c r="L15" s="28" t="s">
        <v>15</v>
      </c>
      <c r="M15" s="31"/>
    </row>
    <row r="16" spans="1:17" ht="15.75" thickBot="1">
      <c r="A16" s="8">
        <v>11</v>
      </c>
      <c r="B16" s="506" t="s">
        <v>30</v>
      </c>
      <c r="C16" s="507"/>
      <c r="D16" s="19">
        <v>11907</v>
      </c>
      <c r="E16" s="20">
        <v>2010</v>
      </c>
      <c r="F16" s="21" t="s">
        <v>17</v>
      </c>
      <c r="G16" s="17"/>
      <c r="H16" s="18"/>
      <c r="I16" s="16"/>
      <c r="J16" s="32"/>
      <c r="K16" s="15"/>
      <c r="L16" s="28" t="s">
        <v>15</v>
      </c>
      <c r="M16" s="31"/>
    </row>
    <row r="17" spans="1:13" ht="15.75" thickBot="1">
      <c r="A17" s="8">
        <v>12</v>
      </c>
      <c r="B17" s="506" t="s">
        <v>30</v>
      </c>
      <c r="C17" s="507"/>
      <c r="D17" s="19">
        <v>11908</v>
      </c>
      <c r="E17" s="20">
        <v>2010</v>
      </c>
      <c r="F17" s="21" t="s">
        <v>17</v>
      </c>
      <c r="G17" s="17"/>
      <c r="H17" s="18"/>
      <c r="I17" s="16"/>
      <c r="J17" s="32"/>
      <c r="K17" s="15"/>
      <c r="L17" s="28" t="s">
        <v>15</v>
      </c>
      <c r="M17" s="31"/>
    </row>
    <row r="18" spans="1:13" ht="30.75" thickBot="1">
      <c r="A18" s="8">
        <v>13</v>
      </c>
      <c r="B18" s="504" t="s">
        <v>31</v>
      </c>
      <c r="C18" s="505"/>
      <c r="D18" s="38">
        <v>8889</v>
      </c>
      <c r="E18" s="39">
        <v>1993</v>
      </c>
      <c r="F18" s="40" t="s">
        <v>14</v>
      </c>
      <c r="G18" s="41"/>
      <c r="H18" s="42"/>
      <c r="I18" s="43" t="s">
        <v>15</v>
      </c>
      <c r="J18" s="44"/>
      <c r="K18" s="45"/>
      <c r="L18" s="46"/>
      <c r="M18" s="47" t="s">
        <v>32</v>
      </c>
    </row>
    <row r="19" spans="1:13" ht="15.75" thickBot="1">
      <c r="A19" s="8">
        <v>14</v>
      </c>
      <c r="B19" s="506" t="s">
        <v>33</v>
      </c>
      <c r="C19" s="507"/>
      <c r="D19" s="19">
        <v>11919</v>
      </c>
      <c r="E19" s="20">
        <v>2013</v>
      </c>
      <c r="F19" s="21" t="s">
        <v>17</v>
      </c>
      <c r="G19" s="17"/>
      <c r="H19" s="18"/>
      <c r="I19" s="16"/>
      <c r="J19" s="32"/>
      <c r="K19" s="15"/>
      <c r="L19" s="28" t="s">
        <v>15</v>
      </c>
      <c r="M19" s="31"/>
    </row>
    <row r="20" spans="1:13" ht="15.75" thickBot="1">
      <c r="A20" s="8">
        <v>15</v>
      </c>
      <c r="B20" s="506" t="s">
        <v>34</v>
      </c>
      <c r="C20" s="507"/>
      <c r="D20" s="19">
        <v>10631</v>
      </c>
      <c r="E20" s="20">
        <v>2006</v>
      </c>
      <c r="F20" s="21" t="s">
        <v>17</v>
      </c>
      <c r="G20" s="17"/>
      <c r="H20" s="18"/>
      <c r="I20" s="16"/>
      <c r="J20" s="32"/>
      <c r="K20" s="15"/>
      <c r="L20" s="28" t="s">
        <v>15</v>
      </c>
      <c r="M20" s="31"/>
    </row>
    <row r="21" spans="1:13" ht="15.75" thickBot="1">
      <c r="A21" s="8">
        <v>16</v>
      </c>
      <c r="B21" s="506" t="s">
        <v>35</v>
      </c>
      <c r="C21" s="507"/>
      <c r="D21" s="19">
        <v>11248</v>
      </c>
      <c r="E21" s="20" t="s">
        <v>26</v>
      </c>
      <c r="F21" s="21" t="s">
        <v>17</v>
      </c>
      <c r="G21" s="17"/>
      <c r="H21" s="18"/>
      <c r="I21" s="16"/>
      <c r="J21" s="32"/>
      <c r="K21" s="15"/>
      <c r="L21" s="28" t="s">
        <v>15</v>
      </c>
      <c r="M21" s="31"/>
    </row>
    <row r="22" spans="1:13" ht="15.75" thickBot="1">
      <c r="A22" s="8">
        <v>17</v>
      </c>
      <c r="B22" s="506" t="s">
        <v>36</v>
      </c>
      <c r="C22" s="507"/>
      <c r="D22" s="19">
        <v>10472</v>
      </c>
      <c r="E22" s="20" t="s">
        <v>26</v>
      </c>
      <c r="F22" s="21" t="s">
        <v>17</v>
      </c>
      <c r="G22" s="17"/>
      <c r="H22" s="18"/>
      <c r="I22" s="16"/>
      <c r="J22" s="32"/>
      <c r="K22" s="15"/>
      <c r="L22" s="28" t="s">
        <v>15</v>
      </c>
      <c r="M22" s="31"/>
    </row>
    <row r="23" spans="1:13" ht="15.75" thickBot="1"/>
    <row r="24" spans="1:13" ht="15.75" thickBot="1">
      <c r="F24" s="2" t="s">
        <v>37</v>
      </c>
      <c r="G24" s="9">
        <f t="shared" ref="G24:L24" si="0">COUNTA(G6:G22)</f>
        <v>0</v>
      </c>
      <c r="H24" s="10">
        <f t="shared" si="0"/>
        <v>0</v>
      </c>
      <c r="I24" s="11">
        <f t="shared" si="0"/>
        <v>1</v>
      </c>
      <c r="J24" s="12">
        <f t="shared" si="0"/>
        <v>1</v>
      </c>
      <c r="K24" s="13">
        <f t="shared" si="0"/>
        <v>6</v>
      </c>
      <c r="L24" s="14">
        <f t="shared" si="0"/>
        <v>9</v>
      </c>
    </row>
    <row r="25" spans="1:13">
      <c r="B25" s="2" t="s">
        <v>38</v>
      </c>
      <c r="C25" s="2"/>
      <c r="D25" s="2"/>
      <c r="E25" s="2"/>
      <c r="F25" s="2"/>
      <c r="G25" s="2"/>
      <c r="H25" s="2"/>
      <c r="I25" s="2"/>
      <c r="J25" s="2"/>
    </row>
    <row r="26" spans="1:13" ht="3" customHeight="1">
      <c r="B26" s="2"/>
      <c r="C26" s="2"/>
      <c r="D26" s="2"/>
      <c r="E26" s="2"/>
      <c r="F26" s="2"/>
      <c r="G26" s="2"/>
      <c r="H26" s="2"/>
      <c r="I26" s="2"/>
      <c r="J26" s="2"/>
    </row>
    <row r="27" spans="1:13">
      <c r="B27" s="2"/>
      <c r="C27" s="2" t="s">
        <v>39</v>
      </c>
      <c r="D27" s="2"/>
      <c r="E27" s="2"/>
      <c r="F27" s="2"/>
      <c r="G27" s="2"/>
      <c r="H27" s="2"/>
      <c r="I27" s="2"/>
      <c r="J27" s="2"/>
    </row>
    <row r="28" spans="1:13">
      <c r="B28" s="2"/>
      <c r="C28" s="2"/>
      <c r="D28" s="2"/>
      <c r="E28" s="2"/>
      <c r="F28" s="2"/>
      <c r="G28" s="2"/>
      <c r="H28" s="2"/>
      <c r="I28" s="2"/>
      <c r="J28" s="2"/>
    </row>
    <row r="29" spans="1:13">
      <c r="B29" s="2"/>
      <c r="C29" s="2" t="s">
        <v>40</v>
      </c>
      <c r="D29" s="2"/>
      <c r="E29" s="2"/>
      <c r="F29" s="2"/>
      <c r="G29" s="2"/>
      <c r="H29" s="2"/>
      <c r="I29" s="2"/>
      <c r="J29" s="2"/>
    </row>
    <row r="30" spans="1:13">
      <c r="B30" s="2"/>
      <c r="C30" s="2"/>
      <c r="D30" s="2"/>
      <c r="E30" s="2"/>
      <c r="F30" s="2"/>
      <c r="G30" s="2"/>
      <c r="H30" s="2"/>
      <c r="I30" s="2"/>
      <c r="J30" s="2"/>
    </row>
    <row r="31" spans="1:13">
      <c r="B31" s="2"/>
      <c r="C31" s="2" t="s">
        <v>41</v>
      </c>
      <c r="D31" s="2"/>
      <c r="E31" s="2"/>
      <c r="F31" s="2"/>
      <c r="G31" s="2"/>
      <c r="H31" s="2"/>
      <c r="I31" s="2"/>
      <c r="J31" s="2"/>
    </row>
    <row r="32" spans="1:13">
      <c r="B32" s="2"/>
      <c r="C32" s="2"/>
      <c r="D32" s="2"/>
      <c r="E32" s="2"/>
      <c r="F32" s="2"/>
      <c r="G32" s="2"/>
      <c r="H32" s="2"/>
      <c r="I32" s="2"/>
      <c r="J32" s="2"/>
    </row>
    <row r="33" spans="2:12">
      <c r="B33" s="2"/>
      <c r="C33" s="2" t="s">
        <v>42</v>
      </c>
      <c r="D33" s="2"/>
      <c r="E33" s="2"/>
      <c r="F33" s="2"/>
      <c r="G33" s="2"/>
      <c r="H33" s="2"/>
      <c r="I33" s="2"/>
      <c r="J33" s="2"/>
    </row>
    <row r="36" spans="2:12">
      <c r="L36" t="s">
        <v>43</v>
      </c>
    </row>
  </sheetData>
  <mergeCells count="23">
    <mergeCell ref="B16:C16"/>
    <mergeCell ref="B17:C17"/>
    <mergeCell ref="B11:C11"/>
    <mergeCell ref="B12:C12"/>
    <mergeCell ref="B13:C13"/>
    <mergeCell ref="B14:C14"/>
    <mergeCell ref="B15:C15"/>
    <mergeCell ref="B6:C6"/>
    <mergeCell ref="B7:C7"/>
    <mergeCell ref="B8:C8"/>
    <mergeCell ref="B9:C9"/>
    <mergeCell ref="B10:C10"/>
    <mergeCell ref="D4:D5"/>
    <mergeCell ref="E4:E5"/>
    <mergeCell ref="F4:F5"/>
    <mergeCell ref="G4:L4"/>
    <mergeCell ref="B1:L2"/>
    <mergeCell ref="A4:C5"/>
    <mergeCell ref="B18:C18"/>
    <mergeCell ref="B19:C19"/>
    <mergeCell ref="B20:C20"/>
    <mergeCell ref="B21:C21"/>
    <mergeCell ref="B22:C22"/>
  </mergeCells>
  <pageMargins left="0.7" right="0.7" top="0.75" bottom="0.75" header="0.3" footer="0.3"/>
  <pageSetup scale="6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6"/>
  <sheetViews>
    <sheetView workbookViewId="0">
      <selection activeCell="O10" sqref="O10"/>
    </sheetView>
  </sheetViews>
  <sheetFormatPr defaultRowHeight="15"/>
  <cols>
    <col min="1" max="1" width="4.85546875" customWidth="1"/>
    <col min="2" max="2" width="12.140625" customWidth="1"/>
    <col min="3" max="3" width="19" customWidth="1"/>
    <col min="4" max="4" width="9" customWidth="1"/>
    <col min="5" max="5" width="12.85546875" customWidth="1"/>
    <col min="6" max="6" width="10.85546875" customWidth="1"/>
    <col min="7" max="7" width="4.42578125" customWidth="1"/>
    <col min="8" max="8" width="4.140625" customWidth="1"/>
    <col min="9" max="10" width="4.5703125" customWidth="1"/>
    <col min="11" max="11" width="5.7109375" customWidth="1"/>
    <col min="12" max="12" width="4.28515625" customWidth="1"/>
    <col min="13" max="13" width="24.7109375" style="48" customWidth="1"/>
  </cols>
  <sheetData>
    <row r="1" spans="1:17" ht="15" customHeight="1">
      <c r="B1" s="516" t="s">
        <v>44</v>
      </c>
      <c r="C1" s="516"/>
      <c r="D1" s="516"/>
      <c r="E1" s="516"/>
      <c r="F1" s="516"/>
      <c r="G1" s="516"/>
      <c r="H1" s="516"/>
      <c r="I1" s="516"/>
      <c r="J1" s="516"/>
      <c r="K1" s="516"/>
      <c r="L1" s="516"/>
      <c r="N1" s="1"/>
      <c r="O1" s="1"/>
      <c r="P1" s="1"/>
      <c r="Q1" s="1"/>
    </row>
    <row r="2" spans="1:17" ht="3" customHeight="1">
      <c r="B2" s="516"/>
      <c r="C2" s="516"/>
      <c r="D2" s="516"/>
      <c r="E2" s="516"/>
      <c r="F2" s="516"/>
      <c r="G2" s="516"/>
      <c r="H2" s="516"/>
      <c r="I2" s="516"/>
      <c r="J2" s="516"/>
      <c r="K2" s="516"/>
      <c r="L2" s="516"/>
      <c r="N2" s="1"/>
      <c r="O2" s="1"/>
      <c r="P2" s="1"/>
      <c r="Q2" s="1"/>
    </row>
    <row r="3" spans="1:17" ht="7.5" customHeight="1" thickBot="1"/>
    <row r="4" spans="1:17" ht="14.25" customHeight="1" thickTop="1" thickBot="1">
      <c r="A4" s="517" t="s">
        <v>1</v>
      </c>
      <c r="B4" s="517"/>
      <c r="C4" s="517"/>
      <c r="D4" s="508" t="s">
        <v>2</v>
      </c>
      <c r="E4" s="510" t="s">
        <v>3</v>
      </c>
      <c r="F4" s="512" t="s">
        <v>4</v>
      </c>
      <c r="G4" s="522" t="s">
        <v>5</v>
      </c>
      <c r="H4" s="523"/>
      <c r="I4" s="523"/>
      <c r="J4" s="523"/>
      <c r="K4" s="523"/>
      <c r="L4" s="524"/>
      <c r="M4" s="49" t="s">
        <v>45</v>
      </c>
    </row>
    <row r="5" spans="1:17" ht="16.5" customHeight="1" thickTop="1" thickBot="1">
      <c r="A5" s="518"/>
      <c r="B5" s="518"/>
      <c r="C5" s="518"/>
      <c r="D5" s="509"/>
      <c r="E5" s="511"/>
      <c r="F5" s="513"/>
      <c r="G5" s="3" t="s">
        <v>7</v>
      </c>
      <c r="H5" s="4" t="s">
        <v>8</v>
      </c>
      <c r="I5" s="5" t="s">
        <v>9</v>
      </c>
      <c r="J5" s="6" t="s">
        <v>10</v>
      </c>
      <c r="K5" s="7" t="s">
        <v>11</v>
      </c>
      <c r="L5" s="50" t="s">
        <v>12</v>
      </c>
      <c r="M5" s="51"/>
    </row>
    <row r="6" spans="1:17" ht="51" customHeight="1" thickTop="1" thickBot="1">
      <c r="A6" s="8">
        <v>1</v>
      </c>
      <c r="B6" s="525" t="s">
        <v>46</v>
      </c>
      <c r="C6" s="526"/>
      <c r="D6" s="23">
        <v>1098</v>
      </c>
      <c r="E6" s="52">
        <v>27395</v>
      </c>
      <c r="F6" s="25" t="s">
        <v>47</v>
      </c>
      <c r="G6" s="26" t="s">
        <v>15</v>
      </c>
      <c r="H6" s="27"/>
      <c r="I6" s="36"/>
      <c r="J6" s="37"/>
      <c r="K6" s="33"/>
      <c r="L6" s="53"/>
      <c r="M6" s="54" t="s">
        <v>48</v>
      </c>
    </row>
    <row r="7" spans="1:17" ht="27.75" thickTop="1" thickBot="1">
      <c r="A7" s="8">
        <v>2</v>
      </c>
      <c r="B7" s="527" t="s">
        <v>49</v>
      </c>
      <c r="C7" s="527"/>
      <c r="D7" s="19">
        <v>1249</v>
      </c>
      <c r="E7" s="20">
        <v>1976</v>
      </c>
      <c r="F7" s="21" t="s">
        <v>14</v>
      </c>
      <c r="G7" s="17"/>
      <c r="H7" s="18"/>
      <c r="I7" s="16" t="s">
        <v>15</v>
      </c>
      <c r="J7" s="32"/>
      <c r="K7" s="15"/>
      <c r="L7" s="55"/>
      <c r="M7" s="54" t="s">
        <v>50</v>
      </c>
    </row>
    <row r="8" spans="1:17" ht="15.75" thickBot="1">
      <c r="A8" s="8">
        <v>3</v>
      </c>
      <c r="B8" s="528" t="s">
        <v>51</v>
      </c>
      <c r="C8" s="529"/>
      <c r="D8" s="19">
        <v>10474</v>
      </c>
      <c r="E8" s="56">
        <v>28975</v>
      </c>
      <c r="F8" s="21" t="s">
        <v>14</v>
      </c>
      <c r="G8" s="17"/>
      <c r="H8" s="18"/>
      <c r="I8" s="16" t="s">
        <v>15</v>
      </c>
      <c r="J8" s="32"/>
      <c r="K8" s="15"/>
      <c r="L8" s="55"/>
      <c r="M8" s="57" t="s">
        <v>52</v>
      </c>
    </row>
    <row r="9" spans="1:17" ht="15.75" thickBot="1">
      <c r="A9" s="8">
        <v>4</v>
      </c>
      <c r="B9" s="528" t="s">
        <v>49</v>
      </c>
      <c r="C9" s="529"/>
      <c r="D9" s="19">
        <v>3690</v>
      </c>
      <c r="E9" s="56">
        <v>28856</v>
      </c>
      <c r="F9" s="21" t="s">
        <v>14</v>
      </c>
      <c r="G9" s="17"/>
      <c r="H9" s="18"/>
      <c r="I9" s="16" t="s">
        <v>15</v>
      </c>
      <c r="J9" s="32"/>
      <c r="K9" s="15"/>
      <c r="L9" s="55"/>
      <c r="M9" s="57" t="s">
        <v>53</v>
      </c>
    </row>
    <row r="10" spans="1:17" ht="15.75" thickBot="1">
      <c r="A10" s="8">
        <v>5</v>
      </c>
      <c r="B10" s="521" t="s">
        <v>49</v>
      </c>
      <c r="C10" s="521"/>
      <c r="D10" s="19">
        <v>5934</v>
      </c>
      <c r="E10" s="56">
        <v>31866</v>
      </c>
      <c r="F10" s="21" t="s">
        <v>14</v>
      </c>
      <c r="G10" s="17"/>
      <c r="H10" s="18"/>
      <c r="I10" s="16" t="s">
        <v>15</v>
      </c>
      <c r="J10" s="32"/>
      <c r="K10" s="15"/>
      <c r="L10" s="55"/>
      <c r="M10" s="57" t="s">
        <v>53</v>
      </c>
    </row>
    <row r="11" spans="1:17" ht="15.75" thickBot="1">
      <c r="A11" s="8">
        <v>6</v>
      </c>
      <c r="B11" s="521" t="s">
        <v>54</v>
      </c>
      <c r="C11" s="521"/>
      <c r="D11" s="19">
        <v>21327</v>
      </c>
      <c r="E11" s="56">
        <v>35338</v>
      </c>
      <c r="F11" s="21" t="s">
        <v>14</v>
      </c>
      <c r="G11" s="17"/>
      <c r="H11" s="18"/>
      <c r="I11" s="16"/>
      <c r="J11" s="32" t="s">
        <v>15</v>
      </c>
      <c r="K11" s="15"/>
      <c r="L11" s="55"/>
      <c r="M11" s="57" t="s">
        <v>53</v>
      </c>
    </row>
    <row r="12" spans="1:17" ht="15.75" thickBot="1">
      <c r="A12" s="8">
        <v>7</v>
      </c>
      <c r="B12" s="528" t="s">
        <v>55</v>
      </c>
      <c r="C12" s="529"/>
      <c r="D12" s="19">
        <v>21081</v>
      </c>
      <c r="E12" s="56">
        <v>35338</v>
      </c>
      <c r="F12" s="21" t="s">
        <v>14</v>
      </c>
      <c r="G12" s="17"/>
      <c r="H12" s="18"/>
      <c r="I12" s="16"/>
      <c r="J12" s="32" t="s">
        <v>15</v>
      </c>
      <c r="K12" s="15"/>
      <c r="L12" s="55"/>
      <c r="M12" s="57" t="s">
        <v>52</v>
      </c>
    </row>
    <row r="13" spans="1:17" ht="39.75" customHeight="1" thickBot="1">
      <c r="A13" s="8">
        <v>8</v>
      </c>
      <c r="B13" s="521" t="s">
        <v>56</v>
      </c>
      <c r="C13" s="521"/>
      <c r="D13" s="19">
        <v>21086</v>
      </c>
      <c r="E13" s="56">
        <v>35461</v>
      </c>
      <c r="F13" s="21" t="s">
        <v>14</v>
      </c>
      <c r="G13" s="17"/>
      <c r="H13" s="18"/>
      <c r="I13" s="16"/>
      <c r="J13" s="32" t="s">
        <v>15</v>
      </c>
      <c r="K13" s="15"/>
      <c r="L13" s="55"/>
      <c r="M13" s="54" t="s">
        <v>57</v>
      </c>
    </row>
    <row r="14" spans="1:17" ht="15.75" thickBot="1">
      <c r="A14" s="8">
        <v>11</v>
      </c>
      <c r="B14" s="521" t="s">
        <v>58</v>
      </c>
      <c r="C14" s="521"/>
      <c r="D14" s="19">
        <v>10481</v>
      </c>
      <c r="E14" s="56">
        <v>37195</v>
      </c>
      <c r="F14" s="21" t="s">
        <v>14</v>
      </c>
      <c r="G14" s="17"/>
      <c r="H14" s="18"/>
      <c r="I14" s="16"/>
      <c r="J14" s="32" t="s">
        <v>15</v>
      </c>
      <c r="K14" s="15"/>
      <c r="L14" s="55"/>
      <c r="M14" s="57" t="s">
        <v>52</v>
      </c>
    </row>
    <row r="15" spans="1:17" ht="24.75" customHeight="1" thickBot="1">
      <c r="A15" s="8">
        <v>12</v>
      </c>
      <c r="B15" s="521" t="s">
        <v>59</v>
      </c>
      <c r="C15" s="521"/>
      <c r="D15" s="19">
        <v>10487</v>
      </c>
      <c r="E15" s="56">
        <v>36646</v>
      </c>
      <c r="F15" s="21" t="s">
        <v>19</v>
      </c>
      <c r="G15" s="17"/>
      <c r="H15" s="18"/>
      <c r="I15" s="16"/>
      <c r="J15" s="32" t="s">
        <v>15</v>
      </c>
      <c r="K15" s="15"/>
      <c r="L15" s="55"/>
      <c r="M15" s="54" t="s">
        <v>60</v>
      </c>
    </row>
    <row r="16" spans="1:17" ht="15.75" thickBot="1">
      <c r="A16" s="8">
        <v>14</v>
      </c>
      <c r="B16" s="521" t="s">
        <v>61</v>
      </c>
      <c r="C16" s="521"/>
      <c r="D16" s="19">
        <v>10627</v>
      </c>
      <c r="E16" s="56">
        <v>39021</v>
      </c>
      <c r="F16" s="21" t="s">
        <v>19</v>
      </c>
      <c r="G16" s="17"/>
      <c r="H16" s="18"/>
      <c r="I16" s="16"/>
      <c r="J16" s="32"/>
      <c r="K16" s="15" t="s">
        <v>15</v>
      </c>
      <c r="L16" s="55"/>
      <c r="M16" s="57" t="s">
        <v>52</v>
      </c>
    </row>
    <row r="17" spans="1:13" ht="15.75" thickBot="1">
      <c r="A17" s="8">
        <v>15</v>
      </c>
      <c r="B17" s="521" t="s">
        <v>61</v>
      </c>
      <c r="C17" s="521"/>
      <c r="D17" s="19">
        <v>10628</v>
      </c>
      <c r="E17" s="56">
        <v>39021</v>
      </c>
      <c r="F17" s="21" t="s">
        <v>19</v>
      </c>
      <c r="G17" s="17"/>
      <c r="H17" s="18"/>
      <c r="I17" s="16"/>
      <c r="J17" s="32"/>
      <c r="K17" s="15" t="s">
        <v>15</v>
      </c>
      <c r="L17" s="55"/>
      <c r="M17" s="57" t="s">
        <v>62</v>
      </c>
    </row>
    <row r="18" spans="1:13" ht="15.75" thickBot="1">
      <c r="A18" s="8">
        <v>17</v>
      </c>
      <c r="B18" s="521" t="s">
        <v>63</v>
      </c>
      <c r="C18" s="521"/>
      <c r="D18" s="19">
        <v>10635</v>
      </c>
      <c r="E18" s="56">
        <v>39386</v>
      </c>
      <c r="F18" s="21" t="s">
        <v>19</v>
      </c>
      <c r="G18" s="17"/>
      <c r="H18" s="18"/>
      <c r="I18" s="16"/>
      <c r="J18" s="32"/>
      <c r="K18" s="15"/>
      <c r="L18" s="55" t="s">
        <v>15</v>
      </c>
      <c r="M18" s="57" t="s">
        <v>62</v>
      </c>
    </row>
    <row r="19" spans="1:13" ht="15.75" thickBot="1">
      <c r="A19" s="8">
        <v>20</v>
      </c>
      <c r="B19" s="521" t="s">
        <v>61</v>
      </c>
      <c r="C19" s="521"/>
      <c r="D19" s="19">
        <v>10639</v>
      </c>
      <c r="E19" s="56">
        <v>39721</v>
      </c>
      <c r="F19" s="21" t="s">
        <v>19</v>
      </c>
      <c r="G19" s="17"/>
      <c r="H19" s="18"/>
      <c r="I19" s="16"/>
      <c r="J19" s="32"/>
      <c r="K19" s="15"/>
      <c r="L19" s="55" t="s">
        <v>15</v>
      </c>
      <c r="M19" s="57" t="s">
        <v>62</v>
      </c>
    </row>
    <row r="20" spans="1:13" ht="15.75" thickBot="1">
      <c r="A20" s="8">
        <v>21</v>
      </c>
      <c r="B20" s="521" t="s">
        <v>61</v>
      </c>
      <c r="C20" s="521"/>
      <c r="D20" s="19">
        <v>10640</v>
      </c>
      <c r="E20" s="56">
        <v>39721</v>
      </c>
      <c r="F20" s="21" t="s">
        <v>19</v>
      </c>
      <c r="G20" s="17"/>
      <c r="H20" s="18"/>
      <c r="I20" s="16"/>
      <c r="J20" s="32"/>
      <c r="K20" s="15"/>
      <c r="L20" s="55" t="s">
        <v>15</v>
      </c>
      <c r="M20" s="57" t="s">
        <v>62</v>
      </c>
    </row>
    <row r="21" spans="1:13" ht="15.75" thickBot="1">
      <c r="A21" s="8">
        <v>22</v>
      </c>
      <c r="B21" s="521" t="s">
        <v>61</v>
      </c>
      <c r="C21" s="521"/>
      <c r="D21" s="19">
        <v>10641</v>
      </c>
      <c r="E21" s="56">
        <v>39721</v>
      </c>
      <c r="F21" s="21" t="s">
        <v>19</v>
      </c>
      <c r="G21" s="17"/>
      <c r="H21" s="18"/>
      <c r="I21" s="16"/>
      <c r="J21" s="32"/>
      <c r="K21" s="15" t="s">
        <v>15</v>
      </c>
      <c r="L21" s="55"/>
      <c r="M21" s="57" t="s">
        <v>52</v>
      </c>
    </row>
    <row r="22" spans="1:13" ht="15.75" thickBot="1">
      <c r="A22" s="8">
        <v>23</v>
      </c>
      <c r="B22" s="528" t="s">
        <v>64</v>
      </c>
      <c r="C22" s="529"/>
      <c r="D22" s="19">
        <v>10658</v>
      </c>
      <c r="E22" s="56">
        <v>40117</v>
      </c>
      <c r="F22" s="21" t="s">
        <v>19</v>
      </c>
      <c r="G22" s="17"/>
      <c r="H22" s="18"/>
      <c r="I22" s="16"/>
      <c r="J22" s="32"/>
      <c r="K22" s="15"/>
      <c r="L22" s="55" t="s">
        <v>15</v>
      </c>
      <c r="M22" s="57" t="s">
        <v>65</v>
      </c>
    </row>
    <row r="23" spans="1:13" ht="15.75" thickBot="1">
      <c r="A23" s="8">
        <v>24</v>
      </c>
      <c r="B23" s="528" t="s">
        <v>64</v>
      </c>
      <c r="C23" s="529"/>
      <c r="D23" s="19">
        <v>10659</v>
      </c>
      <c r="E23" s="56">
        <v>40117</v>
      </c>
      <c r="F23" s="21" t="s">
        <v>19</v>
      </c>
      <c r="G23" s="17"/>
      <c r="H23" s="18"/>
      <c r="I23" s="16"/>
      <c r="J23" s="32"/>
      <c r="K23" s="15"/>
      <c r="L23" s="55" t="s">
        <v>15</v>
      </c>
      <c r="M23" s="57" t="s">
        <v>65</v>
      </c>
    </row>
    <row r="24" spans="1:13" ht="15.75" thickBot="1">
      <c r="A24" s="8">
        <v>25</v>
      </c>
      <c r="B24" s="528" t="s">
        <v>64</v>
      </c>
      <c r="C24" s="529"/>
      <c r="D24" s="19">
        <v>10660</v>
      </c>
      <c r="E24" s="56">
        <v>40209</v>
      </c>
      <c r="F24" s="21" t="s">
        <v>19</v>
      </c>
      <c r="G24" s="17"/>
      <c r="H24" s="18"/>
      <c r="I24" s="16"/>
      <c r="J24" s="32"/>
      <c r="K24" s="15"/>
      <c r="L24" s="55" t="s">
        <v>15</v>
      </c>
      <c r="M24" s="57" t="s">
        <v>65</v>
      </c>
    </row>
    <row r="25" spans="1:13" ht="15.75" thickBot="1">
      <c r="A25" s="8">
        <v>26</v>
      </c>
      <c r="B25" s="58" t="s">
        <v>66</v>
      </c>
      <c r="C25" s="59"/>
      <c r="D25" s="19">
        <v>10657</v>
      </c>
      <c r="E25" s="56">
        <v>39844</v>
      </c>
      <c r="F25" s="21" t="s">
        <v>14</v>
      </c>
      <c r="G25" s="17"/>
      <c r="H25" s="18"/>
      <c r="I25" s="16"/>
      <c r="J25" s="32" t="s">
        <v>15</v>
      </c>
      <c r="K25" s="15"/>
      <c r="L25" s="55"/>
      <c r="M25" s="57" t="s">
        <v>67</v>
      </c>
    </row>
    <row r="26" spans="1:13" ht="15.75" thickBot="1">
      <c r="A26" s="8">
        <v>27</v>
      </c>
      <c r="B26" s="528" t="s">
        <v>64</v>
      </c>
      <c r="C26" s="529"/>
      <c r="D26" s="19">
        <v>11901</v>
      </c>
      <c r="E26" s="56">
        <v>40209</v>
      </c>
      <c r="F26" s="21" t="s">
        <v>19</v>
      </c>
      <c r="G26" s="17"/>
      <c r="H26" s="18"/>
      <c r="I26" s="16"/>
      <c r="J26" s="32"/>
      <c r="K26" s="15"/>
      <c r="L26" s="28" t="s">
        <v>15</v>
      </c>
      <c r="M26" s="57" t="s">
        <v>65</v>
      </c>
    </row>
    <row r="27" spans="1:13" ht="15.75" thickBot="1">
      <c r="A27" s="8">
        <v>28</v>
      </c>
      <c r="B27" s="521" t="s">
        <v>61</v>
      </c>
      <c r="C27" s="521"/>
      <c r="D27" s="19">
        <v>11411</v>
      </c>
      <c r="E27" s="56">
        <v>41891</v>
      </c>
      <c r="F27" s="21" t="s">
        <v>17</v>
      </c>
      <c r="G27" s="17"/>
      <c r="H27" s="18"/>
      <c r="I27" s="16"/>
      <c r="J27" s="32"/>
      <c r="K27" s="15"/>
      <c r="L27" s="28" t="s">
        <v>15</v>
      </c>
      <c r="M27" s="57" t="s">
        <v>52</v>
      </c>
    </row>
    <row r="28" spans="1:13" ht="15.75" thickBot="1">
      <c r="A28" s="8">
        <v>29</v>
      </c>
      <c r="B28" s="521" t="s">
        <v>68</v>
      </c>
      <c r="C28" s="521"/>
      <c r="D28" s="19">
        <v>11923</v>
      </c>
      <c r="E28" s="56">
        <v>41311</v>
      </c>
      <c r="F28" s="21" t="s">
        <v>17</v>
      </c>
      <c r="G28" s="17"/>
      <c r="H28" s="18"/>
      <c r="I28" s="16"/>
      <c r="J28" s="32"/>
      <c r="K28" s="15"/>
      <c r="L28" s="28" t="s">
        <v>15</v>
      </c>
      <c r="M28" s="57" t="s">
        <v>52</v>
      </c>
    </row>
    <row r="29" spans="1:13" ht="15.75" thickBot="1">
      <c r="A29" s="8">
        <v>30</v>
      </c>
      <c r="B29" s="60" t="s">
        <v>69</v>
      </c>
      <c r="C29" s="60"/>
      <c r="D29" s="19">
        <v>11921</v>
      </c>
      <c r="E29" s="56">
        <v>41287</v>
      </c>
      <c r="F29" s="21" t="s">
        <v>19</v>
      </c>
      <c r="G29" s="17"/>
      <c r="H29" s="18"/>
      <c r="I29" s="16"/>
      <c r="J29" s="32"/>
      <c r="K29" s="15"/>
      <c r="L29" s="28" t="s">
        <v>15</v>
      </c>
      <c r="M29" s="57" t="s">
        <v>70</v>
      </c>
    </row>
    <row r="30" spans="1:13" ht="15.75" thickBot="1">
      <c r="A30" s="8">
        <v>31</v>
      </c>
      <c r="B30" s="60" t="s">
        <v>71</v>
      </c>
      <c r="C30" s="60"/>
      <c r="D30" s="19">
        <v>11916</v>
      </c>
      <c r="E30" s="56" t="s">
        <v>72</v>
      </c>
      <c r="F30" s="21" t="s">
        <v>19</v>
      </c>
      <c r="G30" s="17"/>
      <c r="H30" s="18"/>
      <c r="I30" s="16"/>
      <c r="J30" s="32"/>
      <c r="K30" s="15"/>
      <c r="L30" s="28" t="s">
        <v>15</v>
      </c>
      <c r="M30" s="57" t="s">
        <v>70</v>
      </c>
    </row>
    <row r="31" spans="1:13" ht="15.75" thickBot="1">
      <c r="A31" s="8">
        <v>32</v>
      </c>
      <c r="B31" s="521" t="s">
        <v>61</v>
      </c>
      <c r="C31" s="521"/>
      <c r="D31" s="19">
        <v>10629</v>
      </c>
      <c r="E31" s="56" t="s">
        <v>73</v>
      </c>
      <c r="F31" s="21" t="s">
        <v>19</v>
      </c>
      <c r="G31" s="17"/>
      <c r="H31" s="18"/>
      <c r="I31" s="16"/>
      <c r="J31" s="32"/>
      <c r="K31" s="15" t="s">
        <v>15</v>
      </c>
      <c r="L31" s="28"/>
      <c r="M31" s="57" t="s">
        <v>70</v>
      </c>
    </row>
    <row r="32" spans="1:13" ht="16.5" thickTop="1" thickBot="1">
      <c r="A32" s="22">
        <v>33</v>
      </c>
      <c r="B32" s="527" t="s">
        <v>49</v>
      </c>
      <c r="C32" s="527"/>
      <c r="D32" s="19">
        <v>21079</v>
      </c>
      <c r="E32" s="20">
        <v>1996</v>
      </c>
      <c r="F32" s="21" t="s">
        <v>14</v>
      </c>
      <c r="G32" s="17"/>
      <c r="H32" s="18"/>
      <c r="I32" s="16" t="s">
        <v>15</v>
      </c>
      <c r="J32" s="32"/>
      <c r="K32" s="15"/>
      <c r="L32" s="55"/>
      <c r="M32" s="57" t="s">
        <v>70</v>
      </c>
    </row>
    <row r="33" spans="1:13" ht="15.75" thickBot="1">
      <c r="A33" s="8">
        <v>34</v>
      </c>
      <c r="B33" s="528" t="s">
        <v>55</v>
      </c>
      <c r="C33" s="529"/>
      <c r="D33" s="19">
        <v>21080</v>
      </c>
      <c r="E33" s="20">
        <v>1996</v>
      </c>
      <c r="F33" s="21" t="s">
        <v>14</v>
      </c>
      <c r="G33" s="17"/>
      <c r="H33" s="18"/>
      <c r="I33" s="16" t="s">
        <v>15</v>
      </c>
      <c r="J33" s="32"/>
      <c r="K33" s="15"/>
      <c r="L33" s="28"/>
      <c r="M33" s="57" t="s">
        <v>70</v>
      </c>
    </row>
    <row r="34" spans="1:13" ht="16.5" thickTop="1" thickBot="1">
      <c r="A34" s="8">
        <v>35</v>
      </c>
      <c r="B34" s="527" t="s">
        <v>49</v>
      </c>
      <c r="C34" s="527"/>
      <c r="D34" s="19">
        <v>10484</v>
      </c>
      <c r="E34" s="56" t="s">
        <v>74</v>
      </c>
      <c r="F34" s="21" t="s">
        <v>14</v>
      </c>
      <c r="G34" s="17"/>
      <c r="H34" s="18"/>
      <c r="I34" s="16"/>
      <c r="J34" s="32" t="s">
        <v>15</v>
      </c>
      <c r="K34" s="15"/>
      <c r="L34" s="28"/>
      <c r="M34" s="57" t="s">
        <v>70</v>
      </c>
    </row>
    <row r="35" spans="1:13" ht="16.5" thickTop="1" thickBot="1">
      <c r="A35" s="8">
        <v>36</v>
      </c>
      <c r="B35" s="527" t="s">
        <v>75</v>
      </c>
      <c r="C35" s="527"/>
      <c r="D35" s="19" t="s">
        <v>76</v>
      </c>
      <c r="E35" s="20">
        <v>2016</v>
      </c>
      <c r="F35" s="21" t="s">
        <v>17</v>
      </c>
      <c r="G35" s="17"/>
      <c r="H35" s="18"/>
      <c r="I35" s="16"/>
      <c r="J35" s="32"/>
      <c r="K35" s="15"/>
      <c r="L35" s="28" t="s">
        <v>15</v>
      </c>
      <c r="M35" s="57" t="s">
        <v>77</v>
      </c>
    </row>
    <row r="36" spans="1:13" ht="15.75" customHeight="1" thickBot="1">
      <c r="B36" s="2" t="s">
        <v>38</v>
      </c>
    </row>
    <row r="37" spans="1:13" ht="15.75" thickBot="1">
      <c r="B37" s="61" t="s">
        <v>39</v>
      </c>
      <c r="F37" s="2" t="s">
        <v>37</v>
      </c>
      <c r="G37" s="9">
        <f t="shared" ref="G37:L37" si="0">COUNTA(G6:G35)</f>
        <v>1</v>
      </c>
      <c r="H37" s="10">
        <f t="shared" si="0"/>
        <v>0</v>
      </c>
      <c r="I37" s="11">
        <f t="shared" si="0"/>
        <v>6</v>
      </c>
      <c r="J37" s="62">
        <f t="shared" si="0"/>
        <v>7</v>
      </c>
      <c r="K37" s="13">
        <f t="shared" si="0"/>
        <v>4</v>
      </c>
      <c r="L37" s="14">
        <f t="shared" si="0"/>
        <v>12</v>
      </c>
    </row>
    <row r="38" spans="1:13">
      <c r="B38" s="61" t="s">
        <v>40</v>
      </c>
      <c r="C38" s="2"/>
      <c r="D38" s="2"/>
      <c r="E38" s="2"/>
      <c r="F38" s="2"/>
      <c r="G38" s="2"/>
      <c r="H38" s="2"/>
      <c r="I38" s="2"/>
      <c r="J38" s="2"/>
    </row>
    <row r="39" spans="1:13">
      <c r="B39" s="61" t="s">
        <v>41</v>
      </c>
      <c r="C39" s="61"/>
      <c r="D39" s="61"/>
      <c r="E39" s="61"/>
      <c r="F39" s="61"/>
      <c r="G39" s="61"/>
      <c r="H39" s="61"/>
      <c r="I39" s="61"/>
      <c r="J39" s="61"/>
      <c r="K39" s="63"/>
      <c r="L39" s="63"/>
      <c r="M39" s="64"/>
    </row>
    <row r="40" spans="1:13">
      <c r="B40" s="61" t="s">
        <v>78</v>
      </c>
      <c r="C40" s="63"/>
      <c r="D40" s="61"/>
      <c r="E40" s="61"/>
      <c r="F40" s="61"/>
      <c r="G40" s="61"/>
      <c r="H40" s="61"/>
      <c r="I40" s="61"/>
      <c r="J40" s="61"/>
      <c r="K40" s="63"/>
      <c r="L40" s="63"/>
      <c r="M40" s="64"/>
    </row>
    <row r="41" spans="1:13">
      <c r="C41" s="61"/>
      <c r="D41" s="61"/>
      <c r="E41" s="61"/>
      <c r="F41" s="61"/>
      <c r="G41" s="61"/>
      <c r="H41" s="61"/>
      <c r="I41" s="61"/>
      <c r="J41" s="61"/>
      <c r="K41" s="63"/>
      <c r="L41" s="63"/>
      <c r="M41" s="64"/>
    </row>
    <row r="42" spans="1:13">
      <c r="C42" s="63"/>
      <c r="D42" s="61"/>
      <c r="E42" s="61"/>
      <c r="F42" s="61"/>
      <c r="G42" s="61"/>
      <c r="H42" s="61"/>
      <c r="I42" s="61"/>
      <c r="J42" s="61"/>
      <c r="K42" s="63"/>
      <c r="L42" s="63"/>
      <c r="M42" s="64"/>
    </row>
    <row r="43" spans="1:13">
      <c r="B43" s="2"/>
      <c r="C43" s="2"/>
      <c r="D43" s="2"/>
      <c r="E43" s="2"/>
      <c r="F43" s="2"/>
      <c r="G43" s="2"/>
      <c r="H43" s="2"/>
      <c r="I43" s="2"/>
      <c r="J43" s="2"/>
    </row>
    <row r="44" spans="1:13">
      <c r="B44" s="2"/>
      <c r="D44" s="2"/>
      <c r="E44" s="2"/>
      <c r="F44" s="2"/>
      <c r="G44" s="2"/>
      <c r="H44" s="2"/>
      <c r="I44" s="2"/>
      <c r="J44" s="2"/>
    </row>
    <row r="45" spans="1:13">
      <c r="B45" s="2"/>
      <c r="C45" s="2"/>
      <c r="D45" s="2"/>
      <c r="E45" s="2"/>
      <c r="F45" s="2"/>
      <c r="G45" s="2"/>
      <c r="H45" s="2"/>
      <c r="I45" s="2"/>
      <c r="J45" s="2"/>
    </row>
    <row r="46" spans="1:13">
      <c r="B46" s="2"/>
      <c r="D46" s="2"/>
      <c r="E46" s="2"/>
      <c r="F46" s="2"/>
      <c r="G46" s="2"/>
      <c r="H46" s="2"/>
      <c r="I46" s="2"/>
      <c r="J46" s="2"/>
    </row>
  </sheetData>
  <mergeCells count="33">
    <mergeCell ref="B33:C33"/>
    <mergeCell ref="B34:C34"/>
    <mergeCell ref="B35:C35"/>
    <mergeCell ref="B24:C24"/>
    <mergeCell ref="B26:C26"/>
    <mergeCell ref="B27:C27"/>
    <mergeCell ref="B28:C28"/>
    <mergeCell ref="B31:C31"/>
    <mergeCell ref="B32:C32"/>
    <mergeCell ref="B23:C23"/>
    <mergeCell ref="B12:C12"/>
    <mergeCell ref="B13:C13"/>
    <mergeCell ref="B14:C14"/>
    <mergeCell ref="B15:C15"/>
    <mergeCell ref="B16:C16"/>
    <mergeCell ref="B17:C17"/>
    <mergeCell ref="B18:C18"/>
    <mergeCell ref="B19:C19"/>
    <mergeCell ref="B20:C20"/>
    <mergeCell ref="B21:C21"/>
    <mergeCell ref="B22:C22"/>
    <mergeCell ref="B11:C11"/>
    <mergeCell ref="B1:L2"/>
    <mergeCell ref="A4:C5"/>
    <mergeCell ref="D4:D5"/>
    <mergeCell ref="E4:E5"/>
    <mergeCell ref="F4:F5"/>
    <mergeCell ref="G4:L4"/>
    <mergeCell ref="B6:C6"/>
    <mergeCell ref="B7:C7"/>
    <mergeCell ref="B8:C8"/>
    <mergeCell ref="B9:C9"/>
    <mergeCell ref="B10:C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0"/>
  <sheetViews>
    <sheetView workbookViewId="0">
      <selection activeCell="K15" sqref="K15"/>
    </sheetView>
  </sheetViews>
  <sheetFormatPr defaultRowHeight="15"/>
  <cols>
    <col min="3" max="3" width="19.7109375" customWidth="1"/>
    <col min="5" max="5" width="14.140625" customWidth="1"/>
    <col min="13" max="13" width="29.7109375" customWidth="1"/>
  </cols>
  <sheetData>
    <row r="1" spans="1:13">
      <c r="B1" s="516" t="s">
        <v>79</v>
      </c>
      <c r="C1" s="516"/>
      <c r="D1" s="516"/>
      <c r="E1" s="516"/>
      <c r="F1" s="516"/>
      <c r="G1" s="516"/>
      <c r="H1" s="516"/>
      <c r="I1" s="516"/>
      <c r="J1" s="516"/>
      <c r="K1" s="516"/>
      <c r="L1" s="516"/>
      <c r="M1" s="48"/>
    </row>
    <row r="2" spans="1:13">
      <c r="B2" s="516"/>
      <c r="C2" s="516"/>
      <c r="D2" s="516"/>
      <c r="E2" s="516"/>
      <c r="F2" s="516"/>
      <c r="G2" s="516"/>
      <c r="H2" s="516"/>
      <c r="I2" s="516"/>
      <c r="J2" s="516"/>
      <c r="K2" s="516"/>
      <c r="L2" s="516"/>
      <c r="M2" s="48"/>
    </row>
    <row r="3" spans="1:13" ht="15.75" thickBot="1">
      <c r="M3" s="48"/>
    </row>
    <row r="4" spans="1:13" ht="17.25" thickTop="1" thickBot="1">
      <c r="A4" s="517" t="s">
        <v>1</v>
      </c>
      <c r="B4" s="517"/>
      <c r="C4" s="517"/>
      <c r="D4" s="508" t="s">
        <v>2</v>
      </c>
      <c r="E4" s="510" t="s">
        <v>3</v>
      </c>
      <c r="F4" s="512" t="s">
        <v>4</v>
      </c>
      <c r="G4" s="514" t="s">
        <v>5</v>
      </c>
      <c r="H4" s="514"/>
      <c r="I4" s="514"/>
      <c r="J4" s="514"/>
      <c r="K4" s="514"/>
      <c r="L4" s="514"/>
      <c r="M4" s="49" t="s">
        <v>45</v>
      </c>
    </row>
    <row r="5" spans="1:13" ht="17.25" thickTop="1" thickBot="1">
      <c r="A5" s="518"/>
      <c r="B5" s="518"/>
      <c r="C5" s="518"/>
      <c r="D5" s="509"/>
      <c r="E5" s="511"/>
      <c r="F5" s="513"/>
      <c r="G5" s="3" t="s">
        <v>7</v>
      </c>
      <c r="H5" s="4" t="s">
        <v>8</v>
      </c>
      <c r="I5" s="5" t="s">
        <v>9</v>
      </c>
      <c r="J5" s="6" t="s">
        <v>10</v>
      </c>
      <c r="K5" s="7" t="s">
        <v>11</v>
      </c>
      <c r="L5" s="50" t="s">
        <v>12</v>
      </c>
      <c r="M5" s="51"/>
    </row>
    <row r="6" spans="1:13" ht="31.5" thickTop="1" thickBot="1">
      <c r="A6" s="22">
        <v>1</v>
      </c>
      <c r="B6" s="527" t="s">
        <v>49</v>
      </c>
      <c r="C6" s="527"/>
      <c r="D6" s="23">
        <v>1064</v>
      </c>
      <c r="E6" s="24">
        <v>1976</v>
      </c>
      <c r="F6" s="25" t="s">
        <v>80</v>
      </c>
      <c r="G6" s="26"/>
      <c r="H6" s="27"/>
      <c r="I6" s="36" t="s">
        <v>15</v>
      </c>
      <c r="J6" s="37"/>
      <c r="K6" s="33"/>
      <c r="L6" s="53"/>
      <c r="M6" s="71" t="s">
        <v>81</v>
      </c>
    </row>
    <row r="7" spans="1:13" ht="16.5" thickTop="1" thickBot="1">
      <c r="A7" s="8">
        <v>2</v>
      </c>
      <c r="B7" s="527" t="s">
        <v>49</v>
      </c>
      <c r="C7" s="527"/>
      <c r="D7" s="19">
        <v>510</v>
      </c>
      <c r="E7" s="20">
        <v>1982</v>
      </c>
      <c r="F7" s="21" t="s">
        <v>82</v>
      </c>
      <c r="G7" s="17" t="s">
        <v>15</v>
      </c>
      <c r="H7" s="18"/>
      <c r="I7" s="16"/>
      <c r="J7" s="32"/>
      <c r="K7" s="15"/>
      <c r="L7" s="55"/>
      <c r="M7" s="71" t="s">
        <v>83</v>
      </c>
    </row>
    <row r="8" spans="1:13" ht="16.5" thickTop="1" thickBot="1">
      <c r="A8" s="8">
        <v>3</v>
      </c>
      <c r="B8" s="527" t="s">
        <v>49</v>
      </c>
      <c r="C8" s="527"/>
      <c r="D8" s="19">
        <v>6791</v>
      </c>
      <c r="E8" s="20">
        <v>1995</v>
      </c>
      <c r="F8" s="21" t="s">
        <v>80</v>
      </c>
      <c r="G8" s="17"/>
      <c r="H8" s="18"/>
      <c r="I8" s="16"/>
      <c r="J8" s="32" t="s">
        <v>15</v>
      </c>
      <c r="K8" s="15"/>
      <c r="L8" s="55"/>
      <c r="M8" s="71" t="s">
        <v>84</v>
      </c>
    </row>
    <row r="9" spans="1:13" ht="16.5" thickTop="1" thickBot="1">
      <c r="A9" s="8">
        <v>4</v>
      </c>
      <c r="B9" s="527" t="s">
        <v>49</v>
      </c>
      <c r="C9" s="527"/>
      <c r="D9" s="19">
        <v>21071</v>
      </c>
      <c r="E9" s="20">
        <v>1996</v>
      </c>
      <c r="F9" s="21" t="s">
        <v>80</v>
      </c>
      <c r="G9" s="17"/>
      <c r="H9" s="18"/>
      <c r="I9" s="16"/>
      <c r="J9" s="32" t="s">
        <v>15</v>
      </c>
      <c r="K9" s="15"/>
      <c r="L9" s="55"/>
      <c r="M9" s="71" t="s">
        <v>85</v>
      </c>
    </row>
    <row r="10" spans="1:13" ht="16.5" thickTop="1" thickBot="1">
      <c r="A10" s="8">
        <v>5</v>
      </c>
      <c r="B10" s="527" t="s">
        <v>49</v>
      </c>
      <c r="C10" s="527"/>
      <c r="D10" s="19">
        <v>10485</v>
      </c>
      <c r="E10" s="20">
        <v>2002</v>
      </c>
      <c r="F10" s="21" t="s">
        <v>80</v>
      </c>
      <c r="G10" s="17"/>
      <c r="H10" s="18"/>
      <c r="I10" s="16"/>
      <c r="J10" s="32" t="s">
        <v>15</v>
      </c>
      <c r="K10" s="15"/>
      <c r="L10" s="55"/>
      <c r="M10" s="71" t="s">
        <v>85</v>
      </c>
    </row>
    <row r="11" spans="1:13" ht="16.5" thickTop="1" thickBot="1">
      <c r="A11" s="8">
        <v>6</v>
      </c>
      <c r="B11" s="527" t="s">
        <v>49</v>
      </c>
      <c r="C11" s="527"/>
      <c r="D11" s="19">
        <v>11909</v>
      </c>
      <c r="E11" s="20">
        <v>2010</v>
      </c>
      <c r="F11" s="21" t="s">
        <v>86</v>
      </c>
      <c r="G11" s="17"/>
      <c r="H11" s="18"/>
      <c r="I11" s="16"/>
      <c r="J11" s="32"/>
      <c r="K11" s="15"/>
      <c r="L11" s="55" t="s">
        <v>15</v>
      </c>
      <c r="M11" s="71" t="s">
        <v>84</v>
      </c>
    </row>
    <row r="12" spans="1:13" ht="46.5" thickTop="1" thickBot="1">
      <c r="A12" s="8">
        <v>7</v>
      </c>
      <c r="B12" s="72" t="s">
        <v>87</v>
      </c>
      <c r="C12" s="72"/>
      <c r="D12" s="19">
        <v>10467</v>
      </c>
      <c r="E12" s="20">
        <v>1976</v>
      </c>
      <c r="F12" s="21" t="s">
        <v>47</v>
      </c>
      <c r="G12" s="17" t="s">
        <v>15</v>
      </c>
      <c r="H12" s="18"/>
      <c r="I12" s="16"/>
      <c r="J12" s="32"/>
      <c r="K12" s="15"/>
      <c r="L12" s="55"/>
      <c r="M12" s="71" t="s">
        <v>88</v>
      </c>
    </row>
    <row r="13" spans="1:13" ht="15.75" thickBot="1">
      <c r="A13" s="8">
        <v>8</v>
      </c>
      <c r="B13" s="521" t="s">
        <v>89</v>
      </c>
      <c r="C13" s="521"/>
      <c r="D13" s="19">
        <v>10620</v>
      </c>
      <c r="E13" s="20">
        <v>2000</v>
      </c>
      <c r="F13" s="21" t="s">
        <v>80</v>
      </c>
      <c r="G13" s="17"/>
      <c r="H13" s="18"/>
      <c r="I13" s="16"/>
      <c r="J13" s="32" t="s">
        <v>15</v>
      </c>
      <c r="K13" s="15"/>
      <c r="L13" s="55"/>
      <c r="M13" s="71" t="s">
        <v>90</v>
      </c>
    </row>
    <row r="14" spans="1:13" ht="16.5" thickTop="1" thickBot="1">
      <c r="A14" s="22">
        <v>9</v>
      </c>
      <c r="B14" s="521" t="s">
        <v>91</v>
      </c>
      <c r="C14" s="521"/>
      <c r="D14" s="19">
        <v>21020</v>
      </c>
      <c r="E14" s="20">
        <v>1996</v>
      </c>
      <c r="F14" s="21" t="s">
        <v>80</v>
      </c>
      <c r="G14" s="17"/>
      <c r="H14" s="18"/>
      <c r="I14" s="16"/>
      <c r="J14" s="32" t="s">
        <v>15</v>
      </c>
      <c r="K14" s="15"/>
      <c r="L14" s="55"/>
      <c r="M14" s="71" t="s">
        <v>92</v>
      </c>
    </row>
    <row r="15" spans="1:13" ht="16.5" thickTop="1" thickBot="1">
      <c r="A15" s="22">
        <v>10</v>
      </c>
      <c r="B15" s="521" t="s">
        <v>61</v>
      </c>
      <c r="C15" s="521"/>
      <c r="D15" s="19">
        <v>10637</v>
      </c>
      <c r="E15" s="56">
        <v>39447</v>
      </c>
      <c r="F15" s="21" t="s">
        <v>19</v>
      </c>
      <c r="G15" s="17"/>
      <c r="H15" s="18"/>
      <c r="I15" s="16"/>
      <c r="J15" s="32"/>
      <c r="K15" s="15" t="s">
        <v>15</v>
      </c>
      <c r="L15" s="55"/>
      <c r="M15" s="71" t="s">
        <v>92</v>
      </c>
    </row>
    <row r="16" spans="1:13" ht="15.75" thickBot="1">
      <c r="A16" s="8">
        <v>11</v>
      </c>
      <c r="B16" s="521" t="s">
        <v>61</v>
      </c>
      <c r="C16" s="521"/>
      <c r="D16" s="19">
        <v>10638</v>
      </c>
      <c r="E16" s="56">
        <v>39447</v>
      </c>
      <c r="F16" s="21" t="s">
        <v>19</v>
      </c>
      <c r="G16" s="17"/>
      <c r="H16" s="18"/>
      <c r="I16" s="16"/>
      <c r="J16" s="32"/>
      <c r="K16" s="15" t="s">
        <v>15</v>
      </c>
      <c r="L16" s="55"/>
      <c r="M16" s="71" t="s">
        <v>92</v>
      </c>
    </row>
    <row r="17" spans="1:13" ht="16.5" thickTop="1" thickBot="1">
      <c r="A17" s="22">
        <v>12</v>
      </c>
      <c r="B17" s="527" t="s">
        <v>49</v>
      </c>
      <c r="C17" s="527"/>
      <c r="D17" s="19">
        <v>11924</v>
      </c>
      <c r="E17" s="56">
        <v>41456</v>
      </c>
      <c r="F17" s="21" t="s">
        <v>17</v>
      </c>
      <c r="G17" s="17"/>
      <c r="H17" s="18"/>
      <c r="I17" s="16"/>
      <c r="J17" s="32"/>
      <c r="K17" s="15"/>
      <c r="L17" s="55" t="s">
        <v>15</v>
      </c>
      <c r="M17" s="71" t="s">
        <v>90</v>
      </c>
    </row>
    <row r="18" spans="1:13" ht="16.5" thickTop="1" thickBot="1">
      <c r="A18" s="8">
        <v>13</v>
      </c>
      <c r="B18" s="527" t="s">
        <v>49</v>
      </c>
      <c r="C18" s="527"/>
      <c r="D18" s="19">
        <v>11471</v>
      </c>
      <c r="E18" s="56">
        <v>42370</v>
      </c>
      <c r="F18" s="21" t="s">
        <v>17</v>
      </c>
      <c r="G18" s="17"/>
      <c r="H18" s="18"/>
      <c r="I18" s="16"/>
      <c r="J18" s="32"/>
      <c r="K18" s="15"/>
      <c r="L18" s="55" t="s">
        <v>15</v>
      </c>
      <c r="M18" s="71" t="s">
        <v>90</v>
      </c>
    </row>
    <row r="19" spans="1:13" ht="15.75" thickBot="1">
      <c r="A19" s="73"/>
      <c r="M19" s="48"/>
    </row>
    <row r="20" spans="1:13" ht="15.75" thickBot="1">
      <c r="M20" s="48"/>
    </row>
    <row r="21" spans="1:13" ht="15.75" thickBot="1">
      <c r="F21" s="2" t="s">
        <v>37</v>
      </c>
      <c r="G21" s="9">
        <f t="shared" ref="G21:L21" si="0">COUNTA(G6:G18)</f>
        <v>2</v>
      </c>
      <c r="H21" s="10">
        <f t="shared" si="0"/>
        <v>0</v>
      </c>
      <c r="I21" s="11">
        <f t="shared" si="0"/>
        <v>1</v>
      </c>
      <c r="J21" s="62">
        <f t="shared" si="0"/>
        <v>5</v>
      </c>
      <c r="K21" s="13">
        <f t="shared" si="0"/>
        <v>2</v>
      </c>
      <c r="L21" s="14">
        <f t="shared" si="0"/>
        <v>3</v>
      </c>
      <c r="M21" s="48"/>
    </row>
    <row r="22" spans="1:13">
      <c r="B22" s="2" t="s">
        <v>38</v>
      </c>
      <c r="C22" s="2"/>
      <c r="D22" s="2"/>
      <c r="E22" s="2"/>
      <c r="F22" s="2"/>
      <c r="G22" s="2"/>
      <c r="H22" s="2"/>
      <c r="I22" s="2"/>
      <c r="J22" s="2"/>
      <c r="M22" s="48"/>
    </row>
    <row r="23" spans="1:13">
      <c r="B23" s="2"/>
      <c r="C23" s="2"/>
      <c r="D23" s="2"/>
      <c r="E23" s="2"/>
      <c r="F23" s="2"/>
      <c r="G23" s="2"/>
      <c r="H23" s="2"/>
      <c r="I23" s="2"/>
      <c r="J23" s="2"/>
      <c r="M23" s="48"/>
    </row>
    <row r="24" spans="1:13">
      <c r="B24" s="2"/>
      <c r="C24" s="2" t="s">
        <v>39</v>
      </c>
      <c r="D24" s="2"/>
      <c r="E24" s="2"/>
      <c r="F24" s="2"/>
      <c r="G24" s="2"/>
      <c r="H24" s="2"/>
      <c r="I24" s="2"/>
      <c r="J24" s="2"/>
      <c r="M24" s="48"/>
    </row>
    <row r="25" spans="1:13">
      <c r="B25" s="2"/>
      <c r="C25" s="2"/>
      <c r="D25" s="2"/>
      <c r="E25" s="2"/>
      <c r="F25" s="2"/>
      <c r="G25" s="2"/>
      <c r="H25" s="2"/>
      <c r="I25" s="2"/>
      <c r="J25" s="2"/>
      <c r="M25" s="48"/>
    </row>
    <row r="26" spans="1:13">
      <c r="B26" s="2"/>
      <c r="C26" s="2" t="s">
        <v>40</v>
      </c>
      <c r="D26" s="2"/>
      <c r="E26" s="2"/>
      <c r="F26" s="2"/>
      <c r="G26" s="2"/>
      <c r="H26" s="2"/>
      <c r="I26" s="2"/>
      <c r="J26" s="2"/>
      <c r="M26" s="48"/>
    </row>
    <row r="27" spans="1:13">
      <c r="B27" s="2"/>
      <c r="C27" s="2"/>
      <c r="D27" s="2"/>
      <c r="E27" s="2"/>
      <c r="F27" s="2"/>
      <c r="G27" s="2"/>
      <c r="H27" s="2"/>
      <c r="I27" s="2"/>
      <c r="J27" s="2"/>
      <c r="M27" s="48"/>
    </row>
    <row r="28" spans="1:13">
      <c r="B28" s="2"/>
      <c r="C28" s="2" t="s">
        <v>41</v>
      </c>
      <c r="D28" s="2"/>
      <c r="E28" s="2"/>
      <c r="F28" s="2"/>
      <c r="G28" s="2"/>
      <c r="H28" s="2"/>
      <c r="I28" s="2"/>
      <c r="J28" s="2"/>
      <c r="M28" s="48"/>
    </row>
    <row r="29" spans="1:13">
      <c r="B29" s="2"/>
      <c r="C29" s="2"/>
      <c r="D29" s="2"/>
      <c r="E29" s="2"/>
      <c r="F29" s="2"/>
      <c r="G29" s="2"/>
      <c r="H29" s="2"/>
      <c r="I29" s="2"/>
      <c r="J29" s="2"/>
      <c r="M29" s="48"/>
    </row>
    <row r="30" spans="1:13">
      <c r="B30" s="2"/>
      <c r="C30" s="2" t="s">
        <v>42</v>
      </c>
      <c r="D30" s="2"/>
      <c r="E30" s="2"/>
      <c r="F30" s="2"/>
      <c r="G30" s="2"/>
      <c r="H30" s="2"/>
      <c r="I30" s="2"/>
      <c r="J30" s="2"/>
      <c r="M30" s="48"/>
    </row>
  </sheetData>
  <mergeCells count="18">
    <mergeCell ref="B18:C18"/>
    <mergeCell ref="B6:C6"/>
    <mergeCell ref="B7:C7"/>
    <mergeCell ref="B8:C8"/>
    <mergeCell ref="B9:C9"/>
    <mergeCell ref="B10:C10"/>
    <mergeCell ref="B11:C11"/>
    <mergeCell ref="B13:C13"/>
    <mergeCell ref="B14:C14"/>
    <mergeCell ref="B15:C15"/>
    <mergeCell ref="B16:C16"/>
    <mergeCell ref="B17:C17"/>
    <mergeCell ref="B1:L2"/>
    <mergeCell ref="A4:C5"/>
    <mergeCell ref="D4:D5"/>
    <mergeCell ref="E4:E5"/>
    <mergeCell ref="F4:F5"/>
    <mergeCell ref="G4:L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035F1-719F-4082-A663-07029E98A6B1}">
  <sheetPr>
    <tabColor theme="0" tint="-0.249977111117893"/>
  </sheetPr>
  <dimension ref="B3:K18"/>
  <sheetViews>
    <sheetView workbookViewId="0">
      <selection activeCell="D28" sqref="D28"/>
    </sheetView>
  </sheetViews>
  <sheetFormatPr defaultRowHeight="15"/>
  <sheetData>
    <row r="3" spans="2:11">
      <c r="B3" s="108" t="s">
        <v>38</v>
      </c>
    </row>
    <row r="4" spans="2:11">
      <c r="B4" s="2" t="s">
        <v>39</v>
      </c>
    </row>
    <row r="5" spans="2:11">
      <c r="B5" s="2" t="s">
        <v>40</v>
      </c>
    </row>
    <row r="6" spans="2:11">
      <c r="B6" s="2" t="s">
        <v>41</v>
      </c>
    </row>
    <row r="7" spans="2:11">
      <c r="B7" s="2" t="s">
        <v>42</v>
      </c>
    </row>
    <row r="9" spans="2:11">
      <c r="B9" s="2" t="s">
        <v>93</v>
      </c>
    </row>
    <row r="14" spans="2:11">
      <c r="B14" s="112" t="s">
        <v>94</v>
      </c>
      <c r="C14" s="112"/>
      <c r="D14" s="112"/>
      <c r="E14" s="112"/>
      <c r="F14" s="112"/>
      <c r="G14" s="112"/>
      <c r="H14" s="112"/>
      <c r="I14" s="112"/>
      <c r="J14" s="112"/>
    </row>
    <row r="16" spans="2:11">
      <c r="B16" s="113" t="s">
        <v>95</v>
      </c>
      <c r="C16" s="113"/>
      <c r="D16" s="113"/>
      <c r="E16" s="113"/>
      <c r="F16" s="113"/>
      <c r="G16" s="113"/>
      <c r="H16" s="113"/>
      <c r="I16" s="113"/>
      <c r="J16" s="113"/>
      <c r="K16" s="113"/>
    </row>
    <row r="18" spans="2:2">
      <c r="B18" s="114" t="s">
        <v>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F05B7-143E-4E6C-BB28-7F79EEC08B18}">
  <dimension ref="A1"/>
  <sheetViews>
    <sheetView workbookViewId="0"/>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D21B4-CE35-4D1E-9184-AAD52320795A}">
  <sheetPr>
    <tabColor rgb="FFC00000"/>
    <pageSetUpPr fitToPage="1"/>
  </sheetPr>
  <dimension ref="A1:Q162"/>
  <sheetViews>
    <sheetView zoomScale="110" zoomScaleNormal="110" workbookViewId="0">
      <pane ySplit="4" topLeftCell="A127" activePane="bottomLeft" state="frozen"/>
      <selection pane="bottomLeft" activeCell="L147" sqref="L147"/>
    </sheetView>
  </sheetViews>
  <sheetFormatPr defaultRowHeight="15"/>
  <cols>
    <col min="1" max="1" width="8.42578125" bestFit="1" customWidth="1"/>
    <col min="2" max="2" width="6.28515625" bestFit="1" customWidth="1"/>
    <col min="3" max="3" width="20.7109375" customWidth="1"/>
    <col min="4" max="4" width="54.28515625" customWidth="1"/>
    <col min="5" max="5" width="12.42578125" customWidth="1"/>
    <col min="6" max="6" width="10.140625" customWidth="1"/>
    <col min="7" max="7" width="12.28515625" customWidth="1"/>
    <col min="8" max="8" width="10.28515625" customWidth="1"/>
    <col min="9" max="9" width="7.28515625" customWidth="1"/>
    <col min="10" max="10" width="11.140625" customWidth="1"/>
    <col min="11" max="13" width="13" bestFit="1" customWidth="1"/>
    <col min="14" max="14" width="12.42578125" bestFit="1" customWidth="1"/>
    <col min="15" max="15" width="13" bestFit="1" customWidth="1"/>
    <col min="16" max="16" width="12.28515625" bestFit="1" customWidth="1"/>
    <col min="17" max="17" width="40.5703125" customWidth="1"/>
  </cols>
  <sheetData>
    <row r="1" spans="1:17" ht="18.75">
      <c r="A1" s="89"/>
      <c r="B1" s="89"/>
      <c r="C1" s="89"/>
      <c r="D1" s="90" t="s">
        <v>97</v>
      </c>
      <c r="E1" s="90"/>
      <c r="F1" s="90"/>
      <c r="G1" s="90"/>
      <c r="H1" s="90"/>
      <c r="I1" s="90"/>
      <c r="J1" s="90"/>
      <c r="K1" s="91"/>
      <c r="L1" s="91"/>
      <c r="M1" s="91"/>
      <c r="N1" s="91"/>
      <c r="O1" s="91"/>
      <c r="P1" s="91"/>
      <c r="Q1" s="92"/>
    </row>
    <row r="2" spans="1:17" ht="18.75">
      <c r="A2" s="89"/>
      <c r="B2" s="89"/>
      <c r="C2" s="89"/>
      <c r="D2" s="90"/>
      <c r="E2" s="90"/>
      <c r="F2" s="90"/>
      <c r="G2" s="89"/>
      <c r="H2" s="89"/>
      <c r="I2" s="89"/>
      <c r="J2" s="93" t="s">
        <v>37</v>
      </c>
      <c r="K2" s="81">
        <f>COUNTA(K5:K520)</f>
        <v>3</v>
      </c>
      <c r="L2" s="82">
        <f t="shared" ref="L2:P2" si="0">COUNTA(L5:L520)</f>
        <v>8</v>
      </c>
      <c r="M2" s="83">
        <f t="shared" si="0"/>
        <v>13</v>
      </c>
      <c r="N2" s="84">
        <f t="shared" si="0"/>
        <v>8</v>
      </c>
      <c r="O2" s="85">
        <f t="shared" si="0"/>
        <v>4</v>
      </c>
      <c r="P2" s="86">
        <f t="shared" si="0"/>
        <v>85</v>
      </c>
      <c r="Q2" s="92"/>
    </row>
    <row r="3" spans="1:17">
      <c r="A3" s="89"/>
      <c r="B3" s="89"/>
      <c r="C3" s="89"/>
      <c r="D3" s="89"/>
      <c r="E3" s="89"/>
      <c r="F3" s="89"/>
      <c r="G3" s="89"/>
      <c r="H3" s="89"/>
      <c r="I3" s="89"/>
      <c r="J3" s="89"/>
      <c r="K3" s="94"/>
      <c r="L3" s="94"/>
      <c r="M3" s="94"/>
      <c r="N3" s="94"/>
      <c r="O3" s="94"/>
      <c r="P3" s="94"/>
      <c r="Q3" s="92"/>
    </row>
    <row r="4" spans="1:17" ht="15.75">
      <c r="A4" s="107" t="s">
        <v>98</v>
      </c>
      <c r="B4" s="107" t="s">
        <v>99</v>
      </c>
      <c r="C4" s="107" t="s">
        <v>100</v>
      </c>
      <c r="D4" s="95" t="s">
        <v>101</v>
      </c>
      <c r="E4" s="95" t="s">
        <v>102</v>
      </c>
      <c r="F4" s="96" t="s">
        <v>103</v>
      </c>
      <c r="G4" s="97" t="s">
        <v>3</v>
      </c>
      <c r="H4" s="98" t="s">
        <v>4</v>
      </c>
      <c r="I4" s="98" t="s">
        <v>104</v>
      </c>
      <c r="J4" s="98" t="s">
        <v>105</v>
      </c>
      <c r="K4" s="99" t="s">
        <v>106</v>
      </c>
      <c r="L4" s="100" t="s">
        <v>107</v>
      </c>
      <c r="M4" s="101" t="s">
        <v>108</v>
      </c>
      <c r="N4" s="102" t="s">
        <v>109</v>
      </c>
      <c r="O4" s="103" t="s">
        <v>110</v>
      </c>
      <c r="P4" s="104" t="s">
        <v>111</v>
      </c>
      <c r="Q4" s="75" t="s">
        <v>45</v>
      </c>
    </row>
    <row r="5" spans="1:17">
      <c r="A5" s="76" t="s">
        <v>112</v>
      </c>
      <c r="B5" s="76">
        <v>1</v>
      </c>
      <c r="C5" s="76" t="s">
        <v>113</v>
      </c>
      <c r="D5" s="77" t="s">
        <v>114</v>
      </c>
      <c r="E5" s="77"/>
      <c r="F5" s="78">
        <v>11113</v>
      </c>
      <c r="G5" s="79">
        <v>2010</v>
      </c>
      <c r="H5" s="80" t="s">
        <v>14</v>
      </c>
      <c r="I5" s="80" t="s">
        <v>115</v>
      </c>
      <c r="J5" s="80" t="s">
        <v>116</v>
      </c>
      <c r="K5" s="81"/>
      <c r="L5" s="82" t="s">
        <v>117</v>
      </c>
      <c r="M5" s="83"/>
      <c r="N5" s="84"/>
      <c r="O5" s="85"/>
      <c r="P5" s="86"/>
      <c r="Q5" s="47" t="s">
        <v>118</v>
      </c>
    </row>
    <row r="6" spans="1:17">
      <c r="A6" s="76" t="s">
        <v>112</v>
      </c>
      <c r="B6" s="76">
        <v>2</v>
      </c>
      <c r="C6" s="76" t="s">
        <v>113</v>
      </c>
      <c r="D6" s="77" t="s">
        <v>119</v>
      </c>
      <c r="E6" s="77"/>
      <c r="F6" s="78">
        <v>11114</v>
      </c>
      <c r="G6" s="79">
        <v>2008</v>
      </c>
      <c r="H6" s="80" t="s">
        <v>14</v>
      </c>
      <c r="I6" s="80" t="s">
        <v>115</v>
      </c>
      <c r="J6" s="80" t="s">
        <v>116</v>
      </c>
      <c r="K6" s="81"/>
      <c r="L6" s="82"/>
      <c r="M6" s="83" t="s">
        <v>117</v>
      </c>
      <c r="N6" s="84"/>
      <c r="O6" s="85"/>
      <c r="P6" s="86"/>
    </row>
    <row r="7" spans="1:17">
      <c r="A7" s="76" t="s">
        <v>112</v>
      </c>
      <c r="B7" s="76">
        <v>3</v>
      </c>
      <c r="C7" s="76" t="s">
        <v>113</v>
      </c>
      <c r="D7" s="77" t="s">
        <v>120</v>
      </c>
      <c r="E7" s="77"/>
      <c r="F7" s="78">
        <v>11116</v>
      </c>
      <c r="G7" s="79">
        <v>2017</v>
      </c>
      <c r="H7" s="80" t="s">
        <v>19</v>
      </c>
      <c r="I7" s="80" t="s">
        <v>115</v>
      </c>
      <c r="J7" s="80" t="s">
        <v>116</v>
      </c>
      <c r="K7" s="81"/>
      <c r="L7" s="82"/>
      <c r="M7" s="83"/>
      <c r="N7" s="84"/>
      <c r="O7" s="85" t="s">
        <v>117</v>
      </c>
      <c r="P7" s="86"/>
      <c r="Q7" s="47"/>
    </row>
    <row r="8" spans="1:17">
      <c r="A8" s="76" t="s">
        <v>112</v>
      </c>
      <c r="B8" s="76">
        <v>4</v>
      </c>
      <c r="C8" s="76" t="s">
        <v>113</v>
      </c>
      <c r="D8" s="77" t="s">
        <v>121</v>
      </c>
      <c r="E8" s="77"/>
      <c r="F8" s="78">
        <v>11117</v>
      </c>
      <c r="G8" s="79"/>
      <c r="H8" s="80" t="s">
        <v>19</v>
      </c>
      <c r="I8" s="80" t="s">
        <v>115</v>
      </c>
      <c r="J8" s="80" t="s">
        <v>116</v>
      </c>
      <c r="K8" s="81"/>
      <c r="L8" s="82"/>
      <c r="M8" s="83"/>
      <c r="N8" s="84" t="s">
        <v>117</v>
      </c>
      <c r="O8" s="85"/>
      <c r="P8" s="86"/>
      <c r="Q8" s="47"/>
    </row>
    <row r="9" spans="1:17">
      <c r="A9" s="76" t="s">
        <v>112</v>
      </c>
      <c r="B9" s="76">
        <v>12</v>
      </c>
      <c r="C9" s="76" t="s">
        <v>113</v>
      </c>
      <c r="D9" s="77" t="s">
        <v>122</v>
      </c>
      <c r="E9" s="77"/>
      <c r="F9" s="78">
        <v>11152</v>
      </c>
      <c r="G9" s="79"/>
      <c r="H9" s="80" t="s">
        <v>19</v>
      </c>
      <c r="I9" s="80" t="s">
        <v>115</v>
      </c>
      <c r="J9" s="80" t="s">
        <v>116</v>
      </c>
      <c r="K9" s="81"/>
      <c r="L9" s="82"/>
      <c r="M9" s="83"/>
      <c r="N9" s="84"/>
      <c r="O9" s="85"/>
      <c r="P9" s="86"/>
      <c r="Q9" s="47" t="s">
        <v>123</v>
      </c>
    </row>
    <row r="10" spans="1:17">
      <c r="A10" s="76" t="s">
        <v>112</v>
      </c>
      <c r="B10" s="76">
        <v>144</v>
      </c>
      <c r="C10" s="76" t="s">
        <v>113</v>
      </c>
      <c r="D10" s="77" t="s">
        <v>124</v>
      </c>
      <c r="E10" s="77"/>
      <c r="F10" s="78">
        <v>11156</v>
      </c>
      <c r="G10" s="79" t="s">
        <v>125</v>
      </c>
      <c r="H10" s="80" t="s">
        <v>14</v>
      </c>
      <c r="I10" s="80" t="s">
        <v>115</v>
      </c>
      <c r="J10" s="80"/>
      <c r="K10" s="81"/>
      <c r="L10" s="82"/>
      <c r="M10" s="83"/>
      <c r="N10" s="84"/>
      <c r="O10" s="85"/>
      <c r="P10" s="86"/>
      <c r="Q10" s="47"/>
    </row>
    <row r="11" spans="1:17">
      <c r="A11" s="76" t="s">
        <v>112</v>
      </c>
      <c r="B11" s="76">
        <v>5</v>
      </c>
      <c r="C11" s="76" t="s">
        <v>113</v>
      </c>
      <c r="D11" s="77" t="s">
        <v>122</v>
      </c>
      <c r="E11" s="77"/>
      <c r="F11" s="78">
        <v>11184</v>
      </c>
      <c r="G11" s="79"/>
      <c r="H11" s="80" t="s">
        <v>19</v>
      </c>
      <c r="I11" s="80" t="s">
        <v>115</v>
      </c>
      <c r="J11" s="80" t="s">
        <v>116</v>
      </c>
      <c r="K11" s="81"/>
      <c r="L11" s="82"/>
      <c r="M11" s="83"/>
      <c r="N11" s="84"/>
      <c r="O11" s="85"/>
      <c r="P11" s="86"/>
      <c r="Q11" s="47" t="s">
        <v>123</v>
      </c>
    </row>
    <row r="12" spans="1:17">
      <c r="A12" s="76" t="s">
        <v>112</v>
      </c>
      <c r="B12" s="76">
        <v>6</v>
      </c>
      <c r="C12" s="76" t="s">
        <v>113</v>
      </c>
      <c r="D12" s="77" t="s">
        <v>126</v>
      </c>
      <c r="E12" s="77"/>
      <c r="F12" s="78">
        <v>11186</v>
      </c>
      <c r="G12" s="79"/>
      <c r="H12" s="80" t="s">
        <v>14</v>
      </c>
      <c r="I12" s="80" t="s">
        <v>115</v>
      </c>
      <c r="J12" s="80" t="s">
        <v>116</v>
      </c>
      <c r="K12" s="81"/>
      <c r="L12" s="82"/>
      <c r="M12" s="83" t="s">
        <v>117</v>
      </c>
      <c r="N12" s="84"/>
      <c r="O12" s="85"/>
      <c r="P12" s="86" t="s">
        <v>117</v>
      </c>
      <c r="Q12" s="47"/>
    </row>
    <row r="13" spans="1:17">
      <c r="A13" s="76" t="s">
        <v>112</v>
      </c>
      <c r="B13" s="76">
        <v>7</v>
      </c>
      <c r="C13" s="76" t="s">
        <v>113</v>
      </c>
      <c r="D13" s="77" t="s">
        <v>127</v>
      </c>
      <c r="E13" s="77"/>
      <c r="F13" s="78">
        <v>11187</v>
      </c>
      <c r="G13" s="79">
        <v>2017</v>
      </c>
      <c r="H13" s="80" t="s">
        <v>17</v>
      </c>
      <c r="I13" s="80" t="s">
        <v>115</v>
      </c>
      <c r="J13" s="80"/>
      <c r="K13" s="81"/>
      <c r="L13" s="82"/>
      <c r="M13" s="83"/>
      <c r="N13" s="84"/>
      <c r="O13" s="85"/>
      <c r="P13" s="86" t="s">
        <v>117</v>
      </c>
      <c r="Q13" s="47" t="s">
        <v>128</v>
      </c>
    </row>
    <row r="14" spans="1:17">
      <c r="A14" s="76" t="s">
        <v>112</v>
      </c>
      <c r="B14" s="76">
        <v>8</v>
      </c>
      <c r="C14" s="76" t="s">
        <v>113</v>
      </c>
      <c r="D14" s="77" t="s">
        <v>129</v>
      </c>
      <c r="E14" s="77"/>
      <c r="F14" s="78">
        <v>11188</v>
      </c>
      <c r="G14" s="79"/>
      <c r="H14" s="80" t="s">
        <v>19</v>
      </c>
      <c r="I14" s="80" t="s">
        <v>115</v>
      </c>
      <c r="J14" s="80"/>
      <c r="K14" s="81"/>
      <c r="L14" s="82"/>
      <c r="M14" s="83"/>
      <c r="N14" s="84"/>
      <c r="O14" s="85"/>
      <c r="P14" s="86" t="s">
        <v>117</v>
      </c>
      <c r="Q14" s="47"/>
    </row>
    <row r="15" spans="1:17">
      <c r="A15" s="76" t="s">
        <v>112</v>
      </c>
      <c r="B15" s="76">
        <v>9</v>
      </c>
      <c r="C15" s="76" t="s">
        <v>130</v>
      </c>
      <c r="D15" s="77" t="s">
        <v>131</v>
      </c>
      <c r="E15" s="77"/>
      <c r="F15" s="78">
        <v>11193</v>
      </c>
      <c r="G15" s="194"/>
      <c r="H15" s="80" t="s">
        <v>14</v>
      </c>
      <c r="I15" s="80" t="s">
        <v>115</v>
      </c>
      <c r="J15" s="80" t="s">
        <v>116</v>
      </c>
      <c r="K15" s="81" t="s">
        <v>117</v>
      </c>
      <c r="L15" s="82"/>
      <c r="M15" s="83"/>
      <c r="N15" s="84"/>
      <c r="O15" s="85"/>
      <c r="P15" s="86"/>
      <c r="Q15" s="47" t="s">
        <v>132</v>
      </c>
    </row>
    <row r="16" spans="1:17" s="151" customFormat="1">
      <c r="A16" s="130" t="s">
        <v>112</v>
      </c>
      <c r="B16" s="130">
        <v>10</v>
      </c>
      <c r="C16" s="130" t="s">
        <v>130</v>
      </c>
      <c r="D16" s="131" t="s">
        <v>131</v>
      </c>
      <c r="E16" s="131"/>
      <c r="F16" s="132">
        <v>11194</v>
      </c>
      <c r="G16" s="269" t="s">
        <v>133</v>
      </c>
      <c r="H16" s="134" t="s">
        <v>14</v>
      </c>
      <c r="I16" s="134" t="s">
        <v>134</v>
      </c>
      <c r="J16" s="134" t="s">
        <v>116</v>
      </c>
      <c r="K16" s="135"/>
      <c r="L16" s="136"/>
      <c r="M16" s="137"/>
      <c r="N16" s="138"/>
      <c r="O16" s="139"/>
      <c r="P16" s="140"/>
      <c r="Q16" s="141"/>
    </row>
    <row r="17" spans="1:17">
      <c r="A17" s="76" t="s">
        <v>112</v>
      </c>
      <c r="B17" s="76">
        <v>11</v>
      </c>
      <c r="C17" s="76" t="s">
        <v>135</v>
      </c>
      <c r="D17" s="77" t="s">
        <v>136</v>
      </c>
      <c r="E17" s="77"/>
      <c r="F17" s="78">
        <v>11196</v>
      </c>
      <c r="G17" s="79">
        <v>2019</v>
      </c>
      <c r="H17" s="80" t="s">
        <v>17</v>
      </c>
      <c r="I17" s="80" t="s">
        <v>115</v>
      </c>
      <c r="J17" s="80" t="s">
        <v>116</v>
      </c>
      <c r="K17" s="81"/>
      <c r="L17" s="82"/>
      <c r="M17" s="83"/>
      <c r="N17" s="84"/>
      <c r="O17" s="85"/>
      <c r="P17" s="86" t="s">
        <v>117</v>
      </c>
      <c r="Q17" s="47"/>
    </row>
    <row r="18" spans="1:17">
      <c r="A18" s="76" t="s">
        <v>112</v>
      </c>
      <c r="B18" s="76">
        <v>13</v>
      </c>
      <c r="C18" s="76" t="s">
        <v>130</v>
      </c>
      <c r="D18" s="77" t="s">
        <v>137</v>
      </c>
      <c r="E18" s="77" t="s">
        <v>138</v>
      </c>
      <c r="F18" s="78">
        <v>11201</v>
      </c>
      <c r="G18" s="79">
        <v>2009</v>
      </c>
      <c r="H18" s="80" t="s">
        <v>19</v>
      </c>
      <c r="I18" s="80" t="s">
        <v>115</v>
      </c>
      <c r="J18" s="80" t="s">
        <v>116</v>
      </c>
      <c r="K18" s="81"/>
      <c r="L18" s="82"/>
      <c r="M18" s="83"/>
      <c r="N18" s="84"/>
      <c r="O18" s="85"/>
      <c r="P18" s="86"/>
      <c r="Q18" s="47"/>
    </row>
    <row r="19" spans="1:17">
      <c r="A19" s="76" t="s">
        <v>112</v>
      </c>
      <c r="B19" s="76">
        <v>14</v>
      </c>
      <c r="C19" s="76" t="s">
        <v>130</v>
      </c>
      <c r="D19" s="77" t="s">
        <v>137</v>
      </c>
      <c r="E19" s="77"/>
      <c r="F19" s="78">
        <v>11203</v>
      </c>
      <c r="G19" s="79">
        <v>2009</v>
      </c>
      <c r="H19" s="80" t="s">
        <v>19</v>
      </c>
      <c r="I19" s="80" t="s">
        <v>115</v>
      </c>
      <c r="J19" s="80" t="s">
        <v>116</v>
      </c>
      <c r="K19" s="81"/>
      <c r="L19" s="82"/>
      <c r="M19" s="83"/>
      <c r="N19" s="84"/>
      <c r="O19" s="85"/>
      <c r="P19" s="86"/>
      <c r="Q19" s="47"/>
    </row>
    <row r="20" spans="1:17">
      <c r="A20" s="76" t="s">
        <v>112</v>
      </c>
      <c r="B20" s="76">
        <v>15</v>
      </c>
      <c r="C20" s="76" t="s">
        <v>113</v>
      </c>
      <c r="D20" s="77" t="s">
        <v>139</v>
      </c>
      <c r="E20" s="77"/>
      <c r="F20" s="78">
        <v>11204</v>
      </c>
      <c r="G20" s="79">
        <v>2009</v>
      </c>
      <c r="H20" s="80" t="s">
        <v>14</v>
      </c>
      <c r="I20" s="80" t="s">
        <v>115</v>
      </c>
      <c r="J20" s="80" t="s">
        <v>116</v>
      </c>
      <c r="K20" s="81"/>
      <c r="L20" s="82"/>
      <c r="M20" s="83" t="s">
        <v>117</v>
      </c>
      <c r="N20" s="84"/>
      <c r="O20" s="85"/>
      <c r="P20" s="86"/>
      <c r="Q20" s="47" t="s">
        <v>140</v>
      </c>
    </row>
    <row r="21" spans="1:17">
      <c r="A21" s="76" t="s">
        <v>112</v>
      </c>
      <c r="B21" s="76">
        <v>16</v>
      </c>
      <c r="C21" s="76" t="s">
        <v>113</v>
      </c>
      <c r="D21" s="77" t="s">
        <v>141</v>
      </c>
      <c r="E21" s="77"/>
      <c r="F21" s="78">
        <v>11206</v>
      </c>
      <c r="G21" s="79">
        <v>2009</v>
      </c>
      <c r="H21" s="80"/>
      <c r="I21" s="80"/>
      <c r="J21" s="80"/>
      <c r="K21" s="81"/>
      <c r="L21" s="82"/>
      <c r="M21" s="83"/>
      <c r="N21" s="84"/>
      <c r="O21" s="85"/>
      <c r="P21" s="86"/>
      <c r="Q21" s="47"/>
    </row>
    <row r="22" spans="1:17">
      <c r="A22" s="130" t="s">
        <v>112</v>
      </c>
      <c r="B22" s="130">
        <v>17</v>
      </c>
      <c r="C22" s="130" t="s">
        <v>113</v>
      </c>
      <c r="D22" s="131" t="s">
        <v>142</v>
      </c>
      <c r="E22" s="131"/>
      <c r="F22" s="132">
        <v>11207</v>
      </c>
      <c r="G22" s="133">
        <v>2010</v>
      </c>
      <c r="H22" s="134" t="s">
        <v>14</v>
      </c>
      <c r="I22" s="134" t="s">
        <v>134</v>
      </c>
      <c r="J22" s="134" t="s">
        <v>116</v>
      </c>
      <c r="K22" s="135"/>
      <c r="L22" s="136"/>
      <c r="M22" s="137"/>
      <c r="N22" s="138"/>
      <c r="O22" s="139"/>
      <c r="P22" s="140"/>
      <c r="Q22" s="47"/>
    </row>
    <row r="23" spans="1:17">
      <c r="A23" s="76" t="s">
        <v>112</v>
      </c>
      <c r="B23" s="76">
        <v>18</v>
      </c>
      <c r="C23" s="76" t="s">
        <v>130</v>
      </c>
      <c r="D23" s="77" t="s">
        <v>143</v>
      </c>
      <c r="E23" s="77"/>
      <c r="F23" s="78">
        <v>11209</v>
      </c>
      <c r="G23" s="79">
        <v>2010</v>
      </c>
      <c r="H23" s="80" t="s">
        <v>19</v>
      </c>
      <c r="I23" s="80" t="s">
        <v>115</v>
      </c>
      <c r="J23" s="80" t="s">
        <v>116</v>
      </c>
      <c r="K23" s="81"/>
      <c r="L23" s="82"/>
      <c r="M23" s="83"/>
      <c r="N23" s="84"/>
      <c r="O23" s="85"/>
      <c r="P23" s="86" t="s">
        <v>117</v>
      </c>
      <c r="Q23" s="47"/>
    </row>
    <row r="24" spans="1:17">
      <c r="A24" s="76" t="s">
        <v>112</v>
      </c>
      <c r="B24" s="76">
        <v>19</v>
      </c>
      <c r="C24" s="76" t="s">
        <v>130</v>
      </c>
      <c r="D24" s="77" t="s">
        <v>143</v>
      </c>
      <c r="E24" s="77"/>
      <c r="F24" s="78">
        <v>11210</v>
      </c>
      <c r="G24" s="79">
        <v>2010</v>
      </c>
      <c r="H24" s="80" t="s">
        <v>19</v>
      </c>
      <c r="I24" s="80" t="s">
        <v>115</v>
      </c>
      <c r="J24" s="80" t="s">
        <v>116</v>
      </c>
      <c r="K24" s="81"/>
      <c r="L24" s="82"/>
      <c r="M24" s="83"/>
      <c r="N24" s="84"/>
      <c r="O24" s="85"/>
      <c r="P24" s="86" t="s">
        <v>117</v>
      </c>
      <c r="Q24" s="47"/>
    </row>
    <row r="25" spans="1:17">
      <c r="A25" s="76" t="s">
        <v>112</v>
      </c>
      <c r="B25" s="76">
        <v>20</v>
      </c>
      <c r="C25" s="76" t="s">
        <v>113</v>
      </c>
      <c r="D25" s="77" t="s">
        <v>144</v>
      </c>
      <c r="E25" s="77"/>
      <c r="F25" s="78">
        <v>11211</v>
      </c>
      <c r="G25" s="79">
        <v>2010</v>
      </c>
      <c r="H25" s="80" t="s">
        <v>14</v>
      </c>
      <c r="I25" s="80" t="s">
        <v>115</v>
      </c>
      <c r="J25" s="80" t="s">
        <v>116</v>
      </c>
      <c r="K25" s="81"/>
      <c r="L25" s="82" t="s">
        <v>117</v>
      </c>
      <c r="M25" s="83"/>
      <c r="N25" s="84"/>
      <c r="O25" s="85"/>
      <c r="P25" s="86"/>
      <c r="Q25" s="47" t="s">
        <v>145</v>
      </c>
    </row>
    <row r="26" spans="1:17">
      <c r="A26" s="76" t="s">
        <v>112</v>
      </c>
      <c r="B26" s="76">
        <v>21</v>
      </c>
      <c r="C26" s="76" t="s">
        <v>113</v>
      </c>
      <c r="D26" s="77" t="s">
        <v>146</v>
      </c>
      <c r="E26" s="77"/>
      <c r="F26" s="78">
        <v>11212</v>
      </c>
      <c r="G26" s="79"/>
      <c r="H26" s="80" t="s">
        <v>14</v>
      </c>
      <c r="I26" s="80" t="s">
        <v>115</v>
      </c>
      <c r="J26" s="80" t="s">
        <v>116</v>
      </c>
      <c r="K26" s="81"/>
      <c r="L26" s="82"/>
      <c r="M26" s="83"/>
      <c r="N26" s="84" t="s">
        <v>117</v>
      </c>
      <c r="O26" s="85"/>
      <c r="P26" s="86"/>
      <c r="Q26" s="47"/>
    </row>
    <row r="27" spans="1:17">
      <c r="A27" s="76" t="s">
        <v>112</v>
      </c>
      <c r="B27" s="76">
        <v>22</v>
      </c>
      <c r="C27" s="76" t="s">
        <v>113</v>
      </c>
      <c r="D27" s="77" t="s">
        <v>147</v>
      </c>
      <c r="E27" s="77"/>
      <c r="F27" s="78">
        <v>11213</v>
      </c>
      <c r="G27" s="79"/>
      <c r="H27" s="80" t="s">
        <v>19</v>
      </c>
      <c r="I27" s="80" t="s">
        <v>115</v>
      </c>
      <c r="J27" s="80" t="s">
        <v>116</v>
      </c>
      <c r="K27" s="81"/>
      <c r="L27" s="82"/>
      <c r="M27" s="83"/>
      <c r="N27" s="84" t="s">
        <v>117</v>
      </c>
      <c r="O27" s="85"/>
      <c r="P27" s="86"/>
      <c r="Q27" s="47"/>
    </row>
    <row r="28" spans="1:17">
      <c r="A28" s="76" t="s">
        <v>112</v>
      </c>
      <c r="B28" s="76">
        <v>23</v>
      </c>
      <c r="C28" s="76" t="s">
        <v>113</v>
      </c>
      <c r="D28" s="77" t="s">
        <v>148</v>
      </c>
      <c r="E28" s="77"/>
      <c r="F28" s="78">
        <v>11216</v>
      </c>
      <c r="G28" s="79">
        <v>2010</v>
      </c>
      <c r="H28" s="80"/>
      <c r="I28" s="80"/>
      <c r="J28" s="80"/>
      <c r="K28" s="81"/>
      <c r="L28" s="82"/>
      <c r="M28" s="83"/>
      <c r="N28" s="84"/>
      <c r="O28" s="85"/>
      <c r="P28" s="86" t="s">
        <v>117</v>
      </c>
      <c r="Q28" s="47"/>
    </row>
    <row r="29" spans="1:17">
      <c r="A29" s="76" t="s">
        <v>112</v>
      </c>
      <c r="B29" s="76">
        <v>24</v>
      </c>
      <c r="C29" s="76" t="s">
        <v>130</v>
      </c>
      <c r="D29" s="77" t="s">
        <v>143</v>
      </c>
      <c r="E29" s="77"/>
      <c r="F29" s="78">
        <v>11217</v>
      </c>
      <c r="G29" s="79">
        <v>2010</v>
      </c>
      <c r="H29" s="80" t="s">
        <v>19</v>
      </c>
      <c r="I29" s="80" t="s">
        <v>115</v>
      </c>
      <c r="J29" s="80" t="s">
        <v>116</v>
      </c>
      <c r="K29" s="81"/>
      <c r="L29" s="82"/>
      <c r="M29" s="83"/>
      <c r="N29" s="84"/>
      <c r="O29" s="85"/>
      <c r="P29" s="86" t="s">
        <v>117</v>
      </c>
      <c r="Q29" s="47"/>
    </row>
    <row r="30" spans="1:17">
      <c r="A30" s="76" t="s">
        <v>112</v>
      </c>
      <c r="B30" s="76">
        <v>25</v>
      </c>
      <c r="C30" s="76" t="s">
        <v>130</v>
      </c>
      <c r="D30" s="77" t="s">
        <v>143</v>
      </c>
      <c r="E30" s="77"/>
      <c r="F30" s="78">
        <v>11218</v>
      </c>
      <c r="G30" s="79">
        <v>2010</v>
      </c>
      <c r="H30" s="80" t="s">
        <v>19</v>
      </c>
      <c r="I30" s="80" t="s">
        <v>115</v>
      </c>
      <c r="J30" s="80" t="s">
        <v>116</v>
      </c>
      <c r="K30" s="81"/>
      <c r="L30" s="82"/>
      <c r="M30" s="83"/>
      <c r="N30" s="84"/>
      <c r="O30" s="85"/>
      <c r="P30" s="86" t="s">
        <v>117</v>
      </c>
      <c r="Q30" s="47"/>
    </row>
    <row r="31" spans="1:17">
      <c r="A31" s="76" t="s">
        <v>112</v>
      </c>
      <c r="B31" s="76">
        <v>26</v>
      </c>
      <c r="C31" s="76" t="s">
        <v>113</v>
      </c>
      <c r="D31" s="77" t="s">
        <v>149</v>
      </c>
      <c r="E31" s="77"/>
      <c r="F31" s="78">
        <v>11219</v>
      </c>
      <c r="G31" s="79">
        <v>2010</v>
      </c>
      <c r="H31" s="80" t="s">
        <v>19</v>
      </c>
      <c r="I31" s="80" t="s">
        <v>115</v>
      </c>
      <c r="J31" s="80" t="s">
        <v>116</v>
      </c>
      <c r="K31" s="81"/>
      <c r="L31" s="82"/>
      <c r="M31" s="83"/>
      <c r="N31" s="84"/>
      <c r="O31" s="85" t="s">
        <v>117</v>
      </c>
      <c r="P31" s="86"/>
      <c r="Q31" s="47"/>
    </row>
    <row r="32" spans="1:17">
      <c r="A32" s="76" t="s">
        <v>112</v>
      </c>
      <c r="B32" s="76">
        <v>27</v>
      </c>
      <c r="C32" s="76" t="s">
        <v>130</v>
      </c>
      <c r="D32" s="77" t="s">
        <v>150</v>
      </c>
      <c r="E32" s="77"/>
      <c r="F32" s="78">
        <v>11220</v>
      </c>
      <c r="G32" s="79">
        <v>2010</v>
      </c>
      <c r="H32" s="80" t="s">
        <v>19</v>
      </c>
      <c r="I32" s="80" t="s">
        <v>115</v>
      </c>
      <c r="J32" s="80" t="s">
        <v>116</v>
      </c>
      <c r="K32" s="81"/>
      <c r="L32" s="82"/>
      <c r="M32" s="83"/>
      <c r="N32" s="84"/>
      <c r="O32" s="85"/>
      <c r="P32" s="86" t="s">
        <v>117</v>
      </c>
      <c r="Q32" s="47"/>
    </row>
    <row r="33" spans="1:17">
      <c r="A33" s="76" t="s">
        <v>112</v>
      </c>
      <c r="B33" s="76">
        <v>28</v>
      </c>
      <c r="C33" s="76" t="s">
        <v>130</v>
      </c>
      <c r="D33" s="77" t="s">
        <v>150</v>
      </c>
      <c r="E33" s="77"/>
      <c r="F33" s="78">
        <v>11221</v>
      </c>
      <c r="G33" s="79">
        <v>2010</v>
      </c>
      <c r="H33" s="80" t="s">
        <v>19</v>
      </c>
      <c r="I33" s="80" t="s">
        <v>115</v>
      </c>
      <c r="J33" s="80" t="s">
        <v>116</v>
      </c>
      <c r="K33" s="81"/>
      <c r="L33" s="82"/>
      <c r="M33" s="83"/>
      <c r="N33" s="84"/>
      <c r="O33" s="85"/>
      <c r="P33" s="86" t="s">
        <v>117</v>
      </c>
      <c r="Q33" s="47"/>
    </row>
    <row r="34" spans="1:17">
      <c r="A34" s="76" t="s">
        <v>112</v>
      </c>
      <c r="B34" s="76">
        <v>29</v>
      </c>
      <c r="C34" s="76" t="s">
        <v>130</v>
      </c>
      <c r="D34" s="77" t="s">
        <v>151</v>
      </c>
      <c r="E34" s="77"/>
      <c r="F34" s="78">
        <v>11222</v>
      </c>
      <c r="G34" s="79">
        <v>2010</v>
      </c>
      <c r="H34" s="80" t="s">
        <v>17</v>
      </c>
      <c r="I34" s="80" t="s">
        <v>115</v>
      </c>
      <c r="J34" s="80" t="s">
        <v>116</v>
      </c>
      <c r="K34" s="81"/>
      <c r="L34" s="82"/>
      <c r="M34" s="83"/>
      <c r="N34" s="84"/>
      <c r="O34" s="85"/>
      <c r="P34" s="86" t="s">
        <v>117</v>
      </c>
      <c r="Q34" s="47"/>
    </row>
    <row r="35" spans="1:17">
      <c r="A35" s="76" t="s">
        <v>112</v>
      </c>
      <c r="B35" s="76">
        <v>30</v>
      </c>
      <c r="C35" s="76" t="s">
        <v>130</v>
      </c>
      <c r="D35" s="77" t="s">
        <v>152</v>
      </c>
      <c r="E35" s="77"/>
      <c r="F35" s="78">
        <v>11223</v>
      </c>
      <c r="G35" s="79">
        <v>2010</v>
      </c>
      <c r="H35" s="80" t="s">
        <v>19</v>
      </c>
      <c r="I35" s="80" t="s">
        <v>115</v>
      </c>
      <c r="J35" s="80" t="s">
        <v>116</v>
      </c>
      <c r="K35" s="81"/>
      <c r="L35" s="82"/>
      <c r="M35" s="83"/>
      <c r="N35" s="84"/>
      <c r="O35" s="85"/>
      <c r="P35" s="86" t="s">
        <v>117</v>
      </c>
      <c r="Q35" s="47"/>
    </row>
    <row r="36" spans="1:17">
      <c r="A36" s="76" t="s">
        <v>112</v>
      </c>
      <c r="B36" s="76">
        <v>31</v>
      </c>
      <c r="C36" s="76" t="s">
        <v>153</v>
      </c>
      <c r="D36" s="77" t="s">
        <v>154</v>
      </c>
      <c r="E36" s="77"/>
      <c r="F36" s="78">
        <v>11226</v>
      </c>
      <c r="G36" s="79">
        <v>2011</v>
      </c>
      <c r="H36" s="80" t="s">
        <v>14</v>
      </c>
      <c r="I36" s="80"/>
      <c r="J36" s="80"/>
      <c r="K36" s="81"/>
      <c r="L36" s="82"/>
      <c r="M36" s="83" t="s">
        <v>117</v>
      </c>
      <c r="N36" s="84"/>
      <c r="O36" s="85"/>
      <c r="P36" s="86"/>
      <c r="Q36" s="47"/>
    </row>
    <row r="37" spans="1:17">
      <c r="A37" s="76" t="s">
        <v>112</v>
      </c>
      <c r="B37" s="76">
        <v>32</v>
      </c>
      <c r="C37" s="76" t="s">
        <v>113</v>
      </c>
      <c r="D37" s="77" t="s">
        <v>155</v>
      </c>
      <c r="E37" s="77"/>
      <c r="F37" s="78">
        <v>11227</v>
      </c>
      <c r="G37" s="79">
        <v>2012</v>
      </c>
      <c r="H37" s="80" t="s">
        <v>19</v>
      </c>
      <c r="I37" s="80"/>
      <c r="J37" s="80"/>
      <c r="K37" s="81"/>
      <c r="L37" s="82"/>
      <c r="M37" s="83"/>
      <c r="N37" s="84"/>
      <c r="O37" s="85"/>
      <c r="P37" s="86" t="s">
        <v>117</v>
      </c>
      <c r="Q37" s="47"/>
    </row>
    <row r="38" spans="1:17">
      <c r="A38" s="76" t="s">
        <v>112</v>
      </c>
      <c r="B38" s="76">
        <v>33</v>
      </c>
      <c r="C38" s="76" t="s">
        <v>113</v>
      </c>
      <c r="D38" s="77" t="s">
        <v>156</v>
      </c>
      <c r="E38" s="77"/>
      <c r="F38" s="78">
        <v>11228</v>
      </c>
      <c r="G38" s="79">
        <v>2012</v>
      </c>
      <c r="H38" s="80" t="s">
        <v>19</v>
      </c>
      <c r="I38" s="80"/>
      <c r="J38" s="80"/>
      <c r="K38" s="81"/>
      <c r="L38" s="82"/>
      <c r="M38" s="83"/>
      <c r="N38" s="84"/>
      <c r="O38" s="85"/>
      <c r="P38" s="86" t="s">
        <v>117</v>
      </c>
      <c r="Q38" s="47"/>
    </row>
    <row r="39" spans="1:17">
      <c r="A39" s="76" t="s">
        <v>112</v>
      </c>
      <c r="B39" s="76">
        <v>34</v>
      </c>
      <c r="C39" s="76" t="s">
        <v>113</v>
      </c>
      <c r="D39" s="77" t="s">
        <v>157</v>
      </c>
      <c r="E39" s="77"/>
      <c r="F39" s="78">
        <v>11229</v>
      </c>
      <c r="G39" s="79">
        <v>2012</v>
      </c>
      <c r="H39" s="80" t="s">
        <v>19</v>
      </c>
      <c r="I39" s="80"/>
      <c r="J39" s="80"/>
      <c r="K39" s="81"/>
      <c r="L39" s="82"/>
      <c r="M39" s="83"/>
      <c r="N39" s="84"/>
      <c r="O39" s="85"/>
      <c r="P39" s="86" t="s">
        <v>117</v>
      </c>
      <c r="Q39" s="47"/>
    </row>
    <row r="40" spans="1:17">
      <c r="A40" s="76" t="s">
        <v>112</v>
      </c>
      <c r="B40" s="76">
        <v>35</v>
      </c>
      <c r="C40" s="76" t="s">
        <v>130</v>
      </c>
      <c r="D40" s="77" t="s">
        <v>158</v>
      </c>
      <c r="E40" s="77"/>
      <c r="F40" s="78">
        <v>11230</v>
      </c>
      <c r="G40" s="79">
        <v>2012</v>
      </c>
      <c r="H40" s="80" t="s">
        <v>19</v>
      </c>
      <c r="I40" s="80"/>
      <c r="J40" s="80"/>
      <c r="K40" s="81"/>
      <c r="L40" s="82"/>
      <c r="M40" s="83"/>
      <c r="N40" s="84"/>
      <c r="O40" s="85"/>
      <c r="P40" s="86" t="s">
        <v>117</v>
      </c>
      <c r="Q40" s="47"/>
    </row>
    <row r="41" spans="1:17">
      <c r="A41" s="76" t="s">
        <v>112</v>
      </c>
      <c r="B41" s="76">
        <v>36</v>
      </c>
      <c r="C41" s="76" t="s">
        <v>130</v>
      </c>
      <c r="D41" s="77" t="s">
        <v>159</v>
      </c>
      <c r="E41" s="77"/>
      <c r="F41" s="78">
        <v>11231</v>
      </c>
      <c r="G41" s="79">
        <v>2012</v>
      </c>
      <c r="H41" s="80" t="s">
        <v>19</v>
      </c>
      <c r="I41" s="80" t="s">
        <v>115</v>
      </c>
      <c r="J41" s="80" t="s">
        <v>116</v>
      </c>
      <c r="K41" s="81"/>
      <c r="L41" s="82"/>
      <c r="M41" s="83" t="s">
        <v>117</v>
      </c>
      <c r="N41" s="84"/>
      <c r="O41" s="85"/>
      <c r="P41" s="86"/>
      <c r="Q41" s="47"/>
    </row>
    <row r="42" spans="1:17">
      <c r="A42" s="76" t="s">
        <v>112</v>
      </c>
      <c r="B42" s="76">
        <v>37</v>
      </c>
      <c r="C42" s="76" t="s">
        <v>130</v>
      </c>
      <c r="D42" s="77" t="s">
        <v>160</v>
      </c>
      <c r="E42" s="77"/>
      <c r="F42" s="78">
        <v>11233</v>
      </c>
      <c r="G42" s="79">
        <v>2012</v>
      </c>
      <c r="H42" s="80" t="s">
        <v>19</v>
      </c>
      <c r="I42" s="80" t="s">
        <v>115</v>
      </c>
      <c r="J42" s="80" t="s">
        <v>116</v>
      </c>
      <c r="K42" s="81"/>
      <c r="L42" s="82"/>
      <c r="M42" s="83"/>
      <c r="N42" s="84"/>
      <c r="O42" s="85"/>
      <c r="P42" s="86" t="s">
        <v>117</v>
      </c>
      <c r="Q42" s="47"/>
    </row>
    <row r="43" spans="1:17">
      <c r="A43" s="76" t="s">
        <v>112</v>
      </c>
      <c r="B43" s="76">
        <v>38</v>
      </c>
      <c r="C43" s="76" t="s">
        <v>130</v>
      </c>
      <c r="D43" s="77" t="s">
        <v>160</v>
      </c>
      <c r="E43" s="77"/>
      <c r="F43" s="78">
        <v>11234</v>
      </c>
      <c r="G43" s="79">
        <v>2012</v>
      </c>
      <c r="H43" s="80" t="s">
        <v>19</v>
      </c>
      <c r="I43" s="80" t="s">
        <v>115</v>
      </c>
      <c r="J43" s="80" t="s">
        <v>116</v>
      </c>
      <c r="K43" s="81"/>
      <c r="L43" s="82"/>
      <c r="M43" s="83"/>
      <c r="N43" s="84"/>
      <c r="O43" s="85"/>
      <c r="P43" s="86" t="s">
        <v>117</v>
      </c>
      <c r="Q43" s="47"/>
    </row>
    <row r="44" spans="1:17">
      <c r="A44" s="76" t="s">
        <v>112</v>
      </c>
      <c r="B44" s="76">
        <v>39</v>
      </c>
      <c r="C44" s="76" t="s">
        <v>130</v>
      </c>
      <c r="D44" s="77" t="s">
        <v>160</v>
      </c>
      <c r="E44" s="77"/>
      <c r="F44" s="78">
        <v>11235</v>
      </c>
      <c r="G44" s="79">
        <v>2012</v>
      </c>
      <c r="H44" s="80" t="s">
        <v>19</v>
      </c>
      <c r="I44" s="80" t="s">
        <v>115</v>
      </c>
      <c r="J44" s="80" t="s">
        <v>116</v>
      </c>
      <c r="K44" s="81"/>
      <c r="L44" s="82"/>
      <c r="M44" s="83"/>
      <c r="N44" s="84"/>
      <c r="O44" s="85"/>
      <c r="P44" s="86" t="s">
        <v>117</v>
      </c>
      <c r="Q44" s="47"/>
    </row>
    <row r="45" spans="1:17">
      <c r="A45" s="76" t="s">
        <v>112</v>
      </c>
      <c r="B45" s="76">
        <v>40</v>
      </c>
      <c r="C45" s="76" t="s">
        <v>130</v>
      </c>
      <c r="D45" s="77" t="s">
        <v>160</v>
      </c>
      <c r="E45" s="77"/>
      <c r="F45" s="78">
        <v>11236</v>
      </c>
      <c r="G45" s="79">
        <v>2012</v>
      </c>
      <c r="H45" s="80" t="s">
        <v>19</v>
      </c>
      <c r="I45" s="80" t="s">
        <v>115</v>
      </c>
      <c r="J45" s="80" t="s">
        <v>116</v>
      </c>
      <c r="K45" s="81"/>
      <c r="L45" s="82"/>
      <c r="M45" s="83"/>
      <c r="N45" s="84"/>
      <c r="O45" s="85"/>
      <c r="P45" s="86" t="s">
        <v>117</v>
      </c>
      <c r="Q45" s="47"/>
    </row>
    <row r="46" spans="1:17">
      <c r="A46" s="76" t="s">
        <v>112</v>
      </c>
      <c r="B46" s="76">
        <v>41</v>
      </c>
      <c r="C46" s="76" t="s">
        <v>113</v>
      </c>
      <c r="D46" s="77" t="s">
        <v>161</v>
      </c>
      <c r="E46" s="77"/>
      <c r="F46" s="78">
        <v>11237</v>
      </c>
      <c r="G46" s="79">
        <v>2012</v>
      </c>
      <c r="H46" s="80"/>
      <c r="I46" s="80"/>
      <c r="J46" s="80"/>
      <c r="K46" s="81"/>
      <c r="L46" s="82"/>
      <c r="M46" s="83"/>
      <c r="N46" s="84"/>
      <c r="O46" s="85"/>
      <c r="P46" s="86" t="s">
        <v>117</v>
      </c>
      <c r="Q46" s="47"/>
    </row>
    <row r="47" spans="1:17">
      <c r="A47" s="76" t="s">
        <v>112</v>
      </c>
      <c r="B47" s="76">
        <v>42</v>
      </c>
      <c r="C47" s="76" t="s">
        <v>130</v>
      </c>
      <c r="D47" s="77" t="s">
        <v>162</v>
      </c>
      <c r="E47" s="77"/>
      <c r="F47" s="78">
        <v>11240</v>
      </c>
      <c r="G47" s="79">
        <v>2012</v>
      </c>
      <c r="H47" s="80" t="s">
        <v>19</v>
      </c>
      <c r="I47" s="80" t="s">
        <v>115</v>
      </c>
      <c r="J47" s="80" t="s">
        <v>116</v>
      </c>
      <c r="K47" s="81"/>
      <c r="L47" s="82"/>
      <c r="M47" s="83"/>
      <c r="N47" s="84"/>
      <c r="O47" s="85"/>
      <c r="P47" s="86" t="s">
        <v>117</v>
      </c>
      <c r="Q47" s="47"/>
    </row>
    <row r="48" spans="1:17">
      <c r="A48" s="76" t="s">
        <v>112</v>
      </c>
      <c r="B48" s="76">
        <v>43</v>
      </c>
      <c r="C48" s="76" t="s">
        <v>130</v>
      </c>
      <c r="D48" s="77" t="s">
        <v>162</v>
      </c>
      <c r="E48" s="77"/>
      <c r="F48" s="78">
        <v>11709</v>
      </c>
      <c r="G48" s="79">
        <v>2012</v>
      </c>
      <c r="H48" s="80" t="s">
        <v>19</v>
      </c>
      <c r="I48" s="80" t="s">
        <v>115</v>
      </c>
      <c r="J48" s="80" t="s">
        <v>116</v>
      </c>
      <c r="K48" s="81"/>
      <c r="L48" s="82"/>
      <c r="M48" s="83"/>
      <c r="N48" s="84"/>
      <c r="O48" s="85"/>
      <c r="P48" s="86" t="s">
        <v>117</v>
      </c>
      <c r="Q48" s="47"/>
    </row>
    <row r="49" spans="1:17">
      <c r="A49" s="76" t="s">
        <v>112</v>
      </c>
      <c r="B49" s="76">
        <v>44</v>
      </c>
      <c r="C49" s="76" t="s">
        <v>130</v>
      </c>
      <c r="D49" s="77" t="s">
        <v>162</v>
      </c>
      <c r="E49" s="77"/>
      <c r="F49" s="78">
        <v>11710</v>
      </c>
      <c r="G49" s="79">
        <v>2012</v>
      </c>
      <c r="H49" s="80" t="s">
        <v>19</v>
      </c>
      <c r="I49" s="80" t="s">
        <v>115</v>
      </c>
      <c r="J49" s="80" t="s">
        <v>116</v>
      </c>
      <c r="K49" s="81"/>
      <c r="L49" s="82"/>
      <c r="M49" s="83"/>
      <c r="N49" s="84"/>
      <c r="O49" s="85"/>
      <c r="P49" s="86" t="s">
        <v>117</v>
      </c>
      <c r="Q49" s="47"/>
    </row>
    <row r="50" spans="1:17">
      <c r="A50" s="76" t="s">
        <v>112</v>
      </c>
      <c r="B50" s="76">
        <v>45</v>
      </c>
      <c r="C50" s="76" t="s">
        <v>130</v>
      </c>
      <c r="D50" s="77" t="s">
        <v>162</v>
      </c>
      <c r="E50" s="77"/>
      <c r="F50" s="78">
        <v>11711</v>
      </c>
      <c r="G50" s="79">
        <v>2012</v>
      </c>
      <c r="H50" s="80" t="s">
        <v>19</v>
      </c>
      <c r="I50" s="80" t="s">
        <v>115</v>
      </c>
      <c r="J50" s="80" t="s">
        <v>116</v>
      </c>
      <c r="K50" s="81"/>
      <c r="L50" s="82"/>
      <c r="M50" s="83"/>
      <c r="N50" s="84"/>
      <c r="O50" s="85"/>
      <c r="P50" s="86" t="s">
        <v>117</v>
      </c>
      <c r="Q50" s="47"/>
    </row>
    <row r="51" spans="1:17">
      <c r="A51" s="76" t="s">
        <v>112</v>
      </c>
      <c r="B51" s="76">
        <v>46</v>
      </c>
      <c r="C51" s="76" t="s">
        <v>130</v>
      </c>
      <c r="D51" s="77" t="s">
        <v>163</v>
      </c>
      <c r="E51" s="77"/>
      <c r="F51" s="78">
        <v>11714</v>
      </c>
      <c r="G51" s="79">
        <v>2012</v>
      </c>
      <c r="H51" s="80" t="s">
        <v>17</v>
      </c>
      <c r="I51" s="80" t="s">
        <v>115</v>
      </c>
      <c r="J51" s="80" t="s">
        <v>116</v>
      </c>
      <c r="K51" s="81"/>
      <c r="L51" s="82"/>
      <c r="M51" s="83"/>
      <c r="N51" s="84"/>
      <c r="O51" s="85"/>
      <c r="P51" s="86" t="s">
        <v>117</v>
      </c>
      <c r="Q51" s="47"/>
    </row>
    <row r="52" spans="1:17">
      <c r="A52" s="76" t="s">
        <v>112</v>
      </c>
      <c r="B52" s="76">
        <v>47</v>
      </c>
      <c r="C52" s="76" t="s">
        <v>164</v>
      </c>
      <c r="D52" s="77" t="s">
        <v>165</v>
      </c>
      <c r="E52" s="77"/>
      <c r="F52" s="78">
        <v>11715</v>
      </c>
      <c r="G52" s="79">
        <v>2012</v>
      </c>
      <c r="H52" s="80"/>
      <c r="I52" s="80"/>
      <c r="J52" s="80"/>
      <c r="K52" s="81"/>
      <c r="L52" s="82"/>
      <c r="M52" s="83"/>
      <c r="N52" s="84"/>
      <c r="O52" s="85"/>
      <c r="P52" s="86"/>
      <c r="Q52" s="47"/>
    </row>
    <row r="53" spans="1:17">
      <c r="A53" s="76" t="s">
        <v>112</v>
      </c>
      <c r="B53" s="76">
        <v>48</v>
      </c>
      <c r="C53" s="76" t="s">
        <v>113</v>
      </c>
      <c r="D53" s="77" t="s">
        <v>166</v>
      </c>
      <c r="E53" s="77" t="s">
        <v>167</v>
      </c>
      <c r="F53" s="78">
        <v>11716</v>
      </c>
      <c r="G53" s="79">
        <v>2013</v>
      </c>
      <c r="H53" s="80"/>
      <c r="I53" s="80"/>
      <c r="J53" s="80"/>
      <c r="K53" s="81"/>
      <c r="L53" s="82"/>
      <c r="M53" s="83"/>
      <c r="N53" s="84"/>
      <c r="O53" s="85"/>
      <c r="P53" s="86" t="s">
        <v>117</v>
      </c>
      <c r="Q53" s="47"/>
    </row>
    <row r="54" spans="1:17">
      <c r="A54" s="76" t="s">
        <v>112</v>
      </c>
      <c r="B54" s="76">
        <v>49</v>
      </c>
      <c r="C54" s="76" t="s">
        <v>113</v>
      </c>
      <c r="D54" s="77" t="s">
        <v>168</v>
      </c>
      <c r="E54" s="77"/>
      <c r="F54" s="78">
        <v>11717</v>
      </c>
      <c r="G54" s="79">
        <v>2013</v>
      </c>
      <c r="H54" s="80"/>
      <c r="I54" s="80"/>
      <c r="J54" s="80"/>
      <c r="K54" s="81"/>
      <c r="L54" s="82"/>
      <c r="M54" s="83"/>
      <c r="N54" s="84"/>
      <c r="O54" s="85"/>
      <c r="P54" s="86" t="s">
        <v>117</v>
      </c>
      <c r="Q54" s="47"/>
    </row>
    <row r="55" spans="1:17">
      <c r="A55" s="76" t="s">
        <v>112</v>
      </c>
      <c r="B55" s="76">
        <v>50</v>
      </c>
      <c r="C55" s="76" t="s">
        <v>113</v>
      </c>
      <c r="D55" s="77" t="s">
        <v>169</v>
      </c>
      <c r="E55" s="77"/>
      <c r="F55" s="78">
        <v>11718</v>
      </c>
      <c r="G55" s="79">
        <v>2013</v>
      </c>
      <c r="H55" s="80"/>
      <c r="I55" s="80"/>
      <c r="J55" s="80"/>
      <c r="K55" s="81"/>
      <c r="L55" s="82"/>
      <c r="M55" s="83"/>
      <c r="N55" s="84"/>
      <c r="O55" s="85"/>
      <c r="P55" s="86" t="s">
        <v>117</v>
      </c>
      <c r="Q55" s="47"/>
    </row>
    <row r="56" spans="1:17">
      <c r="A56" s="76" t="s">
        <v>112</v>
      </c>
      <c r="B56" s="76">
        <v>51</v>
      </c>
      <c r="C56" s="76" t="s">
        <v>164</v>
      </c>
      <c r="D56" s="77" t="s">
        <v>170</v>
      </c>
      <c r="E56" s="77"/>
      <c r="F56" s="78">
        <v>11719</v>
      </c>
      <c r="G56" s="79">
        <v>2013</v>
      </c>
      <c r="H56" s="80" t="s">
        <v>19</v>
      </c>
      <c r="I56" s="80" t="s">
        <v>115</v>
      </c>
      <c r="J56" s="80"/>
      <c r="K56" s="81"/>
      <c r="L56" s="82"/>
      <c r="M56" s="83" t="s">
        <v>117</v>
      </c>
      <c r="N56" s="84"/>
      <c r="O56" s="85"/>
      <c r="P56" s="86"/>
      <c r="Q56" s="47"/>
    </row>
    <row r="57" spans="1:17">
      <c r="A57" s="76" t="s">
        <v>112</v>
      </c>
      <c r="B57" s="76">
        <v>52</v>
      </c>
      <c r="C57" s="76" t="s">
        <v>164</v>
      </c>
      <c r="D57" s="77" t="s">
        <v>171</v>
      </c>
      <c r="E57" s="77"/>
      <c r="F57" s="78">
        <v>11721</v>
      </c>
      <c r="G57" s="79">
        <v>2013</v>
      </c>
      <c r="H57" s="80" t="s">
        <v>17</v>
      </c>
      <c r="I57" s="80" t="s">
        <v>115</v>
      </c>
      <c r="J57" s="80"/>
      <c r="K57" s="81"/>
      <c r="L57" s="82"/>
      <c r="M57" s="83"/>
      <c r="N57" s="84"/>
      <c r="O57" s="85"/>
      <c r="P57" s="86" t="s">
        <v>117</v>
      </c>
      <c r="Q57" s="47"/>
    </row>
    <row r="58" spans="1:17">
      <c r="A58" s="76" t="s">
        <v>112</v>
      </c>
      <c r="B58" s="76">
        <v>53</v>
      </c>
      <c r="C58" s="76" t="s">
        <v>164</v>
      </c>
      <c r="D58" s="77" t="s">
        <v>172</v>
      </c>
      <c r="E58" s="77"/>
      <c r="F58" s="78">
        <v>11722</v>
      </c>
      <c r="G58" s="79">
        <v>2014</v>
      </c>
      <c r="H58" s="80" t="s">
        <v>47</v>
      </c>
      <c r="I58" s="80" t="s">
        <v>115</v>
      </c>
      <c r="J58" s="80"/>
      <c r="K58" s="81" t="s">
        <v>117</v>
      </c>
      <c r="L58" s="82"/>
      <c r="M58" s="83"/>
      <c r="N58" s="84"/>
      <c r="O58" s="85"/>
      <c r="P58" s="86"/>
      <c r="Q58" s="47" t="s">
        <v>173</v>
      </c>
    </row>
    <row r="59" spans="1:17">
      <c r="A59" s="76" t="s">
        <v>112</v>
      </c>
      <c r="B59" s="76">
        <v>54</v>
      </c>
      <c r="C59" s="76" t="s">
        <v>113</v>
      </c>
      <c r="D59" s="77" t="s">
        <v>174</v>
      </c>
      <c r="E59" s="77"/>
      <c r="F59" s="78">
        <v>11726</v>
      </c>
      <c r="G59" s="79">
        <v>2013</v>
      </c>
      <c r="H59" s="80"/>
      <c r="I59" s="80" t="s">
        <v>115</v>
      </c>
      <c r="J59" s="80"/>
      <c r="K59" s="81"/>
      <c r="L59" s="82"/>
      <c r="M59" s="83"/>
      <c r="N59" s="84"/>
      <c r="O59" s="85"/>
      <c r="P59" s="86"/>
      <c r="Q59" s="47"/>
    </row>
    <row r="60" spans="1:17">
      <c r="A60" s="76" t="s">
        <v>112</v>
      </c>
      <c r="B60" s="76">
        <v>55</v>
      </c>
      <c r="C60" s="76" t="s">
        <v>164</v>
      </c>
      <c r="D60" s="77" t="s">
        <v>175</v>
      </c>
      <c r="E60" s="77"/>
      <c r="F60" s="78">
        <v>11727</v>
      </c>
      <c r="G60" s="79">
        <v>2013</v>
      </c>
      <c r="H60" s="80" t="s">
        <v>19</v>
      </c>
      <c r="I60" s="80" t="s">
        <v>115</v>
      </c>
      <c r="J60" s="80"/>
      <c r="K60" s="81"/>
      <c r="L60" s="82"/>
      <c r="M60" s="83"/>
      <c r="N60" s="84"/>
      <c r="O60" s="85" t="s">
        <v>117</v>
      </c>
      <c r="P60" s="86"/>
      <c r="Q60" s="47"/>
    </row>
    <row r="61" spans="1:17">
      <c r="A61" s="76" t="s">
        <v>112</v>
      </c>
      <c r="B61" s="76">
        <v>56</v>
      </c>
      <c r="C61" s="76" t="s">
        <v>113</v>
      </c>
      <c r="D61" s="77" t="s">
        <v>176</v>
      </c>
      <c r="E61" s="77"/>
      <c r="F61" s="78">
        <v>11728</v>
      </c>
      <c r="G61" s="79" t="s">
        <v>125</v>
      </c>
      <c r="H61" s="80" t="s">
        <v>14</v>
      </c>
      <c r="I61" s="80" t="s">
        <v>115</v>
      </c>
      <c r="J61" s="80" t="s">
        <v>116</v>
      </c>
      <c r="K61" s="81"/>
      <c r="L61" s="82"/>
      <c r="M61" s="83" t="s">
        <v>117</v>
      </c>
      <c r="N61" s="84"/>
      <c r="O61" s="85"/>
      <c r="P61" s="86"/>
      <c r="Q61" s="47" t="s">
        <v>177</v>
      </c>
    </row>
    <row r="62" spans="1:17">
      <c r="A62" s="76" t="s">
        <v>112</v>
      </c>
      <c r="B62" s="76">
        <v>57</v>
      </c>
      <c r="C62" s="76" t="s">
        <v>164</v>
      </c>
      <c r="D62" s="77" t="s">
        <v>178</v>
      </c>
      <c r="E62" s="77"/>
      <c r="F62" s="78">
        <v>11729</v>
      </c>
      <c r="G62" s="79">
        <v>2013</v>
      </c>
      <c r="H62" s="80" t="s">
        <v>19</v>
      </c>
      <c r="I62" s="80"/>
      <c r="J62" s="80"/>
      <c r="K62" s="81"/>
      <c r="L62" s="82"/>
      <c r="M62" s="83"/>
      <c r="N62" s="84"/>
      <c r="O62" s="85"/>
      <c r="P62" s="86" t="s">
        <v>117</v>
      </c>
      <c r="Q62" s="47"/>
    </row>
    <row r="63" spans="1:17">
      <c r="A63" s="76" t="s">
        <v>112</v>
      </c>
      <c r="B63" s="76">
        <v>58</v>
      </c>
      <c r="C63" s="76" t="s">
        <v>164</v>
      </c>
      <c r="D63" s="77" t="s">
        <v>179</v>
      </c>
      <c r="E63" s="77"/>
      <c r="F63" s="78">
        <v>11730</v>
      </c>
      <c r="G63" s="79">
        <v>2014</v>
      </c>
      <c r="H63" s="80" t="s">
        <v>19</v>
      </c>
      <c r="I63" s="80"/>
      <c r="J63" s="80"/>
      <c r="K63" s="81"/>
      <c r="L63" s="82"/>
      <c r="M63" s="83"/>
      <c r="N63" s="84"/>
      <c r="O63" s="85"/>
      <c r="P63" s="86" t="s">
        <v>117</v>
      </c>
      <c r="Q63" s="47"/>
    </row>
    <row r="64" spans="1:17">
      <c r="A64" s="76" t="s">
        <v>112</v>
      </c>
      <c r="B64" s="76">
        <v>59</v>
      </c>
      <c r="C64" s="76" t="s">
        <v>164</v>
      </c>
      <c r="D64" s="77" t="s">
        <v>180</v>
      </c>
      <c r="E64" s="77"/>
      <c r="F64" s="78">
        <v>11731</v>
      </c>
      <c r="G64" s="79">
        <v>2013</v>
      </c>
      <c r="H64" s="80" t="s">
        <v>19</v>
      </c>
      <c r="I64" s="80"/>
      <c r="J64" s="80"/>
      <c r="K64" s="81"/>
      <c r="L64" s="82"/>
      <c r="M64" s="83"/>
      <c r="N64" s="84"/>
      <c r="O64" s="85"/>
      <c r="P64" s="86" t="s">
        <v>117</v>
      </c>
      <c r="Q64" s="47"/>
    </row>
    <row r="65" spans="1:17">
      <c r="A65" s="76" t="s">
        <v>112</v>
      </c>
      <c r="B65" s="76">
        <v>60</v>
      </c>
      <c r="C65" s="76" t="s">
        <v>164</v>
      </c>
      <c r="D65" s="77" t="s">
        <v>181</v>
      </c>
      <c r="E65" s="77"/>
      <c r="F65" s="78">
        <v>11732</v>
      </c>
      <c r="G65" s="79">
        <v>2013</v>
      </c>
      <c r="H65" s="80" t="s">
        <v>19</v>
      </c>
      <c r="I65" s="80"/>
      <c r="J65" s="80"/>
      <c r="K65" s="81"/>
      <c r="L65" s="82"/>
      <c r="M65" s="83"/>
      <c r="N65" s="84"/>
      <c r="O65" s="85"/>
      <c r="P65" s="86" t="s">
        <v>117</v>
      </c>
      <c r="Q65" s="47"/>
    </row>
    <row r="66" spans="1:17">
      <c r="A66" s="76" t="s">
        <v>112</v>
      </c>
      <c r="B66" s="76">
        <v>61</v>
      </c>
      <c r="C66" s="76" t="s">
        <v>164</v>
      </c>
      <c r="D66" s="77" t="s">
        <v>182</v>
      </c>
      <c r="E66" s="77"/>
      <c r="F66" s="78">
        <v>11733</v>
      </c>
      <c r="G66" s="79">
        <v>2013</v>
      </c>
      <c r="H66" s="80" t="s">
        <v>14</v>
      </c>
      <c r="I66" s="80" t="s">
        <v>115</v>
      </c>
      <c r="J66" s="80" t="s">
        <v>116</v>
      </c>
      <c r="K66" s="81"/>
      <c r="L66" s="82"/>
      <c r="M66" s="83" t="s">
        <v>117</v>
      </c>
      <c r="N66" s="84"/>
      <c r="O66" s="85"/>
      <c r="P66" s="86"/>
      <c r="Q66" s="47" t="s">
        <v>183</v>
      </c>
    </row>
    <row r="67" spans="1:17">
      <c r="A67" s="76" t="s">
        <v>112</v>
      </c>
      <c r="B67" s="76">
        <v>62</v>
      </c>
      <c r="C67" s="76" t="s">
        <v>164</v>
      </c>
      <c r="D67" s="77" t="s">
        <v>184</v>
      </c>
      <c r="E67" s="77"/>
      <c r="F67" s="78">
        <v>11735</v>
      </c>
      <c r="G67" s="79">
        <v>2014</v>
      </c>
      <c r="H67" s="80" t="s">
        <v>14</v>
      </c>
      <c r="I67" s="80"/>
      <c r="J67" s="80"/>
      <c r="K67" s="81"/>
      <c r="L67" s="82"/>
      <c r="M67" s="83" t="s">
        <v>117</v>
      </c>
      <c r="N67" s="84"/>
      <c r="O67" s="85"/>
      <c r="P67" s="86"/>
      <c r="Q67" s="47"/>
    </row>
    <row r="68" spans="1:17">
      <c r="A68" s="76" t="s">
        <v>112</v>
      </c>
      <c r="B68" s="76">
        <v>63</v>
      </c>
      <c r="C68" s="76" t="s">
        <v>164</v>
      </c>
      <c r="D68" s="77" t="s">
        <v>185</v>
      </c>
      <c r="E68" s="77"/>
      <c r="F68" s="78">
        <v>11736</v>
      </c>
      <c r="G68" s="79">
        <v>2014</v>
      </c>
      <c r="H68" s="80" t="s">
        <v>14</v>
      </c>
      <c r="I68" s="80" t="s">
        <v>115</v>
      </c>
      <c r="J68" s="80"/>
      <c r="K68" s="81"/>
      <c r="L68" s="82"/>
      <c r="M68" s="83" t="s">
        <v>117</v>
      </c>
      <c r="N68" s="84"/>
      <c r="O68" s="85"/>
      <c r="P68" s="86"/>
      <c r="Q68" s="47"/>
    </row>
    <row r="69" spans="1:17">
      <c r="A69" s="76" t="s">
        <v>112</v>
      </c>
      <c r="B69" s="76">
        <v>64</v>
      </c>
      <c r="C69" s="76" t="s">
        <v>164</v>
      </c>
      <c r="D69" s="77" t="s">
        <v>186</v>
      </c>
      <c r="E69" s="77"/>
      <c r="F69" s="78">
        <v>11737</v>
      </c>
      <c r="G69" s="79">
        <v>2014</v>
      </c>
      <c r="H69" s="80" t="s">
        <v>14</v>
      </c>
      <c r="I69" s="80" t="s">
        <v>115</v>
      </c>
      <c r="J69" s="80"/>
      <c r="K69" s="81"/>
      <c r="L69" s="82"/>
      <c r="M69" s="83" t="s">
        <v>117</v>
      </c>
      <c r="N69" s="84"/>
      <c r="O69" s="85"/>
      <c r="P69" s="86"/>
      <c r="Q69" s="47"/>
    </row>
    <row r="70" spans="1:17">
      <c r="A70" s="76" t="s">
        <v>112</v>
      </c>
      <c r="B70" s="76">
        <v>65</v>
      </c>
      <c r="C70" s="76" t="s">
        <v>164</v>
      </c>
      <c r="D70" s="77" t="s">
        <v>187</v>
      </c>
      <c r="E70" s="77"/>
      <c r="F70" s="78">
        <v>11738</v>
      </c>
      <c r="G70" s="79">
        <v>2014</v>
      </c>
      <c r="H70" s="80" t="s">
        <v>14</v>
      </c>
      <c r="I70" s="80" t="s">
        <v>115</v>
      </c>
      <c r="J70" s="80"/>
      <c r="K70" s="81"/>
      <c r="L70" s="82"/>
      <c r="M70" s="83" t="s">
        <v>117</v>
      </c>
      <c r="N70" s="84"/>
      <c r="O70" s="85"/>
      <c r="P70" s="86"/>
      <c r="Q70" s="47"/>
    </row>
    <row r="71" spans="1:17">
      <c r="A71" s="76" t="s">
        <v>112</v>
      </c>
      <c r="B71" s="76">
        <v>66</v>
      </c>
      <c r="C71" s="76" t="s">
        <v>164</v>
      </c>
      <c r="D71" s="77" t="s">
        <v>188</v>
      </c>
      <c r="E71" s="77"/>
      <c r="F71" s="78">
        <v>11739</v>
      </c>
      <c r="G71" s="79">
        <v>2014</v>
      </c>
      <c r="H71" s="80" t="s">
        <v>19</v>
      </c>
      <c r="I71" s="80" t="s">
        <v>115</v>
      </c>
      <c r="J71" s="80" t="s">
        <v>116</v>
      </c>
      <c r="K71" s="81"/>
      <c r="L71" s="82"/>
      <c r="M71" s="83"/>
      <c r="N71" s="84" t="s">
        <v>117</v>
      </c>
      <c r="O71" s="85"/>
      <c r="P71" s="86"/>
      <c r="Q71" s="47"/>
    </row>
    <row r="72" spans="1:17">
      <c r="A72" s="76" t="s">
        <v>112</v>
      </c>
      <c r="B72" s="76">
        <v>67</v>
      </c>
      <c r="C72" s="76" t="s">
        <v>164</v>
      </c>
      <c r="D72" s="77" t="s">
        <v>189</v>
      </c>
      <c r="E72" s="77"/>
      <c r="F72" s="78">
        <v>11740</v>
      </c>
      <c r="G72" s="79">
        <v>2014</v>
      </c>
      <c r="H72" s="80" t="s">
        <v>17</v>
      </c>
      <c r="I72" s="80" t="s">
        <v>115</v>
      </c>
      <c r="J72" s="80" t="s">
        <v>116</v>
      </c>
      <c r="K72" s="81"/>
      <c r="L72" s="82"/>
      <c r="M72" s="83"/>
      <c r="N72" s="84"/>
      <c r="O72" s="85"/>
      <c r="P72" s="86" t="s">
        <v>117</v>
      </c>
      <c r="Q72" s="47"/>
    </row>
    <row r="73" spans="1:17">
      <c r="A73" s="76" t="s">
        <v>112</v>
      </c>
      <c r="B73" s="76">
        <v>68</v>
      </c>
      <c r="C73" s="76" t="s">
        <v>164</v>
      </c>
      <c r="D73" s="77" t="s">
        <v>190</v>
      </c>
      <c r="E73" s="77"/>
      <c r="F73" s="78">
        <v>11741</v>
      </c>
      <c r="G73" s="79">
        <v>2014</v>
      </c>
      <c r="H73" s="80" t="s">
        <v>19</v>
      </c>
      <c r="I73" s="80" t="s">
        <v>115</v>
      </c>
      <c r="J73" s="80" t="s">
        <v>116</v>
      </c>
      <c r="K73" s="81"/>
      <c r="L73" s="82"/>
      <c r="M73" s="83"/>
      <c r="N73" s="84"/>
      <c r="O73" s="85"/>
      <c r="P73" s="86" t="s">
        <v>117</v>
      </c>
      <c r="Q73" s="47"/>
    </row>
    <row r="74" spans="1:17">
      <c r="A74" s="76" t="s">
        <v>112</v>
      </c>
      <c r="B74" s="76">
        <v>69</v>
      </c>
      <c r="C74" s="76" t="s">
        <v>164</v>
      </c>
      <c r="D74" s="77" t="s">
        <v>191</v>
      </c>
      <c r="E74" s="77"/>
      <c r="F74" s="78">
        <v>11743</v>
      </c>
      <c r="G74" s="79">
        <v>2014</v>
      </c>
      <c r="H74" s="80" t="s">
        <v>19</v>
      </c>
      <c r="I74" s="80"/>
      <c r="J74" s="80"/>
      <c r="K74" s="81"/>
      <c r="L74" s="82"/>
      <c r="M74" s="83"/>
      <c r="N74" s="84"/>
      <c r="O74" s="85"/>
      <c r="P74" s="86" t="s">
        <v>117</v>
      </c>
      <c r="Q74" s="47"/>
    </row>
    <row r="75" spans="1:17">
      <c r="A75" s="76" t="s">
        <v>112</v>
      </c>
      <c r="B75" s="76">
        <v>70</v>
      </c>
      <c r="C75" s="76" t="s">
        <v>164</v>
      </c>
      <c r="D75" s="77" t="s">
        <v>192</v>
      </c>
      <c r="E75" s="77"/>
      <c r="F75" s="78">
        <v>11744</v>
      </c>
      <c r="G75" s="79">
        <v>2014</v>
      </c>
      <c r="H75" s="80" t="s">
        <v>19</v>
      </c>
      <c r="I75" s="80"/>
      <c r="J75" s="80"/>
      <c r="K75" s="81"/>
      <c r="L75" s="82"/>
      <c r="M75" s="83"/>
      <c r="N75" s="84"/>
      <c r="O75" s="85"/>
      <c r="P75" s="86" t="s">
        <v>117</v>
      </c>
      <c r="Q75" s="47"/>
    </row>
    <row r="76" spans="1:17">
      <c r="A76" s="76" t="s">
        <v>112</v>
      </c>
      <c r="B76" s="76">
        <v>71</v>
      </c>
      <c r="C76" s="76" t="s">
        <v>164</v>
      </c>
      <c r="D76" s="77" t="s">
        <v>193</v>
      </c>
      <c r="E76" s="77"/>
      <c r="F76" s="78">
        <v>11745</v>
      </c>
      <c r="G76" s="79">
        <v>2014</v>
      </c>
      <c r="H76" s="80" t="s">
        <v>19</v>
      </c>
      <c r="I76" s="80"/>
      <c r="J76" s="80"/>
      <c r="K76" s="81"/>
      <c r="L76" s="82"/>
      <c r="M76" s="83"/>
      <c r="N76" s="84"/>
      <c r="O76" s="85"/>
      <c r="P76" s="86" t="s">
        <v>117</v>
      </c>
      <c r="Q76" s="47"/>
    </row>
    <row r="77" spans="1:17">
      <c r="A77" s="76" t="s">
        <v>112</v>
      </c>
      <c r="B77" s="76">
        <v>72</v>
      </c>
      <c r="C77" s="76" t="s">
        <v>113</v>
      </c>
      <c r="D77" s="77" t="s">
        <v>136</v>
      </c>
      <c r="E77" s="77"/>
      <c r="F77" s="78">
        <v>11746</v>
      </c>
      <c r="G77" s="79">
        <v>2019</v>
      </c>
      <c r="H77" s="80" t="s">
        <v>17</v>
      </c>
      <c r="I77" s="80" t="s">
        <v>115</v>
      </c>
      <c r="J77" s="80" t="s">
        <v>116</v>
      </c>
      <c r="K77" s="81"/>
      <c r="L77" s="82"/>
      <c r="M77" s="83"/>
      <c r="N77" s="84"/>
      <c r="O77" s="85"/>
      <c r="P77" s="86" t="s">
        <v>117</v>
      </c>
      <c r="Q77" s="47"/>
    </row>
    <row r="78" spans="1:17">
      <c r="A78" s="76" t="s">
        <v>112</v>
      </c>
      <c r="B78" s="76">
        <v>73</v>
      </c>
      <c r="C78" s="76" t="s">
        <v>130</v>
      </c>
      <c r="D78" s="77" t="s">
        <v>136</v>
      </c>
      <c r="E78" s="77"/>
      <c r="F78" s="78">
        <v>11747</v>
      </c>
      <c r="G78" s="79">
        <v>2019</v>
      </c>
      <c r="H78" s="80" t="s">
        <v>17</v>
      </c>
      <c r="I78" s="80" t="s">
        <v>115</v>
      </c>
      <c r="J78" s="80" t="s">
        <v>116</v>
      </c>
      <c r="K78" s="81"/>
      <c r="L78" s="82"/>
      <c r="M78" s="83"/>
      <c r="N78" s="84"/>
      <c r="O78" s="85"/>
      <c r="P78" s="86" t="s">
        <v>117</v>
      </c>
      <c r="Q78" s="47"/>
    </row>
    <row r="79" spans="1:17">
      <c r="A79" s="76" t="s">
        <v>112</v>
      </c>
      <c r="B79" s="76">
        <v>74</v>
      </c>
      <c r="C79" s="76" t="s">
        <v>164</v>
      </c>
      <c r="D79" s="77" t="s">
        <v>136</v>
      </c>
      <c r="E79" s="77"/>
      <c r="F79" s="78">
        <v>11748</v>
      </c>
      <c r="G79" s="79">
        <v>2019</v>
      </c>
      <c r="H79" s="80" t="s">
        <v>17</v>
      </c>
      <c r="I79" s="80" t="s">
        <v>115</v>
      </c>
      <c r="J79" s="80" t="s">
        <v>116</v>
      </c>
      <c r="K79" s="81"/>
      <c r="L79" s="82"/>
      <c r="M79" s="83"/>
      <c r="N79" s="84"/>
      <c r="O79" s="85"/>
      <c r="P79" s="86" t="s">
        <v>117</v>
      </c>
      <c r="Q79" s="47"/>
    </row>
    <row r="80" spans="1:17">
      <c r="A80" s="76" t="s">
        <v>112</v>
      </c>
      <c r="B80" s="76">
        <v>75</v>
      </c>
      <c r="C80" s="76" t="s">
        <v>164</v>
      </c>
      <c r="D80" s="77" t="s">
        <v>136</v>
      </c>
      <c r="E80" s="77"/>
      <c r="F80" s="78">
        <v>11749</v>
      </c>
      <c r="G80" s="79">
        <v>2019</v>
      </c>
      <c r="H80" s="80" t="s">
        <v>17</v>
      </c>
      <c r="I80" s="80" t="s">
        <v>115</v>
      </c>
      <c r="J80" s="80" t="s">
        <v>116</v>
      </c>
      <c r="K80" s="81"/>
      <c r="L80" s="82"/>
      <c r="M80" s="83"/>
      <c r="N80" s="84"/>
      <c r="O80" s="85"/>
      <c r="P80" s="86" t="s">
        <v>117</v>
      </c>
      <c r="Q80" s="47"/>
    </row>
    <row r="81" spans="1:17">
      <c r="A81" s="76" t="s">
        <v>112</v>
      </c>
      <c r="B81" s="76">
        <v>76</v>
      </c>
      <c r="C81" s="76" t="s">
        <v>113</v>
      </c>
      <c r="D81" s="77" t="s">
        <v>194</v>
      </c>
      <c r="E81" s="77"/>
      <c r="F81" s="78">
        <v>11754</v>
      </c>
      <c r="G81" s="79">
        <v>2015</v>
      </c>
      <c r="H81" s="80" t="s">
        <v>14</v>
      </c>
      <c r="I81" s="80" t="s">
        <v>115</v>
      </c>
      <c r="J81" s="80" t="s">
        <v>116</v>
      </c>
      <c r="K81" s="81" t="s">
        <v>117</v>
      </c>
      <c r="L81" s="82"/>
      <c r="M81" s="83"/>
      <c r="N81" s="84"/>
      <c r="O81" s="85"/>
      <c r="P81" s="86"/>
      <c r="Q81" s="47" t="s">
        <v>195</v>
      </c>
    </row>
    <row r="82" spans="1:17">
      <c r="A82" s="76" t="s">
        <v>112</v>
      </c>
      <c r="B82" s="76">
        <v>77</v>
      </c>
      <c r="C82" s="76" t="s">
        <v>113</v>
      </c>
      <c r="D82" s="77" t="s">
        <v>196</v>
      </c>
      <c r="E82" s="77"/>
      <c r="F82" s="78">
        <v>11755</v>
      </c>
      <c r="G82" s="79"/>
      <c r="H82" s="80" t="s">
        <v>19</v>
      </c>
      <c r="I82" s="80"/>
      <c r="J82" s="80"/>
      <c r="K82" s="81"/>
      <c r="L82" s="82"/>
      <c r="M82" s="83"/>
      <c r="N82" s="84"/>
      <c r="O82" s="85"/>
      <c r="P82" s="86" t="s">
        <v>117</v>
      </c>
      <c r="Q82" s="47"/>
    </row>
    <row r="83" spans="1:17">
      <c r="A83" s="76" t="s">
        <v>112</v>
      </c>
      <c r="B83" s="76">
        <v>142</v>
      </c>
      <c r="C83" s="76" t="s">
        <v>164</v>
      </c>
      <c r="D83" s="77" t="s">
        <v>197</v>
      </c>
      <c r="E83" s="77"/>
      <c r="F83" s="78">
        <v>11756</v>
      </c>
      <c r="G83" s="79">
        <v>2015</v>
      </c>
      <c r="H83" s="80" t="s">
        <v>14</v>
      </c>
      <c r="I83" s="80" t="s">
        <v>115</v>
      </c>
      <c r="J83" s="80"/>
      <c r="K83" s="81"/>
      <c r="L83" s="82"/>
      <c r="M83" s="83"/>
      <c r="N83" s="84" t="s">
        <v>117</v>
      </c>
      <c r="O83" s="85"/>
      <c r="P83" s="86"/>
      <c r="Q83" s="47" t="s">
        <v>198</v>
      </c>
    </row>
    <row r="84" spans="1:17">
      <c r="A84" s="76" t="s">
        <v>112</v>
      </c>
      <c r="B84" s="76">
        <v>78</v>
      </c>
      <c r="C84" s="76" t="s">
        <v>130</v>
      </c>
      <c r="D84" s="77" t="s">
        <v>199</v>
      </c>
      <c r="E84" s="77"/>
      <c r="F84" s="78">
        <v>11757</v>
      </c>
      <c r="G84" s="79">
        <v>2015</v>
      </c>
      <c r="H84" s="80" t="s">
        <v>19</v>
      </c>
      <c r="I84" s="80" t="s">
        <v>115</v>
      </c>
      <c r="J84" s="80"/>
      <c r="K84" s="81"/>
      <c r="L84" s="82"/>
      <c r="M84" s="83"/>
      <c r="N84" s="84"/>
      <c r="O84" s="85" t="s">
        <v>117</v>
      </c>
      <c r="P84" s="86"/>
      <c r="Q84" s="47"/>
    </row>
    <row r="85" spans="1:17">
      <c r="A85" s="76" t="s">
        <v>112</v>
      </c>
      <c r="B85" s="76">
        <v>79</v>
      </c>
      <c r="C85" s="76" t="s">
        <v>113</v>
      </c>
      <c r="D85" s="77" t="s">
        <v>200</v>
      </c>
      <c r="E85" s="77"/>
      <c r="F85" s="78">
        <v>11766</v>
      </c>
      <c r="G85" s="194">
        <v>2017</v>
      </c>
      <c r="H85" s="80" t="s">
        <v>17</v>
      </c>
      <c r="I85" s="80" t="s">
        <v>115</v>
      </c>
      <c r="J85" s="80"/>
      <c r="K85" s="81"/>
      <c r="L85" s="82"/>
      <c r="M85" s="83"/>
      <c r="N85" s="84"/>
      <c r="O85" s="85"/>
      <c r="P85" s="86" t="s">
        <v>117</v>
      </c>
      <c r="Q85" s="47" t="s">
        <v>201</v>
      </c>
    </row>
    <row r="86" spans="1:17">
      <c r="A86" s="76" t="s">
        <v>112</v>
      </c>
      <c r="B86" s="76">
        <v>80</v>
      </c>
      <c r="C86" s="76" t="s">
        <v>164</v>
      </c>
      <c r="D86" s="77" t="s">
        <v>182</v>
      </c>
      <c r="E86" s="77"/>
      <c r="F86" s="78">
        <v>11768</v>
      </c>
      <c r="G86" s="79">
        <v>2013</v>
      </c>
      <c r="H86" s="80" t="s">
        <v>14</v>
      </c>
      <c r="I86" s="80" t="s">
        <v>115</v>
      </c>
      <c r="J86" s="80" t="s">
        <v>116</v>
      </c>
      <c r="K86" s="81"/>
      <c r="L86" s="82"/>
      <c r="M86" s="83"/>
      <c r="N86" s="84"/>
      <c r="O86" s="85"/>
      <c r="P86" s="86"/>
      <c r="Q86" s="47" t="s">
        <v>183</v>
      </c>
    </row>
    <row r="87" spans="1:17">
      <c r="A87" s="76" t="s">
        <v>112</v>
      </c>
      <c r="B87" s="76">
        <v>81</v>
      </c>
      <c r="C87" s="76" t="s">
        <v>130</v>
      </c>
      <c r="D87" s="77" t="s">
        <v>202</v>
      </c>
      <c r="E87" s="77"/>
      <c r="F87" s="78">
        <v>11769</v>
      </c>
      <c r="G87" s="79"/>
      <c r="H87" s="80" t="s">
        <v>14</v>
      </c>
      <c r="I87" s="80" t="s">
        <v>115</v>
      </c>
      <c r="J87" s="80" t="s">
        <v>116</v>
      </c>
      <c r="K87" s="81"/>
      <c r="L87" s="82" t="s">
        <v>117</v>
      </c>
      <c r="M87" s="83"/>
      <c r="N87" s="84"/>
      <c r="O87" s="85"/>
      <c r="P87" s="86"/>
      <c r="Q87" s="47" t="s">
        <v>203</v>
      </c>
    </row>
    <row r="88" spans="1:17">
      <c r="A88" s="76" t="s">
        <v>112</v>
      </c>
      <c r="B88" s="76">
        <v>82</v>
      </c>
      <c r="C88" s="76" t="s">
        <v>130</v>
      </c>
      <c r="D88" s="77" t="s">
        <v>204</v>
      </c>
      <c r="E88" s="77"/>
      <c r="F88" s="78">
        <v>11770</v>
      </c>
      <c r="G88" s="79"/>
      <c r="H88" s="80" t="s">
        <v>14</v>
      </c>
      <c r="I88" s="80" t="s">
        <v>115</v>
      </c>
      <c r="J88" s="80" t="s">
        <v>116</v>
      </c>
      <c r="K88" s="81"/>
      <c r="L88" s="82"/>
      <c r="M88" s="83"/>
      <c r="N88" s="84"/>
      <c r="O88" s="85"/>
      <c r="P88" s="86" t="s">
        <v>117</v>
      </c>
      <c r="Q88" s="47" t="s">
        <v>205</v>
      </c>
    </row>
    <row r="89" spans="1:17">
      <c r="A89" s="76" t="s">
        <v>112</v>
      </c>
      <c r="B89" s="76">
        <v>83</v>
      </c>
      <c r="C89" s="76" t="s">
        <v>130</v>
      </c>
      <c r="D89" s="77" t="s">
        <v>206</v>
      </c>
      <c r="E89" s="77"/>
      <c r="F89" s="78">
        <v>11771</v>
      </c>
      <c r="G89" s="79"/>
      <c r="H89" s="80" t="s">
        <v>14</v>
      </c>
      <c r="I89" s="80" t="s">
        <v>115</v>
      </c>
      <c r="J89" s="80" t="s">
        <v>116</v>
      </c>
      <c r="K89" s="81"/>
      <c r="L89" s="82"/>
      <c r="M89" s="83"/>
      <c r="N89" s="84"/>
      <c r="O89" s="85"/>
      <c r="P89" s="86" t="s">
        <v>117</v>
      </c>
      <c r="Q89" s="47" t="s">
        <v>205</v>
      </c>
    </row>
    <row r="90" spans="1:17">
      <c r="A90" s="76" t="s">
        <v>112</v>
      </c>
      <c r="B90" s="76">
        <v>84</v>
      </c>
      <c r="C90" s="76" t="s">
        <v>113</v>
      </c>
      <c r="D90" s="77" t="s">
        <v>207</v>
      </c>
      <c r="E90" s="77"/>
      <c r="F90" s="78">
        <v>11773</v>
      </c>
      <c r="G90" s="79">
        <v>2012</v>
      </c>
      <c r="H90" s="80"/>
      <c r="I90" s="80"/>
      <c r="J90" s="80"/>
      <c r="K90" s="81"/>
      <c r="L90" s="82"/>
      <c r="M90" s="83"/>
      <c r="N90" s="84"/>
      <c r="O90" s="85"/>
      <c r="P90" s="86" t="s">
        <v>117</v>
      </c>
      <c r="Q90" s="47"/>
    </row>
    <row r="91" spans="1:17">
      <c r="A91" s="76" t="s">
        <v>112</v>
      </c>
      <c r="B91" s="76">
        <v>85</v>
      </c>
      <c r="C91" s="76" t="s">
        <v>130</v>
      </c>
      <c r="D91" s="77" t="s">
        <v>208</v>
      </c>
      <c r="E91" s="77"/>
      <c r="F91" s="78">
        <v>11774</v>
      </c>
      <c r="G91" s="79">
        <v>2016</v>
      </c>
      <c r="H91" s="80" t="s">
        <v>19</v>
      </c>
      <c r="I91" s="80" t="s">
        <v>115</v>
      </c>
      <c r="J91" s="80" t="s">
        <v>116</v>
      </c>
      <c r="K91" s="81"/>
      <c r="L91" s="82"/>
      <c r="M91" s="83"/>
      <c r="N91" s="84"/>
      <c r="O91" s="85"/>
      <c r="P91" s="86" t="s">
        <v>117</v>
      </c>
      <c r="Q91" s="47"/>
    </row>
    <row r="92" spans="1:17">
      <c r="A92" s="76" t="s">
        <v>112</v>
      </c>
      <c r="B92" s="76">
        <v>86</v>
      </c>
      <c r="C92" s="76" t="s">
        <v>130</v>
      </c>
      <c r="D92" s="77" t="s">
        <v>208</v>
      </c>
      <c r="E92" s="77"/>
      <c r="F92" s="78">
        <v>11775</v>
      </c>
      <c r="G92" s="79">
        <v>2016</v>
      </c>
      <c r="H92" s="80" t="s">
        <v>19</v>
      </c>
      <c r="I92" s="80" t="s">
        <v>115</v>
      </c>
      <c r="J92" s="80" t="s">
        <v>116</v>
      </c>
      <c r="K92" s="81"/>
      <c r="L92" s="82"/>
      <c r="M92" s="83"/>
      <c r="N92" s="84"/>
      <c r="O92" s="85"/>
      <c r="P92" s="86" t="s">
        <v>117</v>
      </c>
      <c r="Q92" s="47"/>
    </row>
    <row r="93" spans="1:17">
      <c r="A93" s="76" t="s">
        <v>112</v>
      </c>
      <c r="B93" s="76">
        <v>87</v>
      </c>
      <c r="C93" s="76" t="s">
        <v>130</v>
      </c>
      <c r="D93" s="77" t="s">
        <v>208</v>
      </c>
      <c r="E93" s="77"/>
      <c r="F93" s="78">
        <v>11776</v>
      </c>
      <c r="G93" s="79">
        <v>2016</v>
      </c>
      <c r="H93" s="80" t="s">
        <v>19</v>
      </c>
      <c r="I93" s="80" t="s">
        <v>115</v>
      </c>
      <c r="J93" s="80" t="s">
        <v>116</v>
      </c>
      <c r="K93" s="81"/>
      <c r="L93" s="82"/>
      <c r="M93" s="83"/>
      <c r="N93" s="84"/>
      <c r="O93" s="85"/>
      <c r="P93" s="86" t="s">
        <v>117</v>
      </c>
      <c r="Q93" s="47"/>
    </row>
    <row r="94" spans="1:17">
      <c r="A94" s="76" t="s">
        <v>112</v>
      </c>
      <c r="B94" s="76">
        <v>88</v>
      </c>
      <c r="C94" s="76" t="s">
        <v>130</v>
      </c>
      <c r="D94" s="77" t="s">
        <v>208</v>
      </c>
      <c r="E94" s="77"/>
      <c r="F94" s="78">
        <v>11777</v>
      </c>
      <c r="G94" s="79">
        <v>2016</v>
      </c>
      <c r="H94" s="80" t="s">
        <v>19</v>
      </c>
      <c r="I94" s="80" t="s">
        <v>115</v>
      </c>
      <c r="J94" s="80" t="s">
        <v>116</v>
      </c>
      <c r="K94" s="81"/>
      <c r="L94" s="82"/>
      <c r="M94" s="83"/>
      <c r="N94" s="84"/>
      <c r="O94" s="85"/>
      <c r="P94" s="86" t="s">
        <v>117</v>
      </c>
      <c r="Q94" s="47"/>
    </row>
    <row r="95" spans="1:17">
      <c r="A95" s="76" t="s">
        <v>112</v>
      </c>
      <c r="B95" s="76">
        <v>89</v>
      </c>
      <c r="C95" s="76" t="s">
        <v>153</v>
      </c>
      <c r="D95" s="77" t="s">
        <v>209</v>
      </c>
      <c r="E95" s="77"/>
      <c r="F95" s="78">
        <v>11778</v>
      </c>
      <c r="G95" s="79">
        <v>2016</v>
      </c>
      <c r="H95" s="80" t="s">
        <v>17</v>
      </c>
      <c r="I95" s="80" t="s">
        <v>115</v>
      </c>
      <c r="J95" s="80" t="s">
        <v>116</v>
      </c>
      <c r="K95" s="81"/>
      <c r="L95" s="82"/>
      <c r="M95" s="83"/>
      <c r="N95" s="84"/>
      <c r="O95" s="85"/>
      <c r="P95" s="86" t="s">
        <v>117</v>
      </c>
      <c r="Q95" s="47"/>
    </row>
    <row r="96" spans="1:17">
      <c r="A96" s="76" t="s">
        <v>112</v>
      </c>
      <c r="B96" s="76">
        <v>90</v>
      </c>
      <c r="C96" s="76" t="s">
        <v>153</v>
      </c>
      <c r="D96" s="77" t="s">
        <v>210</v>
      </c>
      <c r="E96" s="77"/>
      <c r="F96" s="78">
        <v>11779</v>
      </c>
      <c r="G96" s="79">
        <v>2016</v>
      </c>
      <c r="H96" s="80" t="s">
        <v>19</v>
      </c>
      <c r="I96" s="80" t="s">
        <v>115</v>
      </c>
      <c r="J96" s="80" t="s">
        <v>116</v>
      </c>
      <c r="K96" s="81"/>
      <c r="L96" s="82"/>
      <c r="M96" s="83"/>
      <c r="N96" s="84"/>
      <c r="O96" s="85"/>
      <c r="P96" s="86" t="s">
        <v>117</v>
      </c>
      <c r="Q96" s="47"/>
    </row>
    <row r="97" spans="1:17">
      <c r="A97" s="76" t="s">
        <v>112</v>
      </c>
      <c r="B97" s="76">
        <v>91</v>
      </c>
      <c r="C97" s="76" t="s">
        <v>130</v>
      </c>
      <c r="D97" s="77" t="s">
        <v>211</v>
      </c>
      <c r="E97" s="77"/>
      <c r="F97" s="78">
        <v>11780</v>
      </c>
      <c r="G97" s="79">
        <v>2017</v>
      </c>
      <c r="H97" s="80" t="s">
        <v>19</v>
      </c>
      <c r="I97" s="80" t="s">
        <v>115</v>
      </c>
      <c r="J97" s="80"/>
      <c r="K97" s="81"/>
      <c r="L97" s="82"/>
      <c r="M97" s="83"/>
      <c r="N97" s="84" t="s">
        <v>117</v>
      </c>
      <c r="O97" s="85"/>
      <c r="P97" s="86"/>
      <c r="Q97" s="47"/>
    </row>
    <row r="98" spans="1:17">
      <c r="A98" s="76" t="s">
        <v>112</v>
      </c>
      <c r="B98" s="76">
        <v>92</v>
      </c>
      <c r="C98" s="76" t="s">
        <v>153</v>
      </c>
      <c r="D98" s="77" t="s">
        <v>212</v>
      </c>
      <c r="E98" s="77"/>
      <c r="F98" s="78">
        <v>11781</v>
      </c>
      <c r="G98" s="79">
        <v>2017</v>
      </c>
      <c r="H98" s="80" t="s">
        <v>17</v>
      </c>
      <c r="I98" s="80" t="s">
        <v>115</v>
      </c>
      <c r="J98" s="80" t="s">
        <v>116</v>
      </c>
      <c r="K98" s="81"/>
      <c r="L98" s="82"/>
      <c r="M98" s="83"/>
      <c r="N98" s="84"/>
      <c r="O98" s="85"/>
      <c r="P98" s="86" t="s">
        <v>117</v>
      </c>
      <c r="Q98" s="47"/>
    </row>
    <row r="99" spans="1:17">
      <c r="A99" s="76" t="s">
        <v>112</v>
      </c>
      <c r="B99" s="76">
        <v>93</v>
      </c>
      <c r="C99" s="76" t="s">
        <v>130</v>
      </c>
      <c r="D99" s="77" t="s">
        <v>213</v>
      </c>
      <c r="E99" s="77"/>
      <c r="F99" s="78">
        <v>11782</v>
      </c>
      <c r="G99" s="79">
        <v>2017</v>
      </c>
      <c r="H99" s="80"/>
      <c r="I99" s="80"/>
      <c r="J99" s="80"/>
      <c r="K99" s="81"/>
      <c r="L99" s="82"/>
      <c r="M99" s="83"/>
      <c r="N99" s="84"/>
      <c r="O99" s="85"/>
      <c r="P99" s="86" t="s">
        <v>117</v>
      </c>
      <c r="Q99" s="47"/>
    </row>
    <row r="100" spans="1:17">
      <c r="A100" s="76" t="s">
        <v>112</v>
      </c>
      <c r="B100" s="76">
        <v>94</v>
      </c>
      <c r="C100" s="76" t="s">
        <v>113</v>
      </c>
      <c r="D100" s="77" t="s">
        <v>214</v>
      </c>
      <c r="E100" s="77"/>
      <c r="F100" s="78">
        <v>11783</v>
      </c>
      <c r="G100" s="79">
        <v>2017</v>
      </c>
      <c r="H100" s="80"/>
      <c r="I100" s="80"/>
      <c r="J100" s="80"/>
      <c r="K100" s="81"/>
      <c r="L100" s="82"/>
      <c r="M100" s="83"/>
      <c r="N100" s="84"/>
      <c r="O100" s="85"/>
      <c r="P100" s="86" t="s">
        <v>117</v>
      </c>
      <c r="Q100" s="47"/>
    </row>
    <row r="101" spans="1:17">
      <c r="A101" s="76" t="s">
        <v>112</v>
      </c>
      <c r="B101" s="76">
        <v>95</v>
      </c>
      <c r="C101" s="76" t="s">
        <v>113</v>
      </c>
      <c r="D101" s="77" t="s">
        <v>136</v>
      </c>
      <c r="E101" s="77"/>
      <c r="F101" s="78">
        <v>11784</v>
      </c>
      <c r="G101" s="79">
        <v>2017</v>
      </c>
      <c r="H101" s="80" t="s">
        <v>17</v>
      </c>
      <c r="I101" s="80" t="s">
        <v>115</v>
      </c>
      <c r="J101" s="80" t="s">
        <v>116</v>
      </c>
      <c r="K101" s="81"/>
      <c r="L101" s="82"/>
      <c r="M101" s="83"/>
      <c r="N101" s="84"/>
      <c r="O101" s="85"/>
      <c r="P101" s="86" t="s">
        <v>117</v>
      </c>
      <c r="Q101" s="47"/>
    </row>
    <row r="102" spans="1:17">
      <c r="A102" s="76" t="s">
        <v>112</v>
      </c>
      <c r="B102" s="76">
        <v>96</v>
      </c>
      <c r="C102" s="76" t="s">
        <v>164</v>
      </c>
      <c r="D102" s="77" t="s">
        <v>215</v>
      </c>
      <c r="E102" s="77"/>
      <c r="F102" s="78">
        <v>11785</v>
      </c>
      <c r="G102" s="79">
        <v>2017</v>
      </c>
      <c r="H102" s="80" t="s">
        <v>19</v>
      </c>
      <c r="I102" s="80" t="s">
        <v>115</v>
      </c>
      <c r="J102" s="80"/>
      <c r="K102" s="81"/>
      <c r="L102" s="82"/>
      <c r="M102" s="83"/>
      <c r="N102" s="84"/>
      <c r="O102" s="85"/>
      <c r="P102" s="86" t="s">
        <v>117</v>
      </c>
      <c r="Q102" s="47"/>
    </row>
    <row r="103" spans="1:17">
      <c r="A103" s="76" t="s">
        <v>112</v>
      </c>
      <c r="B103" s="76">
        <v>97</v>
      </c>
      <c r="C103" s="76" t="s">
        <v>164</v>
      </c>
      <c r="D103" s="77" t="s">
        <v>216</v>
      </c>
      <c r="E103" s="77"/>
      <c r="F103" s="78">
        <v>11786</v>
      </c>
      <c r="G103" s="79">
        <v>2018</v>
      </c>
      <c r="H103" s="80" t="s">
        <v>19</v>
      </c>
      <c r="I103" s="80" t="s">
        <v>115</v>
      </c>
      <c r="J103" s="80"/>
      <c r="K103" s="81"/>
      <c r="L103" s="82"/>
      <c r="M103" s="83"/>
      <c r="N103" s="84"/>
      <c r="O103" s="85"/>
      <c r="P103" s="86"/>
      <c r="Q103" s="47"/>
    </row>
    <row r="104" spans="1:17">
      <c r="A104" s="76" t="s">
        <v>112</v>
      </c>
      <c r="B104" s="76">
        <v>98</v>
      </c>
      <c r="C104" s="76" t="s">
        <v>164</v>
      </c>
      <c r="D104" s="77" t="s">
        <v>217</v>
      </c>
      <c r="E104" s="77"/>
      <c r="F104" s="78">
        <v>11787</v>
      </c>
      <c r="G104" s="79">
        <v>2018</v>
      </c>
      <c r="H104" s="80" t="s">
        <v>19</v>
      </c>
      <c r="I104" s="80"/>
      <c r="J104" s="80"/>
      <c r="K104" s="81"/>
      <c r="L104" s="82"/>
      <c r="M104" s="83"/>
      <c r="N104" s="84"/>
      <c r="O104" s="85"/>
      <c r="P104" s="86" t="s">
        <v>117</v>
      </c>
      <c r="Q104" s="47"/>
    </row>
    <row r="105" spans="1:17">
      <c r="A105" s="76" t="s">
        <v>112</v>
      </c>
      <c r="B105" s="76">
        <v>99</v>
      </c>
      <c r="C105" s="76" t="s">
        <v>130</v>
      </c>
      <c r="D105" s="77" t="s">
        <v>218</v>
      </c>
      <c r="E105" s="77"/>
      <c r="F105" s="78">
        <v>11788</v>
      </c>
      <c r="G105" s="79">
        <v>2018</v>
      </c>
      <c r="H105" s="80" t="s">
        <v>19</v>
      </c>
      <c r="I105" s="80" t="s">
        <v>115</v>
      </c>
      <c r="J105" s="80" t="s">
        <v>116</v>
      </c>
      <c r="K105" s="81"/>
      <c r="L105" s="82"/>
      <c r="M105" s="83"/>
      <c r="N105" s="84"/>
      <c r="O105" s="85"/>
      <c r="P105" s="86" t="s">
        <v>117</v>
      </c>
      <c r="Q105" s="47"/>
    </row>
    <row r="106" spans="1:17">
      <c r="A106" s="76" t="s">
        <v>112</v>
      </c>
      <c r="B106" s="76">
        <v>100</v>
      </c>
      <c r="C106" s="76" t="s">
        <v>130</v>
      </c>
      <c r="D106" s="77" t="s">
        <v>218</v>
      </c>
      <c r="E106" s="77"/>
      <c r="F106" s="78">
        <v>11789</v>
      </c>
      <c r="G106" s="79">
        <v>2018</v>
      </c>
      <c r="H106" s="80" t="s">
        <v>19</v>
      </c>
      <c r="I106" s="80" t="s">
        <v>115</v>
      </c>
      <c r="J106" s="80" t="s">
        <v>116</v>
      </c>
      <c r="K106" s="81"/>
      <c r="L106" s="82"/>
      <c r="M106" s="83"/>
      <c r="N106" s="84"/>
      <c r="O106" s="85"/>
      <c r="P106" s="86" t="s">
        <v>117</v>
      </c>
      <c r="Q106" s="47"/>
    </row>
    <row r="107" spans="1:17">
      <c r="A107" s="76" t="s">
        <v>112</v>
      </c>
      <c r="B107" s="76">
        <v>101</v>
      </c>
      <c r="C107" s="76" t="s">
        <v>113</v>
      </c>
      <c r="D107" s="77" t="s">
        <v>219</v>
      </c>
      <c r="E107" s="77"/>
      <c r="F107" s="78">
        <v>11790</v>
      </c>
      <c r="G107" s="79">
        <v>2018</v>
      </c>
      <c r="H107" s="80" t="s">
        <v>17</v>
      </c>
      <c r="I107" s="80" t="s">
        <v>115</v>
      </c>
      <c r="J107" s="80"/>
      <c r="K107" s="81"/>
      <c r="L107" s="82"/>
      <c r="M107" s="83"/>
      <c r="N107" s="84"/>
      <c r="O107" s="85"/>
      <c r="P107" s="86" t="s">
        <v>117</v>
      </c>
      <c r="Q107" s="47"/>
    </row>
    <row r="108" spans="1:17">
      <c r="A108" s="76" t="s">
        <v>112</v>
      </c>
      <c r="B108" s="76">
        <v>102</v>
      </c>
      <c r="C108" s="76" t="s">
        <v>113</v>
      </c>
      <c r="D108" s="77" t="s">
        <v>220</v>
      </c>
      <c r="E108" s="77"/>
      <c r="F108" s="78">
        <v>11792</v>
      </c>
      <c r="G108" s="79">
        <v>2019</v>
      </c>
      <c r="H108" s="80" t="s">
        <v>19</v>
      </c>
      <c r="I108" s="80"/>
      <c r="J108" s="80"/>
      <c r="K108" s="81"/>
      <c r="L108" s="82"/>
      <c r="M108" s="83"/>
      <c r="N108" s="84"/>
      <c r="O108" s="85"/>
      <c r="P108" s="86" t="s">
        <v>117</v>
      </c>
      <c r="Q108" s="47"/>
    </row>
    <row r="109" spans="1:17">
      <c r="A109" s="76" t="s">
        <v>112</v>
      </c>
      <c r="B109" s="76">
        <v>103</v>
      </c>
      <c r="C109" s="76" t="s">
        <v>135</v>
      </c>
      <c r="D109" s="77" t="s">
        <v>221</v>
      </c>
      <c r="E109" s="77"/>
      <c r="F109" s="78">
        <v>11793</v>
      </c>
      <c r="G109" s="79">
        <v>2018</v>
      </c>
      <c r="H109" s="80" t="s">
        <v>17</v>
      </c>
      <c r="I109" s="80" t="s">
        <v>115</v>
      </c>
      <c r="J109" s="80" t="s">
        <v>116</v>
      </c>
      <c r="K109" s="81"/>
      <c r="L109" s="82"/>
      <c r="M109" s="83"/>
      <c r="N109" s="84"/>
      <c r="O109" s="85"/>
      <c r="P109" s="86" t="s">
        <v>117</v>
      </c>
      <c r="Q109" s="47"/>
    </row>
    <row r="110" spans="1:17">
      <c r="A110" s="76" t="s">
        <v>112</v>
      </c>
      <c r="B110" s="76">
        <v>104</v>
      </c>
      <c r="C110" s="76" t="s">
        <v>135</v>
      </c>
      <c r="D110" s="77" t="s">
        <v>221</v>
      </c>
      <c r="E110" s="77"/>
      <c r="F110" s="78">
        <v>11794</v>
      </c>
      <c r="G110" s="79">
        <v>2018</v>
      </c>
      <c r="H110" s="80" t="s">
        <v>17</v>
      </c>
      <c r="I110" s="80" t="s">
        <v>115</v>
      </c>
      <c r="J110" s="80" t="s">
        <v>116</v>
      </c>
      <c r="K110" s="81"/>
      <c r="L110" s="82"/>
      <c r="M110" s="83"/>
      <c r="N110" s="84"/>
      <c r="O110" s="85"/>
      <c r="P110" s="86" t="s">
        <v>117</v>
      </c>
      <c r="Q110" s="47"/>
    </row>
    <row r="111" spans="1:17">
      <c r="A111" s="76" t="s">
        <v>112</v>
      </c>
      <c r="B111" s="76">
        <v>105</v>
      </c>
      <c r="C111" s="76" t="s">
        <v>130</v>
      </c>
      <c r="D111" s="77" t="s">
        <v>222</v>
      </c>
      <c r="E111" s="77"/>
      <c r="F111" s="78">
        <v>11795</v>
      </c>
      <c r="G111" s="79">
        <v>2018</v>
      </c>
      <c r="H111" s="80" t="s">
        <v>14</v>
      </c>
      <c r="I111" s="80" t="s">
        <v>115</v>
      </c>
      <c r="J111" s="80" t="s">
        <v>116</v>
      </c>
      <c r="K111" s="81"/>
      <c r="L111" s="82" t="s">
        <v>117</v>
      </c>
      <c r="M111" s="83"/>
      <c r="N111" s="84"/>
      <c r="O111" s="85"/>
      <c r="P111" s="86"/>
      <c r="Q111" s="47"/>
    </row>
    <row r="112" spans="1:17">
      <c r="A112" s="76" t="s">
        <v>112</v>
      </c>
      <c r="B112" s="76">
        <v>106</v>
      </c>
      <c r="C112" s="76" t="s">
        <v>135</v>
      </c>
      <c r="D112" s="77" t="s">
        <v>223</v>
      </c>
      <c r="E112" s="77"/>
      <c r="F112" s="78">
        <v>11796</v>
      </c>
      <c r="G112" s="79">
        <v>2018</v>
      </c>
      <c r="H112" s="80" t="s">
        <v>19</v>
      </c>
      <c r="I112" s="80" t="s">
        <v>115</v>
      </c>
      <c r="J112" s="80" t="s">
        <v>116</v>
      </c>
      <c r="K112" s="81"/>
      <c r="L112" s="82"/>
      <c r="M112" s="83"/>
      <c r="N112" s="84" t="s">
        <v>117</v>
      </c>
      <c r="O112" s="85"/>
      <c r="P112" s="86"/>
      <c r="Q112" s="47"/>
    </row>
    <row r="113" spans="1:17">
      <c r="A113" s="76" t="s">
        <v>112</v>
      </c>
      <c r="B113" s="76">
        <v>107</v>
      </c>
      <c r="C113" s="76" t="s">
        <v>164</v>
      </c>
      <c r="D113" s="77" t="s">
        <v>224</v>
      </c>
      <c r="E113" s="77"/>
      <c r="F113" s="78">
        <v>11797</v>
      </c>
      <c r="G113" s="79">
        <v>2018</v>
      </c>
      <c r="H113" s="80" t="s">
        <v>19</v>
      </c>
      <c r="I113" s="80" t="s">
        <v>115</v>
      </c>
      <c r="J113" s="80" t="s">
        <v>116</v>
      </c>
      <c r="K113" s="81"/>
      <c r="L113" s="82"/>
      <c r="M113" s="83"/>
      <c r="N113" s="84"/>
      <c r="O113" s="85"/>
      <c r="P113" s="86" t="s">
        <v>117</v>
      </c>
      <c r="Q113" s="47"/>
    </row>
    <row r="114" spans="1:17">
      <c r="A114" s="76" t="s">
        <v>112</v>
      </c>
      <c r="B114" s="76">
        <v>108</v>
      </c>
      <c r="C114" s="76" t="s">
        <v>164</v>
      </c>
      <c r="D114" s="77" t="s">
        <v>225</v>
      </c>
      <c r="E114" s="77"/>
      <c r="F114" s="78">
        <v>11799</v>
      </c>
      <c r="G114" s="79">
        <v>2018</v>
      </c>
      <c r="H114" s="80" t="s">
        <v>17</v>
      </c>
      <c r="I114" s="80"/>
      <c r="J114" s="80"/>
      <c r="K114" s="81"/>
      <c r="L114" s="82"/>
      <c r="M114" s="83"/>
      <c r="N114" s="84"/>
      <c r="O114" s="85"/>
      <c r="P114" s="86" t="s">
        <v>117</v>
      </c>
      <c r="Q114" s="47"/>
    </row>
    <row r="115" spans="1:17">
      <c r="A115" s="76" t="s">
        <v>112</v>
      </c>
      <c r="B115" s="76">
        <v>109</v>
      </c>
      <c r="C115" s="76" t="s">
        <v>113</v>
      </c>
      <c r="D115" s="77" t="s">
        <v>226</v>
      </c>
      <c r="E115" s="77"/>
      <c r="F115" s="78">
        <v>11800</v>
      </c>
      <c r="G115" s="79">
        <v>2018</v>
      </c>
      <c r="H115" s="80" t="s">
        <v>17</v>
      </c>
      <c r="I115" s="80" t="s">
        <v>115</v>
      </c>
      <c r="J115" s="80" t="s">
        <v>116</v>
      </c>
      <c r="K115" s="81"/>
      <c r="L115" s="82"/>
      <c r="M115" s="83"/>
      <c r="N115" s="84"/>
      <c r="O115" s="85"/>
      <c r="P115" s="86" t="s">
        <v>117</v>
      </c>
      <c r="Q115" s="47"/>
    </row>
    <row r="116" spans="1:17">
      <c r="A116" s="76" t="s">
        <v>112</v>
      </c>
      <c r="B116" s="76">
        <v>110</v>
      </c>
      <c r="C116" s="76" t="s">
        <v>113</v>
      </c>
      <c r="D116" s="77" t="s">
        <v>227</v>
      </c>
      <c r="E116" s="77"/>
      <c r="F116" s="78">
        <v>11802</v>
      </c>
      <c r="G116" s="79">
        <v>2018</v>
      </c>
      <c r="H116" s="80"/>
      <c r="I116" s="80"/>
      <c r="J116" s="80"/>
      <c r="K116" s="81"/>
      <c r="L116" s="82"/>
      <c r="M116" s="83"/>
      <c r="N116" s="84"/>
      <c r="O116" s="85"/>
      <c r="P116" s="86"/>
      <c r="Q116" s="47"/>
    </row>
    <row r="117" spans="1:17">
      <c r="A117" s="76" t="s">
        <v>112</v>
      </c>
      <c r="B117" s="76">
        <v>111</v>
      </c>
      <c r="C117" s="76" t="s">
        <v>228</v>
      </c>
      <c r="D117" s="77" t="s">
        <v>229</v>
      </c>
      <c r="E117" s="77"/>
      <c r="F117" s="78">
        <v>11805</v>
      </c>
      <c r="G117" s="79">
        <v>2018</v>
      </c>
      <c r="H117" s="171" t="s">
        <v>19</v>
      </c>
      <c r="I117" s="80" t="s">
        <v>115</v>
      </c>
      <c r="J117" s="80" t="s">
        <v>116</v>
      </c>
      <c r="K117" s="81"/>
      <c r="L117" s="82"/>
      <c r="M117" s="83"/>
      <c r="N117" s="84" t="s">
        <v>117</v>
      </c>
      <c r="O117" s="85"/>
      <c r="P117" s="86"/>
      <c r="Q117" s="47"/>
    </row>
    <row r="118" spans="1:17">
      <c r="A118" s="76" t="s">
        <v>112</v>
      </c>
      <c r="B118" s="76">
        <v>112</v>
      </c>
      <c r="C118" s="76" t="s">
        <v>130</v>
      </c>
      <c r="D118" s="77" t="s">
        <v>222</v>
      </c>
      <c r="E118" s="77"/>
      <c r="F118" s="78">
        <v>11806</v>
      </c>
      <c r="G118" s="79">
        <v>2019</v>
      </c>
      <c r="H118" s="80" t="s">
        <v>14</v>
      </c>
      <c r="I118" s="80" t="s">
        <v>115</v>
      </c>
      <c r="J118" s="80" t="s">
        <v>116</v>
      </c>
      <c r="K118" s="81"/>
      <c r="L118" s="82" t="s">
        <v>117</v>
      </c>
      <c r="M118" s="83"/>
      <c r="N118" s="84"/>
      <c r="O118" s="85"/>
      <c r="P118" s="86"/>
      <c r="Q118" s="47"/>
    </row>
    <row r="119" spans="1:17">
      <c r="A119" s="76" t="s">
        <v>112</v>
      </c>
      <c r="B119" s="76">
        <v>113</v>
      </c>
      <c r="C119" s="76" t="s">
        <v>164</v>
      </c>
      <c r="D119" s="77" t="s">
        <v>230</v>
      </c>
      <c r="E119" s="77"/>
      <c r="F119" s="78">
        <v>11807</v>
      </c>
      <c r="G119" s="79"/>
      <c r="H119" s="80"/>
      <c r="I119" s="80"/>
      <c r="J119" s="80"/>
      <c r="K119" s="81"/>
      <c r="L119" s="82"/>
      <c r="M119" s="83"/>
      <c r="N119" s="84"/>
      <c r="O119" s="85"/>
      <c r="P119" s="86"/>
      <c r="Q119" s="47"/>
    </row>
    <row r="120" spans="1:17">
      <c r="A120" s="76" t="s">
        <v>112</v>
      </c>
      <c r="B120" s="76">
        <v>114</v>
      </c>
      <c r="C120" s="76" t="s">
        <v>164</v>
      </c>
      <c r="D120" s="77" t="s">
        <v>231</v>
      </c>
      <c r="E120" s="77"/>
      <c r="F120" s="78">
        <v>11808</v>
      </c>
      <c r="G120" s="79"/>
      <c r="H120" s="80"/>
      <c r="I120" s="80"/>
      <c r="J120" s="80"/>
      <c r="K120" s="81"/>
      <c r="L120" s="82"/>
      <c r="M120" s="83"/>
      <c r="N120" s="84"/>
      <c r="O120" s="85"/>
      <c r="P120" s="86"/>
      <c r="Q120" s="47"/>
    </row>
    <row r="121" spans="1:17">
      <c r="A121" s="76" t="s">
        <v>112</v>
      </c>
      <c r="B121" s="76">
        <v>115</v>
      </c>
      <c r="C121" s="76" t="s">
        <v>130</v>
      </c>
      <c r="D121" s="77" t="s">
        <v>222</v>
      </c>
      <c r="E121" s="77"/>
      <c r="F121" s="78">
        <v>11809</v>
      </c>
      <c r="G121" s="79">
        <v>2019</v>
      </c>
      <c r="H121" s="80" t="s">
        <v>14</v>
      </c>
      <c r="I121" s="80" t="s">
        <v>115</v>
      </c>
      <c r="J121" s="80" t="s">
        <v>116</v>
      </c>
      <c r="K121" s="81"/>
      <c r="L121" s="82" t="s">
        <v>117</v>
      </c>
      <c r="M121" s="83"/>
      <c r="N121" s="84"/>
      <c r="O121" s="85"/>
      <c r="P121" s="86"/>
      <c r="Q121" s="47"/>
    </row>
    <row r="122" spans="1:17">
      <c r="A122" s="76" t="s">
        <v>112</v>
      </c>
      <c r="B122" s="76">
        <v>116</v>
      </c>
      <c r="C122" s="76" t="s">
        <v>113</v>
      </c>
      <c r="D122" s="77" t="s">
        <v>232</v>
      </c>
      <c r="E122" s="77"/>
      <c r="F122" s="78">
        <v>11810</v>
      </c>
      <c r="G122" s="79"/>
      <c r="H122" s="80"/>
      <c r="I122" s="80"/>
      <c r="J122" s="80"/>
      <c r="K122" s="81"/>
      <c r="L122" s="82"/>
      <c r="M122" s="83"/>
      <c r="N122" s="84"/>
      <c r="O122" s="85"/>
      <c r="P122" s="86"/>
      <c r="Q122" s="47"/>
    </row>
    <row r="123" spans="1:17">
      <c r="A123" s="76" t="s">
        <v>112</v>
      </c>
      <c r="B123" s="76">
        <v>117</v>
      </c>
      <c r="C123" s="76" t="s">
        <v>130</v>
      </c>
      <c r="D123" s="77" t="s">
        <v>222</v>
      </c>
      <c r="E123" s="77"/>
      <c r="F123" s="78">
        <v>11811</v>
      </c>
      <c r="G123" s="79">
        <v>2019</v>
      </c>
      <c r="H123" s="80" t="s">
        <v>14</v>
      </c>
      <c r="I123" s="80" t="s">
        <v>115</v>
      </c>
      <c r="J123" s="80" t="s">
        <v>116</v>
      </c>
      <c r="K123" s="81"/>
      <c r="L123" s="82" t="s">
        <v>117</v>
      </c>
      <c r="M123" s="83"/>
      <c r="N123" s="84"/>
      <c r="O123" s="85"/>
      <c r="P123" s="86"/>
      <c r="Q123" s="47"/>
    </row>
    <row r="124" spans="1:17">
      <c r="A124" s="76" t="s">
        <v>112</v>
      </c>
      <c r="B124" s="76">
        <v>118</v>
      </c>
      <c r="C124" s="76" t="s">
        <v>130</v>
      </c>
      <c r="D124" s="77" t="s">
        <v>233</v>
      </c>
      <c r="E124" s="77"/>
      <c r="F124" s="78">
        <v>11812</v>
      </c>
      <c r="G124" s="79">
        <v>2019</v>
      </c>
      <c r="H124" s="80" t="s">
        <v>19</v>
      </c>
      <c r="I124" s="80"/>
      <c r="J124" s="80"/>
      <c r="K124" s="81"/>
      <c r="L124" s="82"/>
      <c r="M124" s="83"/>
      <c r="N124" s="84"/>
      <c r="O124" s="85"/>
      <c r="P124" s="86" t="s">
        <v>117</v>
      </c>
      <c r="Q124" s="47"/>
    </row>
    <row r="125" spans="1:17">
      <c r="A125" s="76" t="s">
        <v>112</v>
      </c>
      <c r="B125" s="76">
        <v>119</v>
      </c>
      <c r="C125" s="76" t="s">
        <v>130</v>
      </c>
      <c r="D125" s="77" t="s">
        <v>234</v>
      </c>
      <c r="E125" s="77" t="s">
        <v>235</v>
      </c>
      <c r="F125" s="78">
        <v>11813</v>
      </c>
      <c r="G125" s="79">
        <v>2019</v>
      </c>
      <c r="H125" s="80" t="s">
        <v>17</v>
      </c>
      <c r="I125" s="80" t="s">
        <v>115</v>
      </c>
      <c r="J125" s="80" t="s">
        <v>116</v>
      </c>
      <c r="K125" s="81"/>
      <c r="L125" s="82"/>
      <c r="M125" s="83"/>
      <c r="N125" s="84"/>
      <c r="O125" s="85"/>
      <c r="P125" s="86" t="s">
        <v>117</v>
      </c>
      <c r="Q125" s="47"/>
    </row>
    <row r="126" spans="1:17">
      <c r="A126" s="76" t="s">
        <v>112</v>
      </c>
      <c r="B126" s="76">
        <v>120</v>
      </c>
      <c r="C126" s="76" t="s">
        <v>130</v>
      </c>
      <c r="D126" s="77" t="s">
        <v>236</v>
      </c>
      <c r="E126" s="77"/>
      <c r="F126" s="78">
        <v>11814</v>
      </c>
      <c r="G126" s="79">
        <v>2019</v>
      </c>
      <c r="H126" s="80" t="s">
        <v>17</v>
      </c>
      <c r="I126" s="80" t="s">
        <v>115</v>
      </c>
      <c r="J126" s="80" t="s">
        <v>116</v>
      </c>
      <c r="K126" s="81"/>
      <c r="L126" s="82"/>
      <c r="M126" s="83"/>
      <c r="N126" s="84"/>
      <c r="O126" s="85"/>
      <c r="P126" s="86" t="s">
        <v>117</v>
      </c>
      <c r="Q126" s="47"/>
    </row>
    <row r="127" spans="1:17">
      <c r="A127" s="76" t="s">
        <v>112</v>
      </c>
      <c r="B127" s="76">
        <v>121</v>
      </c>
      <c r="C127" s="76" t="s">
        <v>130</v>
      </c>
      <c r="D127" s="77" t="s">
        <v>236</v>
      </c>
      <c r="E127" s="77"/>
      <c r="F127" s="78">
        <v>11815</v>
      </c>
      <c r="G127" s="79">
        <v>2019</v>
      </c>
      <c r="H127" s="80" t="s">
        <v>17</v>
      </c>
      <c r="I127" s="80" t="s">
        <v>115</v>
      </c>
      <c r="J127" s="80" t="s">
        <v>116</v>
      </c>
      <c r="K127" s="81"/>
      <c r="L127" s="82"/>
      <c r="M127" s="83"/>
      <c r="N127" s="84"/>
      <c r="O127" s="85"/>
      <c r="P127" s="86" t="s">
        <v>117</v>
      </c>
      <c r="Q127" s="47"/>
    </row>
    <row r="128" spans="1:17">
      <c r="A128" s="76" t="s">
        <v>112</v>
      </c>
      <c r="B128" s="76">
        <v>122</v>
      </c>
      <c r="C128" s="76" t="s">
        <v>130</v>
      </c>
      <c r="D128" s="77" t="s">
        <v>236</v>
      </c>
      <c r="E128" s="77"/>
      <c r="F128" s="78">
        <v>11816</v>
      </c>
      <c r="G128" s="79">
        <v>2019</v>
      </c>
      <c r="H128" s="80" t="s">
        <v>17</v>
      </c>
      <c r="I128" s="80" t="s">
        <v>115</v>
      </c>
      <c r="J128" s="80" t="s">
        <v>116</v>
      </c>
      <c r="K128" s="81"/>
      <c r="L128" s="82"/>
      <c r="M128" s="83"/>
      <c r="N128" s="84"/>
      <c r="O128" s="85"/>
      <c r="P128" s="86" t="s">
        <v>117</v>
      </c>
      <c r="Q128" s="47"/>
    </row>
    <row r="129" spans="1:17">
      <c r="A129" s="76" t="s">
        <v>112</v>
      </c>
      <c r="B129" s="76">
        <v>123</v>
      </c>
      <c r="C129" s="76" t="s">
        <v>113</v>
      </c>
      <c r="D129" s="77" t="s">
        <v>237</v>
      </c>
      <c r="E129" s="77"/>
      <c r="F129" s="78">
        <v>11817</v>
      </c>
      <c r="G129" s="79">
        <v>2020</v>
      </c>
      <c r="H129" s="80" t="s">
        <v>19</v>
      </c>
      <c r="I129" s="80" t="s">
        <v>115</v>
      </c>
      <c r="J129" s="80" t="s">
        <v>116</v>
      </c>
      <c r="K129" s="81"/>
      <c r="L129" s="82"/>
      <c r="M129" s="83"/>
      <c r="N129" s="84"/>
      <c r="O129" s="85"/>
      <c r="P129" s="86" t="s">
        <v>117</v>
      </c>
      <c r="Q129" s="47"/>
    </row>
    <row r="130" spans="1:17">
      <c r="A130" s="76" t="s">
        <v>112</v>
      </c>
      <c r="B130" s="76">
        <v>124</v>
      </c>
      <c r="C130" s="76" t="s">
        <v>164</v>
      </c>
      <c r="D130" s="77" t="s">
        <v>238</v>
      </c>
      <c r="E130" s="77"/>
      <c r="F130" s="78">
        <v>11818</v>
      </c>
      <c r="G130" s="79">
        <v>2020</v>
      </c>
      <c r="H130" s="80"/>
      <c r="I130" s="80"/>
      <c r="J130" s="80"/>
      <c r="K130" s="81"/>
      <c r="L130" s="82"/>
      <c r="M130" s="83"/>
      <c r="N130" s="84"/>
      <c r="O130" s="85"/>
      <c r="P130" s="86"/>
      <c r="Q130" s="47"/>
    </row>
    <row r="131" spans="1:17">
      <c r="A131" s="76" t="s">
        <v>112</v>
      </c>
      <c r="B131" s="76">
        <v>125</v>
      </c>
      <c r="C131" s="76" t="s">
        <v>113</v>
      </c>
      <c r="D131" s="77" t="s">
        <v>239</v>
      </c>
      <c r="E131" s="77"/>
      <c r="F131" s="78">
        <v>11819</v>
      </c>
      <c r="G131" s="79">
        <v>2020</v>
      </c>
      <c r="H131" s="80"/>
      <c r="I131" s="80"/>
      <c r="J131" s="80"/>
      <c r="K131" s="81"/>
      <c r="L131" s="82"/>
      <c r="M131" s="83"/>
      <c r="N131" s="84"/>
      <c r="O131" s="85"/>
      <c r="P131" s="86"/>
      <c r="Q131" s="47"/>
    </row>
    <row r="132" spans="1:17">
      <c r="A132" s="76" t="s">
        <v>112</v>
      </c>
      <c r="B132" s="76">
        <v>126</v>
      </c>
      <c r="C132" s="76" t="s">
        <v>113</v>
      </c>
      <c r="D132" s="77" t="s">
        <v>240</v>
      </c>
      <c r="E132" s="77"/>
      <c r="F132" s="78">
        <v>11820</v>
      </c>
      <c r="G132" s="79">
        <v>2020</v>
      </c>
      <c r="H132" s="80"/>
      <c r="I132" s="80"/>
      <c r="J132" s="80"/>
      <c r="K132" s="81"/>
      <c r="L132" s="82"/>
      <c r="M132" s="83"/>
      <c r="N132" s="84"/>
      <c r="O132" s="85"/>
      <c r="P132" s="86"/>
      <c r="Q132" s="47"/>
    </row>
    <row r="133" spans="1:17">
      <c r="A133" s="76" t="s">
        <v>112</v>
      </c>
      <c r="B133" s="76">
        <v>127</v>
      </c>
      <c r="C133" s="76" t="s">
        <v>153</v>
      </c>
      <c r="D133" s="77" t="s">
        <v>241</v>
      </c>
      <c r="E133" s="77"/>
      <c r="F133" s="78">
        <v>11821</v>
      </c>
      <c r="G133" s="79">
        <v>2020</v>
      </c>
      <c r="H133" s="80" t="s">
        <v>19</v>
      </c>
      <c r="I133" s="80" t="s">
        <v>115</v>
      </c>
      <c r="J133" s="80" t="s">
        <v>116</v>
      </c>
      <c r="K133" s="81"/>
      <c r="L133" s="82"/>
      <c r="M133" s="83"/>
      <c r="N133" s="84"/>
      <c r="O133" s="85"/>
      <c r="P133" s="86" t="s">
        <v>117</v>
      </c>
      <c r="Q133" s="47"/>
    </row>
    <row r="134" spans="1:17">
      <c r="A134" s="76" t="s">
        <v>112</v>
      </c>
      <c r="B134" s="76">
        <v>128</v>
      </c>
      <c r="C134" s="76" t="s">
        <v>153</v>
      </c>
      <c r="D134" s="77" t="s">
        <v>241</v>
      </c>
      <c r="E134" s="77"/>
      <c r="F134" s="78">
        <v>11822</v>
      </c>
      <c r="G134" s="79">
        <v>2020</v>
      </c>
      <c r="H134" s="80" t="s">
        <v>19</v>
      </c>
      <c r="I134" s="80" t="s">
        <v>115</v>
      </c>
      <c r="J134" s="80" t="s">
        <v>116</v>
      </c>
      <c r="K134" s="81"/>
      <c r="L134" s="82"/>
      <c r="M134" s="83"/>
      <c r="N134" s="84"/>
      <c r="O134" s="85"/>
      <c r="P134" s="86" t="s">
        <v>117</v>
      </c>
      <c r="Q134" s="47"/>
    </row>
    <row r="135" spans="1:17">
      <c r="A135" s="76" t="s">
        <v>112</v>
      </c>
      <c r="B135" s="76">
        <v>129</v>
      </c>
      <c r="C135" s="76" t="s">
        <v>130</v>
      </c>
      <c r="D135" s="77" t="s">
        <v>234</v>
      </c>
      <c r="E135" s="77"/>
      <c r="F135" s="78">
        <v>11824</v>
      </c>
      <c r="G135" s="79">
        <v>2020</v>
      </c>
      <c r="H135" s="80" t="s">
        <v>17</v>
      </c>
      <c r="I135" s="80" t="s">
        <v>115</v>
      </c>
      <c r="J135" s="80" t="s">
        <v>116</v>
      </c>
      <c r="K135" s="81"/>
      <c r="L135" s="82"/>
      <c r="M135" s="83"/>
      <c r="N135" s="84"/>
      <c r="O135" s="85"/>
      <c r="P135" s="86" t="s">
        <v>117</v>
      </c>
      <c r="Q135" s="47"/>
    </row>
    <row r="136" spans="1:17">
      <c r="A136" s="76" t="s">
        <v>112</v>
      </c>
      <c r="B136" s="76">
        <v>130</v>
      </c>
      <c r="C136" s="76" t="s">
        <v>130</v>
      </c>
      <c r="D136" s="77" t="s">
        <v>234</v>
      </c>
      <c r="E136" s="77"/>
      <c r="F136" s="78">
        <v>11825</v>
      </c>
      <c r="G136" s="79">
        <v>2020</v>
      </c>
      <c r="H136" s="80" t="s">
        <v>17</v>
      </c>
      <c r="I136" s="80" t="s">
        <v>115</v>
      </c>
      <c r="J136" s="80" t="s">
        <v>116</v>
      </c>
      <c r="K136" s="81"/>
      <c r="L136" s="82"/>
      <c r="M136" s="83"/>
      <c r="N136" s="84"/>
      <c r="O136" s="85"/>
      <c r="P136" s="86" t="s">
        <v>117</v>
      </c>
      <c r="Q136" s="47"/>
    </row>
    <row r="137" spans="1:17">
      <c r="A137" s="76" t="s">
        <v>112</v>
      </c>
      <c r="B137" s="76">
        <v>131</v>
      </c>
      <c r="C137" s="76" t="s">
        <v>130</v>
      </c>
      <c r="D137" s="77" t="s">
        <v>242</v>
      </c>
      <c r="E137" s="77"/>
      <c r="F137" s="78">
        <v>11826</v>
      </c>
      <c r="G137" s="79">
        <v>2021</v>
      </c>
      <c r="H137" s="80"/>
      <c r="I137" s="80"/>
      <c r="J137" s="80"/>
      <c r="K137" s="81"/>
      <c r="L137" s="82"/>
      <c r="M137" s="83"/>
      <c r="N137" s="84"/>
      <c r="O137" s="85"/>
      <c r="P137" s="86"/>
      <c r="Q137" s="47"/>
    </row>
    <row r="138" spans="1:17">
      <c r="A138" s="76" t="s">
        <v>112</v>
      </c>
      <c r="B138" s="76">
        <v>132</v>
      </c>
      <c r="C138" s="76" t="s">
        <v>113</v>
      </c>
      <c r="D138" s="77" t="s">
        <v>243</v>
      </c>
      <c r="E138" s="77"/>
      <c r="F138" s="78">
        <v>11827</v>
      </c>
      <c r="G138" s="79">
        <v>2021</v>
      </c>
      <c r="H138" s="80"/>
      <c r="I138" s="80"/>
      <c r="J138" s="80"/>
      <c r="K138" s="81"/>
      <c r="L138" s="82"/>
      <c r="M138" s="83"/>
      <c r="N138" s="84"/>
      <c r="O138" s="85"/>
      <c r="P138" s="86"/>
      <c r="Q138" s="47"/>
    </row>
    <row r="139" spans="1:17">
      <c r="A139" s="76" t="s">
        <v>112</v>
      </c>
      <c r="B139" s="76">
        <v>133</v>
      </c>
      <c r="C139" s="76" t="s">
        <v>164</v>
      </c>
      <c r="D139" s="77" t="s">
        <v>244</v>
      </c>
      <c r="E139" s="77"/>
      <c r="F139" s="78">
        <v>11828</v>
      </c>
      <c r="G139" s="79">
        <v>2021</v>
      </c>
      <c r="H139" s="80"/>
      <c r="I139" s="80"/>
      <c r="J139" s="80"/>
      <c r="K139" s="81"/>
      <c r="L139" s="82"/>
      <c r="M139" s="83"/>
      <c r="N139" s="84"/>
      <c r="O139" s="85"/>
      <c r="P139" s="86"/>
      <c r="Q139" s="47"/>
    </row>
    <row r="140" spans="1:17">
      <c r="A140" s="76" t="s">
        <v>112</v>
      </c>
      <c r="B140" s="76">
        <v>134</v>
      </c>
      <c r="C140" s="76" t="s">
        <v>164</v>
      </c>
      <c r="D140" s="77" t="s">
        <v>245</v>
      </c>
      <c r="E140" s="77"/>
      <c r="F140" s="78">
        <v>11829</v>
      </c>
      <c r="G140" s="79">
        <v>2021</v>
      </c>
      <c r="H140" s="80"/>
      <c r="I140" s="80"/>
      <c r="J140" s="80"/>
      <c r="K140" s="81"/>
      <c r="L140" s="82"/>
      <c r="M140" s="83"/>
      <c r="N140" s="84"/>
      <c r="O140" s="85"/>
      <c r="P140" s="86"/>
      <c r="Q140" s="47"/>
    </row>
    <row r="141" spans="1:17">
      <c r="A141" s="76" t="s">
        <v>112</v>
      </c>
      <c r="B141" s="76">
        <v>135</v>
      </c>
      <c r="C141" s="76" t="s">
        <v>130</v>
      </c>
      <c r="D141" s="77" t="s">
        <v>246</v>
      </c>
      <c r="E141" s="77"/>
      <c r="F141" s="78">
        <v>11830</v>
      </c>
      <c r="G141" s="79">
        <v>2021</v>
      </c>
      <c r="H141" s="80"/>
      <c r="I141" s="80"/>
      <c r="J141" s="80"/>
      <c r="K141" s="81"/>
      <c r="L141" s="82"/>
      <c r="M141" s="83"/>
      <c r="N141" s="84"/>
      <c r="O141" s="85"/>
      <c r="P141" s="86"/>
      <c r="Q141" s="47"/>
    </row>
    <row r="142" spans="1:17">
      <c r="A142" s="76" t="s">
        <v>112</v>
      </c>
      <c r="B142" s="76">
        <v>136</v>
      </c>
      <c r="C142" s="76" t="s">
        <v>130</v>
      </c>
      <c r="D142" s="77" t="s">
        <v>222</v>
      </c>
      <c r="E142" s="77"/>
      <c r="F142" s="78">
        <v>11831</v>
      </c>
      <c r="G142" s="79">
        <v>2021</v>
      </c>
      <c r="H142" s="80" t="s">
        <v>17</v>
      </c>
      <c r="I142" s="80" t="s">
        <v>115</v>
      </c>
      <c r="J142" s="80" t="s">
        <v>116</v>
      </c>
      <c r="K142" s="81"/>
      <c r="L142" s="82" t="s">
        <v>117</v>
      </c>
      <c r="M142" s="83"/>
      <c r="N142" s="84"/>
      <c r="O142" s="85"/>
      <c r="P142" s="86"/>
      <c r="Q142" s="47"/>
    </row>
    <row r="143" spans="1:17">
      <c r="A143" s="76" t="s">
        <v>112</v>
      </c>
      <c r="B143" s="76">
        <v>137</v>
      </c>
      <c r="C143" s="76" t="s">
        <v>153</v>
      </c>
      <c r="D143" s="77" t="s">
        <v>247</v>
      </c>
      <c r="E143" s="77"/>
      <c r="F143" s="78" t="s">
        <v>248</v>
      </c>
      <c r="G143" s="79">
        <v>2025</v>
      </c>
      <c r="H143" s="80" t="s">
        <v>17</v>
      </c>
      <c r="I143" s="80" t="s">
        <v>115</v>
      </c>
      <c r="J143" s="80" t="s">
        <v>116</v>
      </c>
      <c r="K143" s="81"/>
      <c r="L143" s="82"/>
      <c r="M143" s="83"/>
      <c r="N143" s="84"/>
      <c r="O143" s="85"/>
      <c r="P143" s="86" t="s">
        <v>117</v>
      </c>
      <c r="Q143" s="47"/>
    </row>
    <row r="144" spans="1:17">
      <c r="A144" s="76" t="s">
        <v>112</v>
      </c>
      <c r="B144" s="76">
        <v>138</v>
      </c>
      <c r="C144" s="76" t="s">
        <v>113</v>
      </c>
      <c r="D144" s="77" t="s">
        <v>249</v>
      </c>
      <c r="E144" s="77"/>
      <c r="F144" s="78" t="s">
        <v>248</v>
      </c>
      <c r="G144" s="79">
        <v>2024</v>
      </c>
      <c r="H144" s="80" t="s">
        <v>17</v>
      </c>
      <c r="I144" s="80" t="s">
        <v>115</v>
      </c>
      <c r="J144" s="80" t="s">
        <v>116</v>
      </c>
      <c r="K144" s="81"/>
      <c r="L144" s="82"/>
      <c r="M144" s="83"/>
      <c r="N144" s="84"/>
      <c r="O144" s="85"/>
      <c r="P144" s="86" t="s">
        <v>117</v>
      </c>
      <c r="Q144" s="47"/>
    </row>
    <row r="145" spans="1:17">
      <c r="A145" s="76" t="s">
        <v>112</v>
      </c>
      <c r="B145" s="76">
        <v>139</v>
      </c>
      <c r="C145" s="76" t="s">
        <v>113</v>
      </c>
      <c r="D145" s="77" t="s">
        <v>250</v>
      </c>
      <c r="E145" s="77"/>
      <c r="F145" s="78" t="s">
        <v>248</v>
      </c>
      <c r="G145" s="79">
        <v>2024</v>
      </c>
      <c r="H145" s="80" t="s">
        <v>17</v>
      </c>
      <c r="I145" s="80" t="s">
        <v>115</v>
      </c>
      <c r="J145" s="80" t="s">
        <v>116</v>
      </c>
      <c r="K145" s="81"/>
      <c r="L145" s="82"/>
      <c r="M145" s="83"/>
      <c r="N145" s="84"/>
      <c r="O145" s="85"/>
      <c r="P145" s="86" t="s">
        <v>117</v>
      </c>
      <c r="Q145" s="47"/>
    </row>
    <row r="146" spans="1:17">
      <c r="A146" s="230" t="s">
        <v>112</v>
      </c>
      <c r="B146" s="230">
        <v>140</v>
      </c>
      <c r="C146" s="230" t="s">
        <v>113</v>
      </c>
      <c r="D146" s="231" t="s">
        <v>251</v>
      </c>
      <c r="E146" s="231"/>
      <c r="F146" s="232" t="s">
        <v>248</v>
      </c>
      <c r="G146" s="233">
        <v>2024</v>
      </c>
      <c r="H146" s="234" t="s">
        <v>17</v>
      </c>
      <c r="I146" s="234" t="s">
        <v>115</v>
      </c>
      <c r="J146" s="234" t="s">
        <v>116</v>
      </c>
      <c r="K146" s="235"/>
      <c r="L146" s="236"/>
      <c r="M146" s="237"/>
      <c r="N146" s="238"/>
      <c r="O146" s="239"/>
      <c r="P146" s="240" t="s">
        <v>117</v>
      </c>
      <c r="Q146" s="241"/>
    </row>
    <row r="147" spans="1:17" s="253" customFormat="1">
      <c r="A147" s="242" t="s">
        <v>112</v>
      </c>
      <c r="B147" s="267">
        <v>141</v>
      </c>
      <c r="C147" s="266" t="s">
        <v>135</v>
      </c>
      <c r="D147" s="268" t="s">
        <v>197</v>
      </c>
      <c r="E147" s="268" t="s">
        <v>252</v>
      </c>
      <c r="F147" s="243" t="s">
        <v>253</v>
      </c>
      <c r="G147" s="244">
        <v>2015</v>
      </c>
      <c r="H147" s="245" t="s">
        <v>19</v>
      </c>
      <c r="I147" s="245" t="s">
        <v>115</v>
      </c>
      <c r="J147" s="245"/>
      <c r="K147" s="246"/>
      <c r="L147" s="247"/>
      <c r="M147" s="248" t="s">
        <v>117</v>
      </c>
      <c r="N147" s="249"/>
      <c r="O147" s="250"/>
      <c r="P147" s="251"/>
      <c r="Q147" s="252" t="s">
        <v>254</v>
      </c>
    </row>
    <row r="148" spans="1:17">
      <c r="A148" s="254" t="s">
        <v>112</v>
      </c>
      <c r="B148" s="254">
        <v>143</v>
      </c>
      <c r="C148" s="254" t="s">
        <v>135</v>
      </c>
      <c r="D148" s="255" t="s">
        <v>255</v>
      </c>
      <c r="E148" s="255"/>
      <c r="F148" s="256">
        <v>3176</v>
      </c>
      <c r="G148" s="257">
        <v>2024</v>
      </c>
      <c r="H148" s="258" t="s">
        <v>17</v>
      </c>
      <c r="I148" s="258" t="s">
        <v>115</v>
      </c>
      <c r="J148" s="258"/>
      <c r="K148" s="259"/>
      <c r="L148" s="260"/>
      <c r="M148" s="261"/>
      <c r="N148" s="262"/>
      <c r="O148" s="263"/>
      <c r="P148" s="264" t="s">
        <v>117</v>
      </c>
      <c r="Q148" s="265" t="s">
        <v>256</v>
      </c>
    </row>
    <row r="149" spans="1:17">
      <c r="A149" s="76" t="s">
        <v>112</v>
      </c>
      <c r="B149" s="76">
        <v>145</v>
      </c>
      <c r="C149" s="76"/>
      <c r="D149" s="77"/>
      <c r="E149" s="77"/>
      <c r="F149" s="78"/>
      <c r="G149" s="79"/>
      <c r="H149" s="80"/>
      <c r="I149" s="80"/>
      <c r="J149" s="80"/>
      <c r="K149" s="81"/>
      <c r="L149" s="82"/>
      <c r="M149" s="83"/>
      <c r="N149" s="84"/>
      <c r="O149" s="85"/>
      <c r="P149" s="86"/>
      <c r="Q149" s="47"/>
    </row>
    <row r="150" spans="1:17">
      <c r="A150" s="76" t="s">
        <v>112</v>
      </c>
      <c r="B150" s="76">
        <v>146</v>
      </c>
      <c r="C150" s="76"/>
      <c r="D150" s="77"/>
      <c r="E150" s="77"/>
      <c r="F150" s="78"/>
      <c r="G150" s="79"/>
      <c r="H150" s="80"/>
      <c r="I150" s="80"/>
      <c r="J150" s="80"/>
      <c r="K150" s="81"/>
      <c r="L150" s="82"/>
      <c r="M150" s="83"/>
      <c r="N150" s="84"/>
      <c r="O150" s="85"/>
      <c r="P150" s="86"/>
      <c r="Q150" s="47"/>
    </row>
    <row r="151" spans="1:17">
      <c r="A151" s="76" t="s">
        <v>112</v>
      </c>
      <c r="B151" s="76">
        <v>147</v>
      </c>
      <c r="C151" s="76"/>
      <c r="D151" s="77"/>
      <c r="E151" s="77"/>
      <c r="F151" s="78"/>
      <c r="G151" s="79"/>
      <c r="H151" s="80"/>
      <c r="I151" s="80"/>
      <c r="J151" s="80"/>
      <c r="K151" s="81"/>
      <c r="L151" s="82"/>
      <c r="M151" s="83"/>
      <c r="N151" s="84"/>
      <c r="O151" s="85"/>
      <c r="P151" s="86"/>
      <c r="Q151" s="47"/>
    </row>
    <row r="152" spans="1:17">
      <c r="A152" s="76" t="s">
        <v>112</v>
      </c>
      <c r="B152" s="76">
        <v>148</v>
      </c>
      <c r="C152" s="76"/>
      <c r="D152" s="77"/>
      <c r="E152" s="77"/>
      <c r="F152" s="78"/>
      <c r="G152" s="79"/>
      <c r="H152" s="80"/>
      <c r="I152" s="80"/>
      <c r="J152" s="80"/>
      <c r="K152" s="81"/>
      <c r="L152" s="82"/>
      <c r="M152" s="83"/>
      <c r="N152" s="84"/>
      <c r="O152" s="85"/>
      <c r="P152" s="86"/>
      <c r="Q152" s="47"/>
    </row>
    <row r="154" spans="1:17">
      <c r="C154" s="142" t="s">
        <v>38</v>
      </c>
      <c r="D154" s="142"/>
      <c r="E154" s="142"/>
    </row>
    <row r="155" spans="1:17">
      <c r="C155" s="142"/>
      <c r="D155" s="142"/>
      <c r="E155" s="142"/>
    </row>
    <row r="156" spans="1:17">
      <c r="C156" s="142"/>
      <c r="D156" s="142" t="s">
        <v>39</v>
      </c>
      <c r="E156" s="142"/>
    </row>
    <row r="157" spans="1:17">
      <c r="C157" s="142"/>
      <c r="D157" s="142"/>
      <c r="E157" s="142"/>
    </row>
    <row r="158" spans="1:17">
      <c r="C158" s="142"/>
      <c r="D158" s="142" t="s">
        <v>40</v>
      </c>
      <c r="E158" s="142"/>
    </row>
    <row r="159" spans="1:17">
      <c r="C159" s="142"/>
      <c r="D159" s="142"/>
      <c r="E159" s="142"/>
    </row>
    <row r="160" spans="1:17">
      <c r="C160" s="142"/>
      <c r="D160" s="142" t="s">
        <v>41</v>
      </c>
      <c r="E160" s="142"/>
    </row>
    <row r="161" spans="3:5">
      <c r="C161" s="142"/>
      <c r="D161" s="142"/>
      <c r="E161" s="142"/>
    </row>
    <row r="162" spans="3:5">
      <c r="C162" s="142"/>
      <c r="D162" s="142" t="s">
        <v>42</v>
      </c>
      <c r="E162" s="142"/>
    </row>
  </sheetData>
  <autoFilter ref="A4:Q152" xr:uid="{401D21B4-CE35-4D1E-9184-AAD52320795A}"/>
  <pageMargins left="0.7" right="0.7" top="0.75" bottom="0.75" header="0.3" footer="0.3"/>
  <pageSetup paperSize="5" scale="68" fitToHeight="0"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6E574-5B91-4A76-AE91-9A4036061676}">
  <sheetPr filterMode="1">
    <tabColor rgb="FF00B0F0"/>
  </sheetPr>
  <dimension ref="A1:XEX530"/>
  <sheetViews>
    <sheetView tabSelected="1" zoomScale="55" zoomScaleNormal="55" workbookViewId="0">
      <pane ySplit="4" topLeftCell="A229" activePane="bottomLeft" state="frozen"/>
      <selection pane="bottomLeft" activeCell="E2" sqref="E2"/>
    </sheetView>
  </sheetViews>
  <sheetFormatPr defaultColWidth="8.85546875" defaultRowHeight="15"/>
  <cols>
    <col min="1" max="1" width="8.7109375" style="92" bestFit="1" customWidth="1"/>
    <col min="2" max="2" width="6.5703125" style="92" bestFit="1" customWidth="1"/>
    <col min="3" max="3" width="14.140625" style="92" customWidth="1"/>
    <col min="4" max="4" width="12.85546875" style="92" customWidth="1"/>
    <col min="5" max="5" width="57.7109375" style="92" customWidth="1"/>
    <col min="6" max="6" width="13.28515625" style="92" customWidth="1"/>
    <col min="7" max="7" width="17.42578125" style="92" customWidth="1"/>
    <col min="8" max="8" width="12.42578125" style="403" hidden="1" customWidth="1"/>
    <col min="9" max="10" width="12" style="92" hidden="1" customWidth="1"/>
    <col min="11" max="11" width="10.7109375" style="92" customWidth="1"/>
    <col min="12" max="12" width="10.5703125" style="92" bestFit="1" customWidth="1"/>
    <col min="13" max="13" width="10.7109375" style="92" customWidth="1"/>
    <col min="14" max="14" width="14.7109375" style="92" hidden="1" customWidth="1"/>
    <col min="15" max="15" width="26.28515625" style="404" hidden="1" customWidth="1"/>
    <col min="16" max="16" width="27.42578125" style="92" hidden="1" customWidth="1"/>
    <col min="17" max="19" width="8.5703125" style="92" bestFit="1" customWidth="1"/>
    <col min="20" max="20" width="9.140625" style="92" customWidth="1"/>
    <col min="21" max="21" width="8.5703125" style="92" bestFit="1" customWidth="1"/>
    <col min="22" max="22" width="7.85546875" style="92" bestFit="1" customWidth="1"/>
    <col min="23" max="23" width="44.5703125" style="92" customWidth="1"/>
    <col min="24" max="16384" width="8.85546875" style="92"/>
  </cols>
  <sheetData>
    <row r="1" spans="1:23" ht="18.75">
      <c r="E1" s="392" t="s">
        <v>97</v>
      </c>
      <c r="F1" s="392"/>
      <c r="G1" s="392"/>
      <c r="H1" s="393"/>
      <c r="I1" s="392"/>
      <c r="J1" s="392"/>
      <c r="K1" s="392"/>
      <c r="L1" s="392"/>
      <c r="M1" s="392"/>
      <c r="N1" s="392"/>
      <c r="O1" s="394"/>
      <c r="P1" s="392"/>
      <c r="Q1" s="393"/>
      <c r="R1" s="393"/>
      <c r="S1" s="393"/>
      <c r="T1" s="393"/>
      <c r="U1" s="393"/>
      <c r="V1" s="393"/>
    </row>
    <row r="2" spans="1:23" ht="18.75">
      <c r="E2" s="392"/>
      <c r="F2" s="392"/>
      <c r="G2" s="392"/>
      <c r="H2" s="393"/>
      <c r="I2" s="392"/>
      <c r="J2" s="392"/>
      <c r="N2" s="395" t="s">
        <v>37</v>
      </c>
      <c r="O2" s="396"/>
      <c r="P2" s="395"/>
      <c r="Q2" s="397">
        <f>COUNTA(Q5:Q375)</f>
        <v>43</v>
      </c>
      <c r="R2" s="398">
        <f t="shared" ref="R2:V2" si="0">COUNTA(R5:R375)</f>
        <v>9</v>
      </c>
      <c r="S2" s="399">
        <f t="shared" si="0"/>
        <v>6</v>
      </c>
      <c r="T2" s="400">
        <f t="shared" si="0"/>
        <v>6</v>
      </c>
      <c r="U2" s="401">
        <f t="shared" si="0"/>
        <v>3</v>
      </c>
      <c r="V2" s="402">
        <f t="shared" si="0"/>
        <v>62</v>
      </c>
    </row>
    <row r="3" spans="1:23">
      <c r="Q3" s="403"/>
      <c r="R3" s="403"/>
      <c r="S3" s="403"/>
      <c r="T3" s="403"/>
      <c r="U3" s="403"/>
      <c r="V3" s="403"/>
    </row>
    <row r="4" spans="1:23" s="407" customFormat="1" ht="47.25">
      <c r="A4" s="405" t="s">
        <v>98</v>
      </c>
      <c r="B4" s="405" t="s">
        <v>99</v>
      </c>
      <c r="C4" s="405" t="s">
        <v>257</v>
      </c>
      <c r="D4" s="405" t="s">
        <v>258</v>
      </c>
      <c r="E4" s="153" t="s">
        <v>101</v>
      </c>
      <c r="F4" s="153" t="s">
        <v>259</v>
      </c>
      <c r="G4" s="153" t="s">
        <v>260</v>
      </c>
      <c r="H4" s="406" t="s">
        <v>261</v>
      </c>
      <c r="I4" s="154" t="s">
        <v>2</v>
      </c>
      <c r="J4" s="154"/>
      <c r="K4" s="155" t="s">
        <v>3</v>
      </c>
      <c r="L4" s="156" t="s">
        <v>4</v>
      </c>
      <c r="M4" s="156" t="s">
        <v>104</v>
      </c>
      <c r="N4" s="156" t="s">
        <v>105</v>
      </c>
      <c r="O4" s="218" t="s">
        <v>262</v>
      </c>
      <c r="P4" s="156" t="s">
        <v>263</v>
      </c>
      <c r="Q4" s="157" t="s">
        <v>106</v>
      </c>
      <c r="R4" s="158" t="s">
        <v>107</v>
      </c>
      <c r="S4" s="159" t="s">
        <v>108</v>
      </c>
      <c r="T4" s="160" t="s">
        <v>109</v>
      </c>
      <c r="U4" s="161" t="s">
        <v>110</v>
      </c>
      <c r="V4" s="162" t="s">
        <v>111</v>
      </c>
      <c r="W4" s="75" t="s">
        <v>45</v>
      </c>
    </row>
    <row r="5" spans="1:23" s="422" customFormat="1" ht="30" hidden="1">
      <c r="A5" s="408" t="s">
        <v>264</v>
      </c>
      <c r="B5" s="408">
        <v>1</v>
      </c>
      <c r="C5" s="408" t="s">
        <v>130</v>
      </c>
      <c r="D5" s="408"/>
      <c r="E5" s="409" t="s">
        <v>265</v>
      </c>
      <c r="F5" s="410" t="s">
        <v>266</v>
      </c>
      <c r="G5" s="410" t="s">
        <v>267</v>
      </c>
      <c r="H5" s="411"/>
      <c r="I5" s="412"/>
      <c r="J5" s="412"/>
      <c r="K5" s="413" t="s">
        <v>268</v>
      </c>
      <c r="L5" s="414" t="s">
        <v>86</v>
      </c>
      <c r="M5" s="414" t="s">
        <v>115</v>
      </c>
      <c r="N5" s="414" t="s">
        <v>269</v>
      </c>
      <c r="O5" s="415" t="s">
        <v>268</v>
      </c>
      <c r="P5" s="414">
        <v>2031</v>
      </c>
      <c r="Q5" s="416"/>
      <c r="R5" s="417"/>
      <c r="S5" s="418"/>
      <c r="T5" s="419"/>
      <c r="U5" s="420"/>
      <c r="V5" s="421" t="s">
        <v>15</v>
      </c>
      <c r="W5" s="280"/>
    </row>
    <row r="6" spans="1:23" hidden="1">
      <c r="A6" s="423" t="s">
        <v>264</v>
      </c>
      <c r="B6" s="423">
        <v>2</v>
      </c>
      <c r="C6" s="423" t="s">
        <v>270</v>
      </c>
      <c r="D6" s="423"/>
      <c r="E6" s="424" t="s">
        <v>271</v>
      </c>
      <c r="F6" s="424"/>
      <c r="G6" s="424"/>
      <c r="H6" s="281"/>
      <c r="I6" s="425">
        <v>744</v>
      </c>
      <c r="J6" s="425"/>
      <c r="K6" s="426"/>
      <c r="L6" s="427"/>
      <c r="M6" s="427"/>
      <c r="N6" s="427"/>
      <c r="O6" s="428"/>
      <c r="P6" s="427"/>
      <c r="Q6" s="397"/>
      <c r="R6" s="398"/>
      <c r="S6" s="399"/>
      <c r="T6" s="400"/>
      <c r="U6" s="401"/>
      <c r="V6" s="402"/>
      <c r="W6" s="47"/>
    </row>
    <row r="7" spans="1:23" hidden="1">
      <c r="A7" s="423" t="s">
        <v>264</v>
      </c>
      <c r="B7" s="423">
        <v>3</v>
      </c>
      <c r="C7" s="423" t="s">
        <v>270</v>
      </c>
      <c r="D7" s="423" t="s">
        <v>272</v>
      </c>
      <c r="E7" s="424" t="s">
        <v>273</v>
      </c>
      <c r="F7" s="424"/>
      <c r="G7" s="424"/>
      <c r="H7" s="281"/>
      <c r="I7" s="425">
        <v>1977</v>
      </c>
      <c r="J7" s="425"/>
      <c r="K7" s="426"/>
      <c r="L7" s="427"/>
      <c r="M7" s="427"/>
      <c r="N7" s="427"/>
      <c r="O7" s="428"/>
      <c r="P7" s="427"/>
      <c r="Q7" s="397"/>
      <c r="R7" s="398"/>
      <c r="S7" s="399"/>
      <c r="T7" s="400"/>
      <c r="U7" s="401"/>
      <c r="V7" s="402"/>
      <c r="W7" s="47"/>
    </row>
    <row r="8" spans="1:23" hidden="1">
      <c r="A8" s="423" t="s">
        <v>264</v>
      </c>
      <c r="B8" s="423">
        <v>4</v>
      </c>
      <c r="C8" s="423" t="s">
        <v>270</v>
      </c>
      <c r="D8" s="423" t="s">
        <v>272</v>
      </c>
      <c r="E8" s="424" t="s">
        <v>274</v>
      </c>
      <c r="F8" s="424"/>
      <c r="G8" s="424"/>
      <c r="H8" s="281"/>
      <c r="I8" s="425">
        <v>1978</v>
      </c>
      <c r="J8" s="425"/>
      <c r="K8" s="426"/>
      <c r="L8" s="427"/>
      <c r="M8" s="427"/>
      <c r="N8" s="427"/>
      <c r="O8" s="428"/>
      <c r="P8" s="427"/>
      <c r="Q8" s="397"/>
      <c r="R8" s="398"/>
      <c r="S8" s="399"/>
      <c r="T8" s="400"/>
      <c r="U8" s="401"/>
      <c r="V8" s="402"/>
      <c r="W8" s="47"/>
    </row>
    <row r="9" spans="1:23" hidden="1">
      <c r="A9" s="423" t="s">
        <v>264</v>
      </c>
      <c r="B9" s="423">
        <v>5</v>
      </c>
      <c r="C9" s="423" t="s">
        <v>270</v>
      </c>
      <c r="D9" s="423" t="s">
        <v>272</v>
      </c>
      <c r="E9" s="424" t="s">
        <v>275</v>
      </c>
      <c r="F9" s="424"/>
      <c r="G9" s="424"/>
      <c r="H9" s="281"/>
      <c r="I9" s="425"/>
      <c r="J9" s="425"/>
      <c r="K9" s="426"/>
      <c r="L9" s="427"/>
      <c r="M9" s="427"/>
      <c r="N9" s="427"/>
      <c r="O9" s="428"/>
      <c r="P9" s="427"/>
      <c r="Q9" s="397"/>
      <c r="R9" s="398"/>
      <c r="S9" s="399"/>
      <c r="T9" s="400"/>
      <c r="U9" s="401"/>
      <c r="V9" s="402"/>
      <c r="W9" s="47"/>
    </row>
    <row r="10" spans="1:23" s="430" customFormat="1" ht="45" hidden="1">
      <c r="A10" s="397" t="s">
        <v>264</v>
      </c>
      <c r="B10" s="397">
        <v>6</v>
      </c>
      <c r="C10" s="397" t="s">
        <v>276</v>
      </c>
      <c r="D10" s="397" t="s">
        <v>277</v>
      </c>
      <c r="E10" s="390" t="s">
        <v>278</v>
      </c>
      <c r="F10" s="390" t="s">
        <v>279</v>
      </c>
      <c r="G10" s="390" t="s">
        <v>280</v>
      </c>
      <c r="H10" s="397">
        <v>386615</v>
      </c>
      <c r="I10" s="397" t="s">
        <v>133</v>
      </c>
      <c r="J10" s="397"/>
      <c r="K10" s="397" t="s">
        <v>133</v>
      </c>
      <c r="L10" s="397" t="s">
        <v>281</v>
      </c>
      <c r="M10" s="397" t="s">
        <v>115</v>
      </c>
      <c r="N10" s="397"/>
      <c r="O10" s="429" t="s">
        <v>282</v>
      </c>
      <c r="P10" s="397">
        <v>2026</v>
      </c>
      <c r="Q10" s="397"/>
      <c r="R10" s="397"/>
      <c r="S10" s="397"/>
      <c r="T10" s="397"/>
      <c r="U10" s="397"/>
      <c r="V10" s="397" t="s">
        <v>117</v>
      </c>
      <c r="W10" s="390"/>
    </row>
    <row r="11" spans="1:23" s="430" customFormat="1" ht="45" hidden="1">
      <c r="A11" s="397" t="s">
        <v>264</v>
      </c>
      <c r="B11" s="397">
        <v>7</v>
      </c>
      <c r="C11" s="397" t="s">
        <v>276</v>
      </c>
      <c r="D11" s="397" t="s">
        <v>167</v>
      </c>
      <c r="E11" s="390" t="s">
        <v>283</v>
      </c>
      <c r="F11" s="390" t="s">
        <v>284</v>
      </c>
      <c r="G11" s="390" t="s">
        <v>280</v>
      </c>
      <c r="H11" s="397" t="s">
        <v>133</v>
      </c>
      <c r="I11" s="397" t="s">
        <v>133</v>
      </c>
      <c r="J11" s="397"/>
      <c r="K11" s="397" t="s">
        <v>133</v>
      </c>
      <c r="L11" s="397" t="s">
        <v>281</v>
      </c>
      <c r="M11" s="397" t="s">
        <v>115</v>
      </c>
      <c r="N11" s="397"/>
      <c r="O11" s="429"/>
      <c r="P11" s="397"/>
      <c r="Q11" s="397"/>
      <c r="R11" s="397"/>
      <c r="S11" s="397"/>
      <c r="T11" s="397"/>
      <c r="U11" s="397"/>
      <c r="V11" s="397" t="s">
        <v>117</v>
      </c>
      <c r="W11" s="390"/>
    </row>
    <row r="12" spans="1:23" s="430" customFormat="1" hidden="1">
      <c r="A12" s="397" t="s">
        <v>264</v>
      </c>
      <c r="B12" s="397">
        <v>10</v>
      </c>
      <c r="C12" s="397" t="s">
        <v>276</v>
      </c>
      <c r="D12" s="397" t="s">
        <v>167</v>
      </c>
      <c r="E12" s="390" t="s">
        <v>285</v>
      </c>
      <c r="F12" s="390" t="s">
        <v>286</v>
      </c>
      <c r="G12" s="390" t="s">
        <v>280</v>
      </c>
      <c r="H12" s="397"/>
      <c r="I12" s="397" t="s">
        <v>133</v>
      </c>
      <c r="J12" s="397"/>
      <c r="K12" s="397" t="s">
        <v>133</v>
      </c>
      <c r="L12" s="397" t="s">
        <v>133</v>
      </c>
      <c r="M12" s="397" t="s">
        <v>133</v>
      </c>
      <c r="N12" s="397" t="s">
        <v>133</v>
      </c>
      <c r="O12" s="429" t="s">
        <v>133</v>
      </c>
      <c r="P12" s="397" t="s">
        <v>133</v>
      </c>
      <c r="Q12" s="397"/>
      <c r="R12" s="397"/>
      <c r="S12" s="397"/>
      <c r="T12" s="397"/>
      <c r="U12" s="397"/>
      <c r="V12" s="397" t="s">
        <v>15</v>
      </c>
      <c r="W12" s="390"/>
    </row>
    <row r="13" spans="1:23" s="430" customFormat="1" ht="45" hidden="1">
      <c r="A13" s="397" t="s">
        <v>264</v>
      </c>
      <c r="B13" s="397">
        <v>11</v>
      </c>
      <c r="C13" s="397" t="s">
        <v>276</v>
      </c>
      <c r="D13" s="397" t="s">
        <v>167</v>
      </c>
      <c r="E13" s="390" t="s">
        <v>287</v>
      </c>
      <c r="F13" s="390" t="s">
        <v>288</v>
      </c>
      <c r="G13" s="390" t="s">
        <v>280</v>
      </c>
      <c r="H13" s="397">
        <v>890835423</v>
      </c>
      <c r="I13" s="397" t="s">
        <v>133</v>
      </c>
      <c r="J13" s="397"/>
      <c r="K13" s="397">
        <v>1989</v>
      </c>
      <c r="L13" s="397" t="s">
        <v>281</v>
      </c>
      <c r="M13" s="397" t="s">
        <v>115</v>
      </c>
      <c r="N13" s="431">
        <v>32752</v>
      </c>
      <c r="O13" s="429"/>
      <c r="P13" s="397">
        <v>2016</v>
      </c>
      <c r="Q13" s="397"/>
      <c r="R13" s="397"/>
      <c r="S13" s="397"/>
      <c r="T13" s="397"/>
      <c r="U13" s="397"/>
      <c r="V13" s="397" t="s">
        <v>15</v>
      </c>
      <c r="W13" s="390"/>
    </row>
    <row r="14" spans="1:23" s="430" customFormat="1" ht="45" hidden="1">
      <c r="A14" s="397" t="s">
        <v>264</v>
      </c>
      <c r="B14" s="397">
        <v>13</v>
      </c>
      <c r="C14" s="397" t="s">
        <v>276</v>
      </c>
      <c r="D14" s="397" t="s">
        <v>167</v>
      </c>
      <c r="E14" s="390" t="s">
        <v>289</v>
      </c>
      <c r="F14" s="390" t="s">
        <v>279</v>
      </c>
      <c r="G14" s="390" t="s">
        <v>280</v>
      </c>
      <c r="H14" s="397" t="s">
        <v>133</v>
      </c>
      <c r="I14" s="397"/>
      <c r="J14" s="397"/>
      <c r="K14" s="397"/>
      <c r="L14" s="397" t="s">
        <v>86</v>
      </c>
      <c r="M14" s="397" t="s">
        <v>115</v>
      </c>
      <c r="N14" s="397"/>
      <c r="O14" s="429"/>
      <c r="P14" s="397">
        <v>2016</v>
      </c>
      <c r="Q14" s="397"/>
      <c r="R14" s="397"/>
      <c r="S14" s="397"/>
      <c r="T14" s="397"/>
      <c r="U14" s="397"/>
      <c r="V14" s="397" t="s">
        <v>117</v>
      </c>
      <c r="W14" s="390"/>
    </row>
    <row r="15" spans="1:23" s="430" customFormat="1" ht="45" hidden="1">
      <c r="A15" s="397" t="s">
        <v>264</v>
      </c>
      <c r="B15" s="397">
        <v>14</v>
      </c>
      <c r="C15" s="397" t="s">
        <v>276</v>
      </c>
      <c r="D15" s="397" t="s">
        <v>167</v>
      </c>
      <c r="E15" s="390" t="s">
        <v>290</v>
      </c>
      <c r="F15" s="390" t="s">
        <v>279</v>
      </c>
      <c r="G15" s="390" t="s">
        <v>280</v>
      </c>
      <c r="H15" s="397" t="s">
        <v>133</v>
      </c>
      <c r="I15" s="397"/>
      <c r="J15" s="397"/>
      <c r="K15" s="397"/>
      <c r="L15" s="397" t="s">
        <v>86</v>
      </c>
      <c r="M15" s="397" t="s">
        <v>115</v>
      </c>
      <c r="N15" s="397"/>
      <c r="O15" s="429"/>
      <c r="P15" s="397"/>
      <c r="Q15" s="397"/>
      <c r="R15" s="397"/>
      <c r="S15" s="397"/>
      <c r="T15" s="397"/>
      <c r="U15" s="397"/>
      <c r="V15" s="397" t="s">
        <v>117</v>
      </c>
      <c r="W15" s="390"/>
    </row>
    <row r="16" spans="1:23" s="430" customFormat="1" ht="45" hidden="1">
      <c r="A16" s="397" t="s">
        <v>264</v>
      </c>
      <c r="B16" s="397">
        <v>15</v>
      </c>
      <c r="C16" s="397" t="s">
        <v>276</v>
      </c>
      <c r="D16" s="397" t="s">
        <v>167</v>
      </c>
      <c r="E16" s="390" t="s">
        <v>291</v>
      </c>
      <c r="F16" s="390" t="s">
        <v>284</v>
      </c>
      <c r="G16" s="390" t="s">
        <v>280</v>
      </c>
      <c r="H16" s="397" t="s">
        <v>133</v>
      </c>
      <c r="I16" s="397"/>
      <c r="J16" s="397"/>
      <c r="K16" s="397"/>
      <c r="L16" s="397" t="s">
        <v>86</v>
      </c>
      <c r="M16" s="397" t="s">
        <v>115</v>
      </c>
      <c r="N16" s="397"/>
      <c r="O16" s="429"/>
      <c r="P16" s="397"/>
      <c r="Q16" s="397"/>
      <c r="R16" s="397"/>
      <c r="S16" s="397"/>
      <c r="T16" s="397"/>
      <c r="U16" s="397"/>
      <c r="V16" s="397" t="s">
        <v>15</v>
      </c>
      <c r="W16" s="390"/>
    </row>
    <row r="17" spans="1:23" s="430" customFormat="1" ht="45" hidden="1">
      <c r="A17" s="397" t="s">
        <v>264</v>
      </c>
      <c r="B17" s="397">
        <v>16</v>
      </c>
      <c r="C17" s="397" t="s">
        <v>276</v>
      </c>
      <c r="D17" s="397" t="s">
        <v>167</v>
      </c>
      <c r="E17" s="390" t="s">
        <v>292</v>
      </c>
      <c r="F17" s="390" t="s">
        <v>284</v>
      </c>
      <c r="G17" s="390" t="s">
        <v>280</v>
      </c>
      <c r="H17" s="397"/>
      <c r="I17" s="397"/>
      <c r="J17" s="397"/>
      <c r="K17" s="397"/>
      <c r="L17" s="397" t="s">
        <v>86</v>
      </c>
      <c r="M17" s="397" t="s">
        <v>115</v>
      </c>
      <c r="N17" s="397"/>
      <c r="O17" s="429"/>
      <c r="P17" s="397"/>
      <c r="Q17" s="397"/>
      <c r="R17" s="397"/>
      <c r="S17" s="397"/>
      <c r="T17" s="397"/>
      <c r="U17" s="397"/>
      <c r="V17" s="397" t="s">
        <v>15</v>
      </c>
      <c r="W17" s="390"/>
    </row>
    <row r="18" spans="1:23" s="430" customFormat="1" ht="45" hidden="1">
      <c r="A18" s="397" t="s">
        <v>264</v>
      </c>
      <c r="B18" s="397">
        <v>18</v>
      </c>
      <c r="C18" s="397" t="s">
        <v>276</v>
      </c>
      <c r="D18" s="397" t="s">
        <v>167</v>
      </c>
      <c r="E18" s="390" t="s">
        <v>293</v>
      </c>
      <c r="F18" s="390" t="s">
        <v>284</v>
      </c>
      <c r="G18" s="390" t="s">
        <v>280</v>
      </c>
      <c r="H18" s="397"/>
      <c r="I18" s="397"/>
      <c r="J18" s="397"/>
      <c r="K18" s="397"/>
      <c r="L18" s="397" t="s">
        <v>86</v>
      </c>
      <c r="M18" s="397" t="s">
        <v>115</v>
      </c>
      <c r="N18" s="397"/>
      <c r="O18" s="429"/>
      <c r="P18" s="397"/>
      <c r="Q18" s="397"/>
      <c r="R18" s="397"/>
      <c r="S18" s="397"/>
      <c r="T18" s="397"/>
      <c r="U18" s="397"/>
      <c r="V18" s="397" t="s">
        <v>117</v>
      </c>
      <c r="W18" s="390"/>
    </row>
    <row r="19" spans="1:23" s="430" customFormat="1" ht="45" hidden="1">
      <c r="A19" s="397" t="s">
        <v>264</v>
      </c>
      <c r="B19" s="397">
        <v>20</v>
      </c>
      <c r="C19" s="397" t="s">
        <v>276</v>
      </c>
      <c r="D19" s="397" t="s">
        <v>167</v>
      </c>
      <c r="E19" s="390" t="s">
        <v>294</v>
      </c>
      <c r="F19" s="390" t="s">
        <v>284</v>
      </c>
      <c r="G19" s="390" t="s">
        <v>280</v>
      </c>
      <c r="H19" s="397"/>
      <c r="I19" s="397"/>
      <c r="J19" s="397"/>
      <c r="K19" s="397"/>
      <c r="L19" s="397" t="s">
        <v>86</v>
      </c>
      <c r="M19" s="397" t="s">
        <v>115</v>
      </c>
      <c r="N19" s="397"/>
      <c r="O19" s="429"/>
      <c r="P19" s="397"/>
      <c r="Q19" s="397"/>
      <c r="R19" s="397"/>
      <c r="S19" s="397"/>
      <c r="T19" s="397"/>
      <c r="U19" s="397"/>
      <c r="V19" s="397" t="s">
        <v>15</v>
      </c>
      <c r="W19" s="390"/>
    </row>
    <row r="20" spans="1:23" s="430" customFormat="1" ht="45" hidden="1">
      <c r="A20" s="397" t="s">
        <v>264</v>
      </c>
      <c r="B20" s="397">
        <v>21</v>
      </c>
      <c r="C20" s="397" t="s">
        <v>276</v>
      </c>
      <c r="D20" s="397" t="s">
        <v>167</v>
      </c>
      <c r="E20" s="390" t="s">
        <v>295</v>
      </c>
      <c r="F20" s="390" t="s">
        <v>284</v>
      </c>
      <c r="G20" s="390" t="s">
        <v>280</v>
      </c>
      <c r="H20" s="397"/>
      <c r="I20" s="397"/>
      <c r="J20" s="397"/>
      <c r="K20" s="397"/>
      <c r="L20" s="397" t="s">
        <v>86</v>
      </c>
      <c r="M20" s="397" t="s">
        <v>115</v>
      </c>
      <c r="N20" s="397"/>
      <c r="O20" s="429"/>
      <c r="P20" s="397"/>
      <c r="Q20" s="397"/>
      <c r="R20" s="397"/>
      <c r="S20" s="397"/>
      <c r="T20" s="397"/>
      <c r="U20" s="397"/>
      <c r="V20" s="397" t="s">
        <v>15</v>
      </c>
      <c r="W20" s="390"/>
    </row>
    <row r="21" spans="1:23" s="430" customFormat="1" ht="45" hidden="1">
      <c r="A21" s="397" t="s">
        <v>264</v>
      </c>
      <c r="B21" s="397">
        <v>24</v>
      </c>
      <c r="C21" s="397" t="s">
        <v>276</v>
      </c>
      <c r="D21" s="397" t="s">
        <v>167</v>
      </c>
      <c r="E21" s="390" t="s">
        <v>296</v>
      </c>
      <c r="F21" s="390" t="s">
        <v>284</v>
      </c>
      <c r="G21" s="390" t="s">
        <v>280</v>
      </c>
      <c r="H21" s="397"/>
      <c r="I21" s="397"/>
      <c r="J21" s="397"/>
      <c r="K21" s="397"/>
      <c r="L21" s="397" t="s">
        <v>86</v>
      </c>
      <c r="M21" s="397" t="s">
        <v>115</v>
      </c>
      <c r="N21" s="397"/>
      <c r="O21" s="429"/>
      <c r="P21" s="397"/>
      <c r="Q21" s="397"/>
      <c r="R21" s="397"/>
      <c r="S21" s="397"/>
      <c r="T21" s="397"/>
      <c r="U21" s="397"/>
      <c r="V21" s="397" t="s">
        <v>117</v>
      </c>
      <c r="W21" s="390"/>
    </row>
    <row r="22" spans="1:23" s="430" customFormat="1" ht="30" hidden="1">
      <c r="A22" s="397" t="s">
        <v>264</v>
      </c>
      <c r="B22" s="397">
        <v>26</v>
      </c>
      <c r="C22" s="397" t="s">
        <v>276</v>
      </c>
      <c r="D22" s="397" t="s">
        <v>167</v>
      </c>
      <c r="E22" s="390" t="s">
        <v>297</v>
      </c>
      <c r="F22" s="390" t="s">
        <v>298</v>
      </c>
      <c r="G22" s="390" t="s">
        <v>280</v>
      </c>
      <c r="H22" s="397"/>
      <c r="I22" s="397"/>
      <c r="J22" s="397"/>
      <c r="K22" s="397"/>
      <c r="L22" s="397" t="s">
        <v>86</v>
      </c>
      <c r="M22" s="397" t="s">
        <v>115</v>
      </c>
      <c r="N22" s="397"/>
      <c r="O22" s="429"/>
      <c r="P22" s="397"/>
      <c r="Q22" s="397"/>
      <c r="R22" s="397"/>
      <c r="S22" s="397"/>
      <c r="T22" s="397"/>
      <c r="U22" s="397"/>
      <c r="V22" s="397" t="s">
        <v>117</v>
      </c>
      <c r="W22" s="390"/>
    </row>
    <row r="23" spans="1:23" s="430" customFormat="1" ht="30" hidden="1">
      <c r="A23" s="397" t="s">
        <v>264</v>
      </c>
      <c r="B23" s="397">
        <v>27</v>
      </c>
      <c r="C23" s="397" t="s">
        <v>276</v>
      </c>
      <c r="D23" s="397" t="s">
        <v>167</v>
      </c>
      <c r="E23" s="390" t="s">
        <v>299</v>
      </c>
      <c r="F23" s="390" t="s">
        <v>298</v>
      </c>
      <c r="G23" s="390" t="s">
        <v>280</v>
      </c>
      <c r="H23" s="397"/>
      <c r="I23" s="397"/>
      <c r="J23" s="397"/>
      <c r="K23" s="397"/>
      <c r="L23" s="397" t="s">
        <v>86</v>
      </c>
      <c r="M23" s="397" t="s">
        <v>115</v>
      </c>
      <c r="N23" s="397"/>
      <c r="O23" s="429"/>
      <c r="P23" s="397"/>
      <c r="Q23" s="397"/>
      <c r="R23" s="397"/>
      <c r="S23" s="397"/>
      <c r="T23" s="397"/>
      <c r="U23" s="397"/>
      <c r="V23" s="397" t="s">
        <v>117</v>
      </c>
      <c r="W23" s="390"/>
    </row>
    <row r="24" spans="1:23" s="430" customFormat="1" ht="30" hidden="1">
      <c r="A24" s="397" t="s">
        <v>264</v>
      </c>
      <c r="B24" s="397">
        <v>28</v>
      </c>
      <c r="C24" s="397" t="s">
        <v>276</v>
      </c>
      <c r="D24" s="397" t="s">
        <v>167</v>
      </c>
      <c r="E24" s="390" t="s">
        <v>300</v>
      </c>
      <c r="F24" s="390" t="s">
        <v>298</v>
      </c>
      <c r="G24" s="390" t="s">
        <v>280</v>
      </c>
      <c r="H24" s="397"/>
      <c r="I24" s="397"/>
      <c r="J24" s="397"/>
      <c r="K24" s="397"/>
      <c r="L24" s="397" t="s">
        <v>86</v>
      </c>
      <c r="M24" s="397" t="s">
        <v>115</v>
      </c>
      <c r="N24" s="397"/>
      <c r="O24" s="429"/>
      <c r="P24" s="397"/>
      <c r="Q24" s="397"/>
      <c r="R24" s="397"/>
      <c r="S24" s="397"/>
      <c r="T24" s="397"/>
      <c r="U24" s="397"/>
      <c r="V24" s="397" t="s">
        <v>117</v>
      </c>
      <c r="W24" s="390"/>
    </row>
    <row r="25" spans="1:23" s="430" customFormat="1" ht="45" hidden="1">
      <c r="A25" s="397" t="s">
        <v>264</v>
      </c>
      <c r="B25" s="397">
        <v>30</v>
      </c>
      <c r="C25" s="397" t="s">
        <v>276</v>
      </c>
      <c r="D25" s="397" t="s">
        <v>167</v>
      </c>
      <c r="E25" s="390" t="s">
        <v>301</v>
      </c>
      <c r="F25" s="390" t="s">
        <v>288</v>
      </c>
      <c r="G25" s="390" t="s">
        <v>280</v>
      </c>
      <c r="H25" s="397"/>
      <c r="I25" s="397"/>
      <c r="J25" s="397"/>
      <c r="K25" s="397"/>
      <c r="L25" s="397" t="s">
        <v>86</v>
      </c>
      <c r="M25" s="397" t="s">
        <v>115</v>
      </c>
      <c r="N25" s="397"/>
      <c r="O25" s="429"/>
      <c r="P25" s="397"/>
      <c r="Q25" s="397"/>
      <c r="R25" s="397"/>
      <c r="S25" s="397"/>
      <c r="T25" s="397"/>
      <c r="U25" s="397"/>
      <c r="V25" s="397" t="s">
        <v>117</v>
      </c>
      <c r="W25" s="390"/>
    </row>
    <row r="26" spans="1:23" ht="30" hidden="1">
      <c r="A26" s="423" t="s">
        <v>264</v>
      </c>
      <c r="B26" s="423">
        <v>31</v>
      </c>
      <c r="C26" s="423" t="s">
        <v>276</v>
      </c>
      <c r="D26" s="423" t="s">
        <v>167</v>
      </c>
      <c r="E26" s="424" t="s">
        <v>302</v>
      </c>
      <c r="F26" s="424" t="s">
        <v>298</v>
      </c>
      <c r="G26" s="424" t="s">
        <v>303</v>
      </c>
      <c r="H26" s="281"/>
      <c r="I26" s="425"/>
      <c r="J26" s="425"/>
      <c r="K26" s="426"/>
      <c r="L26" s="427" t="s">
        <v>86</v>
      </c>
      <c r="M26" s="427" t="s">
        <v>115</v>
      </c>
      <c r="N26" s="427"/>
      <c r="O26" s="428"/>
      <c r="P26" s="427"/>
      <c r="Q26" s="397"/>
      <c r="R26" s="398"/>
      <c r="S26" s="399"/>
      <c r="T26" s="400" t="s">
        <v>117</v>
      </c>
      <c r="U26" s="401"/>
      <c r="V26" s="402"/>
      <c r="W26" s="47"/>
    </row>
    <row r="27" spans="1:23" ht="45" hidden="1">
      <c r="A27" s="423" t="s">
        <v>264</v>
      </c>
      <c r="B27" s="423">
        <v>33</v>
      </c>
      <c r="C27" s="423" t="s">
        <v>276</v>
      </c>
      <c r="D27" s="423" t="s">
        <v>277</v>
      </c>
      <c r="E27" s="424" t="s">
        <v>304</v>
      </c>
      <c r="F27" s="424" t="s">
        <v>279</v>
      </c>
      <c r="G27" s="424" t="s">
        <v>303</v>
      </c>
      <c r="H27" s="281" t="s">
        <v>305</v>
      </c>
      <c r="I27" s="425">
        <v>7704</v>
      </c>
      <c r="J27" s="425"/>
      <c r="K27" s="426">
        <v>1989</v>
      </c>
      <c r="L27" s="427" t="s">
        <v>86</v>
      </c>
      <c r="M27" s="427" t="s">
        <v>115</v>
      </c>
      <c r="N27" s="427"/>
      <c r="O27" s="428"/>
      <c r="P27" s="427">
        <v>2019</v>
      </c>
      <c r="Q27" s="397"/>
      <c r="R27" s="398"/>
      <c r="S27" s="399"/>
      <c r="T27" s="400"/>
      <c r="U27" s="401"/>
      <c r="V27" s="402" t="s">
        <v>117</v>
      </c>
      <c r="W27" s="47"/>
    </row>
    <row r="28" spans="1:23" s="430" customFormat="1" ht="45" hidden="1">
      <c r="A28" s="397" t="s">
        <v>264</v>
      </c>
      <c r="B28" s="397">
        <v>34</v>
      </c>
      <c r="C28" s="397" t="s">
        <v>276</v>
      </c>
      <c r="D28" s="397" t="s">
        <v>167</v>
      </c>
      <c r="E28" s="390" t="s">
        <v>306</v>
      </c>
      <c r="F28" s="390" t="s">
        <v>279</v>
      </c>
      <c r="G28" s="390" t="s">
        <v>280</v>
      </c>
      <c r="H28" s="397"/>
      <c r="I28" s="397"/>
      <c r="J28" s="397"/>
      <c r="K28" s="397"/>
      <c r="L28" s="397" t="s">
        <v>307</v>
      </c>
      <c r="M28" s="397" t="s">
        <v>115</v>
      </c>
      <c r="N28" s="397"/>
      <c r="O28" s="429"/>
      <c r="P28" s="397"/>
      <c r="Q28" s="397" t="s">
        <v>15</v>
      </c>
      <c r="R28" s="397"/>
      <c r="S28" s="397"/>
      <c r="T28" s="397"/>
      <c r="U28" s="397"/>
      <c r="V28" s="397"/>
      <c r="W28" s="390"/>
    </row>
    <row r="29" spans="1:23" s="430" customFormat="1" ht="45" hidden="1">
      <c r="A29" s="397" t="s">
        <v>264</v>
      </c>
      <c r="B29" s="397">
        <v>35</v>
      </c>
      <c r="C29" s="397" t="s">
        <v>276</v>
      </c>
      <c r="D29" s="397" t="s">
        <v>167</v>
      </c>
      <c r="E29" s="390" t="s">
        <v>308</v>
      </c>
      <c r="F29" s="390" t="s">
        <v>284</v>
      </c>
      <c r="G29" s="390" t="s">
        <v>280</v>
      </c>
      <c r="H29" s="397"/>
      <c r="I29" s="397"/>
      <c r="J29" s="397"/>
      <c r="K29" s="397"/>
      <c r="L29" s="397" t="s">
        <v>80</v>
      </c>
      <c r="M29" s="397" t="s">
        <v>115</v>
      </c>
      <c r="N29" s="397"/>
      <c r="O29" s="429">
        <v>110</v>
      </c>
      <c r="P29" s="397"/>
      <c r="Q29" s="397" t="s">
        <v>15</v>
      </c>
      <c r="R29" s="397"/>
      <c r="S29" s="397"/>
      <c r="T29" s="397"/>
      <c r="U29" s="397"/>
      <c r="V29" s="397"/>
      <c r="W29" s="390"/>
    </row>
    <row r="30" spans="1:23" ht="45" hidden="1">
      <c r="A30" s="423" t="s">
        <v>264</v>
      </c>
      <c r="B30" s="423">
        <v>36</v>
      </c>
      <c r="C30" s="423" t="s">
        <v>276</v>
      </c>
      <c r="D30" s="423" t="s">
        <v>277</v>
      </c>
      <c r="E30" s="424" t="s">
        <v>309</v>
      </c>
      <c r="F30" s="424" t="s">
        <v>279</v>
      </c>
      <c r="G30" s="424" t="s">
        <v>303</v>
      </c>
      <c r="H30" s="281"/>
      <c r="I30" s="425"/>
      <c r="J30" s="425"/>
      <c r="K30" s="426">
        <v>1990</v>
      </c>
      <c r="L30" s="427" t="s">
        <v>80</v>
      </c>
      <c r="M30" s="427" t="s">
        <v>115</v>
      </c>
      <c r="N30" s="427"/>
      <c r="O30" s="428"/>
      <c r="P30" s="427">
        <v>2019</v>
      </c>
      <c r="Q30" s="397"/>
      <c r="R30" s="398"/>
      <c r="S30" s="399"/>
      <c r="T30" s="400" t="s">
        <v>117</v>
      </c>
      <c r="U30" s="401"/>
      <c r="V30" s="402"/>
      <c r="W30" s="47"/>
    </row>
    <row r="31" spans="1:23" hidden="1">
      <c r="A31" s="423" t="s">
        <v>264</v>
      </c>
      <c r="B31" s="423">
        <v>37</v>
      </c>
      <c r="C31" s="423" t="s">
        <v>276</v>
      </c>
      <c r="D31" s="423" t="s">
        <v>277</v>
      </c>
      <c r="E31" s="424" t="s">
        <v>310</v>
      </c>
      <c r="F31" s="424" t="s">
        <v>286</v>
      </c>
      <c r="G31" s="424" t="s">
        <v>303</v>
      </c>
      <c r="H31" s="281"/>
      <c r="I31" s="425"/>
      <c r="J31" s="425"/>
      <c r="K31" s="426">
        <v>1984</v>
      </c>
      <c r="L31" s="427" t="s">
        <v>80</v>
      </c>
      <c r="M31" s="427" t="s">
        <v>115</v>
      </c>
      <c r="N31" s="427"/>
      <c r="O31" s="428"/>
      <c r="P31" s="427">
        <v>2018</v>
      </c>
      <c r="Q31" s="397"/>
      <c r="R31" s="398"/>
      <c r="S31" s="399"/>
      <c r="T31" s="400" t="s">
        <v>117</v>
      </c>
      <c r="U31" s="401"/>
      <c r="V31" s="402"/>
      <c r="W31" s="47"/>
    </row>
    <row r="32" spans="1:23" s="430" customFormat="1" ht="45" hidden="1">
      <c r="A32" s="397" t="s">
        <v>264</v>
      </c>
      <c r="B32" s="397">
        <v>38</v>
      </c>
      <c r="C32" s="397" t="s">
        <v>276</v>
      </c>
      <c r="D32" s="397" t="s">
        <v>167</v>
      </c>
      <c r="E32" s="390" t="s">
        <v>311</v>
      </c>
      <c r="F32" s="390" t="s">
        <v>284</v>
      </c>
      <c r="G32" s="390" t="s">
        <v>280</v>
      </c>
      <c r="H32" s="397"/>
      <c r="I32" s="397"/>
      <c r="J32" s="397"/>
      <c r="K32" s="397"/>
      <c r="L32" s="397" t="s">
        <v>86</v>
      </c>
      <c r="M32" s="397" t="s">
        <v>115</v>
      </c>
      <c r="N32" s="397"/>
      <c r="O32" s="429"/>
      <c r="P32" s="397"/>
      <c r="Q32" s="397"/>
      <c r="R32" s="397"/>
      <c r="S32" s="397"/>
      <c r="T32" s="397"/>
      <c r="U32" s="397"/>
      <c r="V32" s="397" t="s">
        <v>15</v>
      </c>
      <c r="W32" s="390"/>
    </row>
    <row r="33" spans="1:23" s="430" customFormat="1" ht="45" hidden="1">
      <c r="A33" s="397" t="s">
        <v>264</v>
      </c>
      <c r="B33" s="397">
        <v>40</v>
      </c>
      <c r="C33" s="397" t="s">
        <v>276</v>
      </c>
      <c r="D33" s="397" t="s">
        <v>167</v>
      </c>
      <c r="E33" s="390" t="s">
        <v>312</v>
      </c>
      <c r="F33" s="390" t="s">
        <v>284</v>
      </c>
      <c r="G33" s="390" t="s">
        <v>280</v>
      </c>
      <c r="H33" s="397"/>
      <c r="I33" s="397"/>
      <c r="J33" s="397"/>
      <c r="K33" s="397"/>
      <c r="L33" s="397" t="s">
        <v>86</v>
      </c>
      <c r="M33" s="397" t="s">
        <v>115</v>
      </c>
      <c r="N33" s="397"/>
      <c r="O33" s="429"/>
      <c r="P33" s="397"/>
      <c r="Q33" s="397"/>
      <c r="R33" s="397"/>
      <c r="S33" s="397"/>
      <c r="T33" s="397"/>
      <c r="U33" s="397"/>
      <c r="V33" s="397"/>
      <c r="W33" s="390"/>
    </row>
    <row r="34" spans="1:23" hidden="1">
      <c r="A34" s="423" t="s">
        <v>264</v>
      </c>
      <c r="B34" s="423">
        <v>41</v>
      </c>
      <c r="C34" s="423" t="s">
        <v>276</v>
      </c>
      <c r="D34" s="423" t="s">
        <v>167</v>
      </c>
      <c r="E34" s="424" t="s">
        <v>313</v>
      </c>
      <c r="F34" s="424" t="s">
        <v>133</v>
      </c>
      <c r="G34" s="424" t="s">
        <v>280</v>
      </c>
      <c r="H34" s="277"/>
      <c r="I34" s="78"/>
      <c r="J34" s="78"/>
      <c r="K34" s="426"/>
      <c r="L34" s="427" t="s">
        <v>133</v>
      </c>
      <c r="M34" s="427" t="s">
        <v>134</v>
      </c>
      <c r="N34" s="80"/>
      <c r="O34" s="217"/>
      <c r="P34" s="80"/>
      <c r="Q34" s="397"/>
      <c r="R34" s="398"/>
      <c r="S34" s="399"/>
      <c r="T34" s="400"/>
      <c r="U34" s="401"/>
      <c r="V34" s="402"/>
      <c r="W34" s="47" t="s">
        <v>314</v>
      </c>
    </row>
    <row r="35" spans="1:23" hidden="1">
      <c r="A35" s="423" t="s">
        <v>264</v>
      </c>
      <c r="B35" s="423">
        <v>42</v>
      </c>
      <c r="C35" s="423" t="s">
        <v>276</v>
      </c>
      <c r="D35" s="423" t="s">
        <v>167</v>
      </c>
      <c r="E35" s="424" t="s">
        <v>315</v>
      </c>
      <c r="F35" s="424" t="s">
        <v>133</v>
      </c>
      <c r="G35" s="424" t="s">
        <v>280</v>
      </c>
      <c r="H35" s="277"/>
      <c r="I35" s="78"/>
      <c r="J35" s="78"/>
      <c r="K35" s="426"/>
      <c r="L35" s="427" t="s">
        <v>133</v>
      </c>
      <c r="M35" s="427" t="s">
        <v>134</v>
      </c>
      <c r="N35" s="80"/>
      <c r="O35" s="217"/>
      <c r="P35" s="80"/>
      <c r="Q35" s="397"/>
      <c r="R35" s="398"/>
      <c r="S35" s="399"/>
      <c r="T35" s="400"/>
      <c r="U35" s="401"/>
      <c r="V35" s="402"/>
      <c r="W35" s="47" t="s">
        <v>314</v>
      </c>
    </row>
    <row r="36" spans="1:23" s="430" customFormat="1" ht="45" hidden="1">
      <c r="A36" s="397" t="s">
        <v>264</v>
      </c>
      <c r="B36" s="397">
        <v>43</v>
      </c>
      <c r="C36" s="397" t="s">
        <v>276</v>
      </c>
      <c r="D36" s="397" t="s">
        <v>167</v>
      </c>
      <c r="E36" s="390" t="s">
        <v>316</v>
      </c>
      <c r="F36" s="390" t="s">
        <v>279</v>
      </c>
      <c r="G36" s="390" t="s">
        <v>280</v>
      </c>
      <c r="H36" s="397"/>
      <c r="I36" s="397"/>
      <c r="J36" s="397"/>
      <c r="K36" s="397"/>
      <c r="L36" s="397" t="s">
        <v>82</v>
      </c>
      <c r="M36" s="397" t="s">
        <v>115</v>
      </c>
      <c r="N36" s="397"/>
      <c r="O36" s="429">
        <v>250</v>
      </c>
      <c r="P36" s="397"/>
      <c r="Q36" s="397"/>
      <c r="R36" s="397"/>
      <c r="S36" s="397"/>
      <c r="T36" s="397" t="s">
        <v>117</v>
      </c>
      <c r="U36" s="397"/>
      <c r="V36" s="397"/>
      <c r="W36" s="390" t="s">
        <v>317</v>
      </c>
    </row>
    <row r="37" spans="1:23" s="430" customFormat="1" ht="45" hidden="1">
      <c r="A37" s="397" t="s">
        <v>264</v>
      </c>
      <c r="B37" s="397">
        <v>44</v>
      </c>
      <c r="C37" s="397" t="s">
        <v>276</v>
      </c>
      <c r="D37" s="397" t="s">
        <v>167</v>
      </c>
      <c r="E37" s="390" t="s">
        <v>318</v>
      </c>
      <c r="F37" s="390" t="s">
        <v>284</v>
      </c>
      <c r="G37" s="390" t="s">
        <v>280</v>
      </c>
      <c r="H37" s="397"/>
      <c r="I37" s="397"/>
      <c r="J37" s="397"/>
      <c r="K37" s="397"/>
      <c r="L37" s="397" t="s">
        <v>319</v>
      </c>
      <c r="M37" s="397" t="s">
        <v>115</v>
      </c>
      <c r="N37" s="397"/>
      <c r="O37" s="429"/>
      <c r="P37" s="397"/>
      <c r="Q37" s="397"/>
      <c r="R37" s="397"/>
      <c r="S37" s="397"/>
      <c r="T37" s="397"/>
      <c r="U37" s="397"/>
      <c r="V37" s="397" t="s">
        <v>117</v>
      </c>
      <c r="W37" s="390"/>
    </row>
    <row r="38" spans="1:23" s="430" customFormat="1" ht="45" hidden="1">
      <c r="A38" s="397" t="s">
        <v>264</v>
      </c>
      <c r="B38" s="397">
        <v>45</v>
      </c>
      <c r="C38" s="397" t="s">
        <v>276</v>
      </c>
      <c r="D38" s="397" t="s">
        <v>167</v>
      </c>
      <c r="E38" s="390" t="s">
        <v>320</v>
      </c>
      <c r="F38" s="390" t="s">
        <v>284</v>
      </c>
      <c r="G38" s="390" t="s">
        <v>280</v>
      </c>
      <c r="H38" s="397"/>
      <c r="I38" s="397"/>
      <c r="J38" s="397"/>
      <c r="K38" s="397"/>
      <c r="L38" s="397" t="s">
        <v>319</v>
      </c>
      <c r="M38" s="397" t="s">
        <v>115</v>
      </c>
      <c r="N38" s="397"/>
      <c r="O38" s="429"/>
      <c r="P38" s="397"/>
      <c r="Q38" s="397"/>
      <c r="R38" s="397"/>
      <c r="S38" s="397"/>
      <c r="T38" s="397"/>
      <c r="U38" s="397" t="s">
        <v>117</v>
      </c>
      <c r="V38" s="397"/>
      <c r="W38" s="390"/>
    </row>
    <row r="39" spans="1:23" s="430" customFormat="1" ht="45" hidden="1">
      <c r="A39" s="397" t="s">
        <v>264</v>
      </c>
      <c r="B39" s="397">
        <v>46</v>
      </c>
      <c r="C39" s="397" t="s">
        <v>276</v>
      </c>
      <c r="D39" s="397" t="s">
        <v>167</v>
      </c>
      <c r="E39" s="390" t="s">
        <v>321</v>
      </c>
      <c r="F39" s="390" t="s">
        <v>284</v>
      </c>
      <c r="G39" s="390" t="s">
        <v>280</v>
      </c>
      <c r="H39" s="397"/>
      <c r="I39" s="397"/>
      <c r="J39" s="397"/>
      <c r="K39" s="397"/>
      <c r="L39" s="397" t="s">
        <v>319</v>
      </c>
      <c r="M39" s="397" t="s">
        <v>115</v>
      </c>
      <c r="N39" s="397"/>
      <c r="O39" s="429"/>
      <c r="P39" s="397"/>
      <c r="Q39" s="397"/>
      <c r="R39" s="397"/>
      <c r="S39" s="397"/>
      <c r="T39" s="397"/>
      <c r="U39" s="397" t="s">
        <v>117</v>
      </c>
      <c r="V39" s="397"/>
      <c r="W39" s="390"/>
    </row>
    <row r="40" spans="1:23" s="430" customFormat="1" ht="45" hidden="1">
      <c r="A40" s="397" t="s">
        <v>264</v>
      </c>
      <c r="B40" s="397">
        <v>47</v>
      </c>
      <c r="C40" s="397" t="s">
        <v>276</v>
      </c>
      <c r="D40" s="397" t="s">
        <v>167</v>
      </c>
      <c r="E40" s="390" t="s">
        <v>322</v>
      </c>
      <c r="F40" s="390" t="s">
        <v>284</v>
      </c>
      <c r="G40" s="390" t="s">
        <v>280</v>
      </c>
      <c r="H40" s="397"/>
      <c r="I40" s="397"/>
      <c r="J40" s="397"/>
      <c r="K40" s="397"/>
      <c r="L40" s="397" t="s">
        <v>319</v>
      </c>
      <c r="M40" s="397" t="s">
        <v>115</v>
      </c>
      <c r="N40" s="397"/>
      <c r="O40" s="429"/>
      <c r="P40" s="397"/>
      <c r="Q40" s="397"/>
      <c r="R40" s="397"/>
      <c r="S40" s="397"/>
      <c r="T40" s="397"/>
      <c r="U40" s="397" t="s">
        <v>117</v>
      </c>
      <c r="V40" s="397"/>
      <c r="W40" s="390"/>
    </row>
    <row r="41" spans="1:23" s="430" customFormat="1" ht="30" hidden="1">
      <c r="A41" s="397" t="s">
        <v>264</v>
      </c>
      <c r="B41" s="397">
        <v>48</v>
      </c>
      <c r="C41" s="397" t="s">
        <v>276</v>
      </c>
      <c r="D41" s="397" t="s">
        <v>167</v>
      </c>
      <c r="E41" s="390" t="s">
        <v>323</v>
      </c>
      <c r="F41" s="390" t="s">
        <v>324</v>
      </c>
      <c r="G41" s="390" t="s">
        <v>280</v>
      </c>
      <c r="H41" s="397"/>
      <c r="I41" s="397"/>
      <c r="J41" s="397"/>
      <c r="K41" s="397"/>
      <c r="L41" s="397" t="s">
        <v>319</v>
      </c>
      <c r="M41" s="397" t="s">
        <v>115</v>
      </c>
      <c r="N41" s="397"/>
      <c r="O41" s="429"/>
      <c r="P41" s="397"/>
      <c r="Q41" s="397"/>
      <c r="R41" s="397"/>
      <c r="S41" s="397"/>
      <c r="T41" s="397"/>
      <c r="U41" s="397"/>
      <c r="V41" s="397" t="s">
        <v>117</v>
      </c>
      <c r="W41" s="390"/>
    </row>
    <row r="42" spans="1:23" hidden="1">
      <c r="A42" s="423" t="s">
        <v>264</v>
      </c>
      <c r="B42" s="423">
        <v>49</v>
      </c>
      <c r="C42" s="423" t="s">
        <v>276</v>
      </c>
      <c r="D42" s="423" t="s">
        <v>167</v>
      </c>
      <c r="E42" s="424" t="s">
        <v>325</v>
      </c>
      <c r="F42" s="424" t="s">
        <v>133</v>
      </c>
      <c r="G42" s="424" t="s">
        <v>280</v>
      </c>
      <c r="H42" s="277" t="s">
        <v>133</v>
      </c>
      <c r="I42" s="78" t="s">
        <v>133</v>
      </c>
      <c r="J42" s="78"/>
      <c r="K42" s="426" t="s">
        <v>133</v>
      </c>
      <c r="L42" s="427" t="s">
        <v>133</v>
      </c>
      <c r="M42" s="427" t="s">
        <v>134</v>
      </c>
      <c r="N42" s="80" t="s">
        <v>133</v>
      </c>
      <c r="O42" s="217" t="s">
        <v>133</v>
      </c>
      <c r="P42" s="80" t="s">
        <v>133</v>
      </c>
      <c r="Q42" s="397"/>
      <c r="R42" s="398"/>
      <c r="S42" s="399"/>
      <c r="T42" s="400"/>
      <c r="U42" s="401"/>
      <c r="V42" s="402"/>
      <c r="W42" s="47" t="s">
        <v>314</v>
      </c>
    </row>
    <row r="43" spans="1:23" hidden="1">
      <c r="A43" s="423" t="s">
        <v>264</v>
      </c>
      <c r="B43" s="423">
        <v>50</v>
      </c>
      <c r="C43" s="423" t="s">
        <v>276</v>
      </c>
      <c r="D43" s="423" t="s">
        <v>167</v>
      </c>
      <c r="E43" s="424" t="s">
        <v>326</v>
      </c>
      <c r="F43" s="424" t="s">
        <v>133</v>
      </c>
      <c r="G43" s="424" t="s">
        <v>280</v>
      </c>
      <c r="H43" s="277" t="s">
        <v>133</v>
      </c>
      <c r="I43" s="78" t="s">
        <v>133</v>
      </c>
      <c r="J43" s="78"/>
      <c r="K43" s="426" t="s">
        <v>133</v>
      </c>
      <c r="L43" s="427" t="s">
        <v>133</v>
      </c>
      <c r="M43" s="427" t="s">
        <v>134</v>
      </c>
      <c r="N43" s="80" t="s">
        <v>133</v>
      </c>
      <c r="O43" s="217" t="s">
        <v>133</v>
      </c>
      <c r="P43" s="80" t="s">
        <v>133</v>
      </c>
      <c r="Q43" s="397"/>
      <c r="R43" s="398"/>
      <c r="S43" s="399"/>
      <c r="T43" s="400"/>
      <c r="U43" s="401"/>
      <c r="V43" s="402"/>
      <c r="W43" s="47" t="s">
        <v>314</v>
      </c>
    </row>
    <row r="44" spans="1:23" hidden="1">
      <c r="A44" s="423" t="s">
        <v>264</v>
      </c>
      <c r="B44" s="423">
        <v>51</v>
      </c>
      <c r="C44" s="423" t="s">
        <v>276</v>
      </c>
      <c r="D44" s="423" t="s">
        <v>167</v>
      </c>
      <c r="E44" s="424" t="s">
        <v>327</v>
      </c>
      <c r="F44" s="424" t="s">
        <v>133</v>
      </c>
      <c r="G44" s="424" t="s">
        <v>280</v>
      </c>
      <c r="H44" s="277" t="s">
        <v>133</v>
      </c>
      <c r="I44" s="78" t="s">
        <v>133</v>
      </c>
      <c r="J44" s="78"/>
      <c r="K44" s="426" t="s">
        <v>133</v>
      </c>
      <c r="L44" s="427" t="s">
        <v>133</v>
      </c>
      <c r="M44" s="427" t="s">
        <v>134</v>
      </c>
      <c r="N44" s="80" t="s">
        <v>133</v>
      </c>
      <c r="O44" s="217" t="s">
        <v>133</v>
      </c>
      <c r="P44" s="80" t="s">
        <v>133</v>
      </c>
      <c r="Q44" s="397"/>
      <c r="R44" s="398"/>
      <c r="S44" s="399"/>
      <c r="T44" s="400"/>
      <c r="U44" s="401"/>
      <c r="V44" s="402"/>
      <c r="W44" s="47" t="s">
        <v>314</v>
      </c>
    </row>
    <row r="45" spans="1:23" hidden="1">
      <c r="A45" s="423" t="s">
        <v>264</v>
      </c>
      <c r="B45" s="423">
        <v>52</v>
      </c>
      <c r="C45" s="423" t="s">
        <v>276</v>
      </c>
      <c r="D45" s="423" t="s">
        <v>167</v>
      </c>
      <c r="E45" s="424" t="s">
        <v>328</v>
      </c>
      <c r="F45" s="424" t="s">
        <v>133</v>
      </c>
      <c r="G45" s="424" t="s">
        <v>280</v>
      </c>
      <c r="H45" s="277" t="s">
        <v>133</v>
      </c>
      <c r="I45" s="78" t="s">
        <v>133</v>
      </c>
      <c r="J45" s="78"/>
      <c r="K45" s="426" t="s">
        <v>133</v>
      </c>
      <c r="L45" s="427" t="s">
        <v>133</v>
      </c>
      <c r="M45" s="427" t="s">
        <v>134</v>
      </c>
      <c r="N45" s="80" t="s">
        <v>133</v>
      </c>
      <c r="O45" s="217" t="s">
        <v>133</v>
      </c>
      <c r="P45" s="80" t="s">
        <v>133</v>
      </c>
      <c r="Q45" s="397"/>
      <c r="R45" s="398"/>
      <c r="S45" s="399"/>
      <c r="T45" s="400"/>
      <c r="U45" s="401"/>
      <c r="V45" s="402"/>
      <c r="W45" s="47" t="s">
        <v>314</v>
      </c>
    </row>
    <row r="46" spans="1:23" s="430" customFormat="1" hidden="1">
      <c r="A46" s="397" t="s">
        <v>264</v>
      </c>
      <c r="B46" s="397">
        <v>54</v>
      </c>
      <c r="C46" s="397" t="s">
        <v>276</v>
      </c>
      <c r="D46" s="397" t="s">
        <v>167</v>
      </c>
      <c r="E46" s="390" t="s">
        <v>329</v>
      </c>
      <c r="F46" s="390" t="s">
        <v>133</v>
      </c>
      <c r="G46" s="390" t="s">
        <v>280</v>
      </c>
      <c r="H46" s="397"/>
      <c r="I46" s="397"/>
      <c r="J46" s="397"/>
      <c r="K46" s="397" t="s">
        <v>133</v>
      </c>
      <c r="L46" s="397" t="s">
        <v>86</v>
      </c>
      <c r="M46" s="397" t="s">
        <v>115</v>
      </c>
      <c r="N46" s="397"/>
      <c r="O46" s="429"/>
      <c r="P46" s="397"/>
      <c r="Q46" s="397"/>
      <c r="R46" s="397"/>
      <c r="S46" s="397"/>
      <c r="T46" s="397"/>
      <c r="U46" s="397"/>
      <c r="V46" s="397" t="s">
        <v>117</v>
      </c>
      <c r="W46" s="390"/>
    </row>
    <row r="47" spans="1:23" s="430" customFormat="1" ht="45" hidden="1">
      <c r="A47" s="397" t="s">
        <v>264</v>
      </c>
      <c r="B47" s="397">
        <v>55</v>
      </c>
      <c r="C47" s="397" t="s">
        <v>276</v>
      </c>
      <c r="D47" s="397" t="s">
        <v>167</v>
      </c>
      <c r="E47" s="390" t="s">
        <v>330</v>
      </c>
      <c r="F47" s="390" t="s">
        <v>284</v>
      </c>
      <c r="G47" s="390" t="s">
        <v>280</v>
      </c>
      <c r="H47" s="397"/>
      <c r="I47" s="397"/>
      <c r="J47" s="397"/>
      <c r="K47" s="397"/>
      <c r="L47" s="397" t="s">
        <v>307</v>
      </c>
      <c r="M47" s="397" t="s">
        <v>115</v>
      </c>
      <c r="N47" s="397"/>
      <c r="O47" s="429">
        <v>25.89</v>
      </c>
      <c r="P47" s="397"/>
      <c r="Q47" s="397"/>
      <c r="R47" s="397" t="s">
        <v>117</v>
      </c>
      <c r="S47" s="397"/>
      <c r="T47" s="397"/>
      <c r="U47" s="397"/>
      <c r="V47" s="397"/>
      <c r="W47" s="391" t="s">
        <v>331</v>
      </c>
    </row>
    <row r="48" spans="1:23" s="430" customFormat="1" ht="45" hidden="1">
      <c r="A48" s="397" t="s">
        <v>264</v>
      </c>
      <c r="B48" s="397">
        <v>57</v>
      </c>
      <c r="C48" s="397" t="s">
        <v>276</v>
      </c>
      <c r="D48" s="397" t="s">
        <v>167</v>
      </c>
      <c r="E48" s="390" t="s">
        <v>332</v>
      </c>
      <c r="F48" s="390" t="s">
        <v>284</v>
      </c>
      <c r="G48" s="390" t="s">
        <v>280</v>
      </c>
      <c r="H48" s="397"/>
      <c r="I48" s="397"/>
      <c r="J48" s="397"/>
      <c r="K48" s="397">
        <v>2024</v>
      </c>
      <c r="L48" s="397" t="s">
        <v>333</v>
      </c>
      <c r="M48" s="397" t="s">
        <v>115</v>
      </c>
      <c r="N48" s="397"/>
      <c r="O48" s="429"/>
      <c r="P48" s="397"/>
      <c r="Q48" s="397"/>
      <c r="R48" s="397"/>
      <c r="S48" s="397"/>
      <c r="T48" s="397"/>
      <c r="U48" s="397"/>
      <c r="V48" s="397" t="s">
        <v>117</v>
      </c>
      <c r="W48" s="390"/>
    </row>
    <row r="49" spans="1:23" s="430" customFormat="1" ht="45" hidden="1">
      <c r="A49" s="397" t="s">
        <v>264</v>
      </c>
      <c r="B49" s="397">
        <v>58</v>
      </c>
      <c r="C49" s="397" t="s">
        <v>276</v>
      </c>
      <c r="D49" s="397" t="s">
        <v>167</v>
      </c>
      <c r="E49" s="390" t="s">
        <v>334</v>
      </c>
      <c r="F49" s="390" t="s">
        <v>284</v>
      </c>
      <c r="G49" s="390" t="s">
        <v>280</v>
      </c>
      <c r="H49" s="397"/>
      <c r="I49" s="397"/>
      <c r="J49" s="397"/>
      <c r="K49" s="397"/>
      <c r="L49" s="397" t="s">
        <v>80</v>
      </c>
      <c r="M49" s="397" t="s">
        <v>115</v>
      </c>
      <c r="N49" s="397"/>
      <c r="O49" s="429"/>
      <c r="P49" s="397"/>
      <c r="Q49" s="397"/>
      <c r="R49" s="397"/>
      <c r="S49" s="397"/>
      <c r="T49" s="397"/>
      <c r="U49" s="397"/>
      <c r="V49" s="397" t="s">
        <v>117</v>
      </c>
      <c r="W49" s="390"/>
    </row>
    <row r="50" spans="1:23" s="430" customFormat="1" ht="45" hidden="1">
      <c r="A50" s="397" t="s">
        <v>264</v>
      </c>
      <c r="B50" s="397">
        <v>59</v>
      </c>
      <c r="C50" s="397" t="s">
        <v>276</v>
      </c>
      <c r="D50" s="397" t="s">
        <v>277</v>
      </c>
      <c r="E50" s="390" t="s">
        <v>335</v>
      </c>
      <c r="F50" s="390" t="s">
        <v>279</v>
      </c>
      <c r="G50" s="390" t="s">
        <v>280</v>
      </c>
      <c r="H50" s="397" t="s">
        <v>336</v>
      </c>
      <c r="I50" s="397" t="s">
        <v>133</v>
      </c>
      <c r="J50" s="397"/>
      <c r="K50" s="397" t="s">
        <v>133</v>
      </c>
      <c r="L50" s="397" t="s">
        <v>133</v>
      </c>
      <c r="M50" s="397" t="s">
        <v>134</v>
      </c>
      <c r="N50" s="397" t="s">
        <v>133</v>
      </c>
      <c r="O50" s="429" t="s">
        <v>133</v>
      </c>
      <c r="P50" s="397">
        <v>2020</v>
      </c>
      <c r="Q50" s="397"/>
      <c r="R50" s="397"/>
      <c r="S50" s="397"/>
      <c r="T50" s="397"/>
      <c r="U50" s="397"/>
      <c r="V50" s="397"/>
      <c r="W50" s="390" t="s">
        <v>314</v>
      </c>
    </row>
    <row r="51" spans="1:23" hidden="1">
      <c r="A51" s="423" t="s">
        <v>264</v>
      </c>
      <c r="B51" s="423">
        <v>61</v>
      </c>
      <c r="C51" s="423" t="s">
        <v>153</v>
      </c>
      <c r="D51" s="423" t="s">
        <v>337</v>
      </c>
      <c r="E51" s="424" t="s">
        <v>338</v>
      </c>
      <c r="F51" s="424" t="s">
        <v>339</v>
      </c>
      <c r="G51" s="424"/>
      <c r="H51" s="281"/>
      <c r="I51" s="425"/>
      <c r="J51" s="425"/>
      <c r="K51" s="426"/>
      <c r="L51" s="427"/>
      <c r="M51" s="427"/>
      <c r="N51" s="427"/>
      <c r="O51" s="428"/>
      <c r="P51" s="427"/>
      <c r="Q51" s="397"/>
      <c r="R51" s="398"/>
      <c r="S51" s="399"/>
      <c r="T51" s="400"/>
      <c r="U51" s="401"/>
      <c r="V51" s="402"/>
      <c r="W51" s="47" t="s">
        <v>340</v>
      </c>
    </row>
    <row r="52" spans="1:23" hidden="1">
      <c r="A52" s="423" t="s">
        <v>264</v>
      </c>
      <c r="B52" s="423">
        <v>62</v>
      </c>
      <c r="C52" s="423" t="s">
        <v>153</v>
      </c>
      <c r="D52" s="423" t="s">
        <v>337</v>
      </c>
      <c r="E52" s="424" t="s">
        <v>341</v>
      </c>
      <c r="F52" s="424" t="s">
        <v>339</v>
      </c>
      <c r="G52" s="424"/>
      <c r="H52" s="281"/>
      <c r="I52" s="425"/>
      <c r="J52" s="425"/>
      <c r="K52" s="426"/>
      <c r="L52" s="427"/>
      <c r="M52" s="427"/>
      <c r="N52" s="427"/>
      <c r="O52" s="428"/>
      <c r="P52" s="427"/>
      <c r="Q52" s="397"/>
      <c r="R52" s="398"/>
      <c r="S52" s="399"/>
      <c r="T52" s="400"/>
      <c r="U52" s="401"/>
      <c r="V52" s="402"/>
      <c r="W52" s="47" t="s">
        <v>340</v>
      </c>
    </row>
    <row r="53" spans="1:23" hidden="1">
      <c r="A53" s="423" t="s">
        <v>264</v>
      </c>
      <c r="B53" s="423">
        <v>63</v>
      </c>
      <c r="C53" s="423" t="s">
        <v>153</v>
      </c>
      <c r="D53" s="423" t="s">
        <v>277</v>
      </c>
      <c r="E53" s="424" t="s">
        <v>342</v>
      </c>
      <c r="F53" s="424" t="s">
        <v>339</v>
      </c>
      <c r="G53" s="424"/>
      <c r="H53" s="281"/>
      <c r="I53" s="425"/>
      <c r="J53" s="425"/>
      <c r="K53" s="426"/>
      <c r="L53" s="427"/>
      <c r="M53" s="427"/>
      <c r="N53" s="427"/>
      <c r="O53" s="428"/>
      <c r="P53" s="427"/>
      <c r="Q53" s="397"/>
      <c r="R53" s="398"/>
      <c r="S53" s="399"/>
      <c r="T53" s="400"/>
      <c r="U53" s="401"/>
      <c r="V53" s="402"/>
      <c r="W53" s="47"/>
    </row>
    <row r="54" spans="1:23" hidden="1">
      <c r="A54" s="423" t="s">
        <v>264</v>
      </c>
      <c r="B54" s="423">
        <v>64</v>
      </c>
      <c r="C54" s="423" t="s">
        <v>153</v>
      </c>
      <c r="D54" s="423" t="s">
        <v>272</v>
      </c>
      <c r="E54" s="424" t="s">
        <v>343</v>
      </c>
      <c r="F54" s="424" t="s">
        <v>339</v>
      </c>
      <c r="G54" s="424"/>
      <c r="H54" s="281"/>
      <c r="I54" s="425"/>
      <c r="J54" s="425"/>
      <c r="K54" s="426"/>
      <c r="L54" s="427"/>
      <c r="M54" s="427"/>
      <c r="N54" s="427"/>
      <c r="O54" s="428"/>
      <c r="P54" s="427"/>
      <c r="Q54" s="397"/>
      <c r="R54" s="398"/>
      <c r="S54" s="399"/>
      <c r="T54" s="400"/>
      <c r="U54" s="401"/>
      <c r="V54" s="402"/>
      <c r="W54" s="47"/>
    </row>
    <row r="55" spans="1:23" hidden="1">
      <c r="A55" s="423" t="s">
        <v>264</v>
      </c>
      <c r="B55" s="423">
        <v>65</v>
      </c>
      <c r="C55" s="423" t="s">
        <v>153</v>
      </c>
      <c r="D55" s="423" t="s">
        <v>272</v>
      </c>
      <c r="E55" s="424" t="s">
        <v>344</v>
      </c>
      <c r="F55" s="424" t="s">
        <v>339</v>
      </c>
      <c r="G55" s="424"/>
      <c r="H55" s="281"/>
      <c r="I55" s="425"/>
      <c r="J55" s="425"/>
      <c r="K55" s="426"/>
      <c r="L55" s="427"/>
      <c r="M55" s="427"/>
      <c r="N55" s="427"/>
      <c r="O55" s="428"/>
      <c r="P55" s="427"/>
      <c r="Q55" s="397"/>
      <c r="R55" s="398"/>
      <c r="S55" s="399"/>
      <c r="T55" s="400"/>
      <c r="U55" s="401"/>
      <c r="V55" s="402"/>
      <c r="W55" s="47"/>
    </row>
    <row r="56" spans="1:23" hidden="1">
      <c r="A56" s="423" t="s">
        <v>264</v>
      </c>
      <c r="B56" s="423">
        <v>66</v>
      </c>
      <c r="C56" s="423" t="s">
        <v>153</v>
      </c>
      <c r="D56" s="423" t="s">
        <v>272</v>
      </c>
      <c r="E56" s="424" t="s">
        <v>345</v>
      </c>
      <c r="F56" s="424" t="s">
        <v>339</v>
      </c>
      <c r="G56" s="424"/>
      <c r="H56" s="281" t="s">
        <v>133</v>
      </c>
      <c r="I56" s="425"/>
      <c r="J56" s="425"/>
      <c r="K56" s="426"/>
      <c r="L56" s="427" t="s">
        <v>346</v>
      </c>
      <c r="M56" s="427" t="s">
        <v>115</v>
      </c>
      <c r="N56" s="427"/>
      <c r="O56" s="428"/>
      <c r="P56" s="427"/>
      <c r="Q56" s="397"/>
      <c r="R56" s="398"/>
      <c r="S56" s="399"/>
      <c r="T56" s="400"/>
      <c r="U56" s="401"/>
      <c r="V56" s="402" t="s">
        <v>15</v>
      </c>
      <c r="W56" s="47"/>
    </row>
    <row r="57" spans="1:23" hidden="1">
      <c r="A57" s="423" t="s">
        <v>264</v>
      </c>
      <c r="B57" s="423">
        <v>67</v>
      </c>
      <c r="C57" s="423" t="s">
        <v>153</v>
      </c>
      <c r="D57" s="423" t="s">
        <v>272</v>
      </c>
      <c r="E57" s="424" t="s">
        <v>347</v>
      </c>
      <c r="F57" s="424" t="s">
        <v>339</v>
      </c>
      <c r="G57" s="424"/>
      <c r="H57" s="281" t="s">
        <v>133</v>
      </c>
      <c r="I57" s="425"/>
      <c r="J57" s="425"/>
      <c r="K57" s="426"/>
      <c r="L57" s="427" t="s">
        <v>346</v>
      </c>
      <c r="M57" s="427" t="s">
        <v>115</v>
      </c>
      <c r="N57" s="427"/>
      <c r="O57" s="428"/>
      <c r="P57" s="427"/>
      <c r="Q57" s="397"/>
      <c r="R57" s="398"/>
      <c r="S57" s="399"/>
      <c r="T57" s="400"/>
      <c r="U57" s="401"/>
      <c r="V57" s="402" t="s">
        <v>15</v>
      </c>
      <c r="W57" s="47"/>
    </row>
    <row r="58" spans="1:23" hidden="1">
      <c r="A58" s="423" t="s">
        <v>264</v>
      </c>
      <c r="B58" s="423">
        <v>68</v>
      </c>
      <c r="C58" s="423" t="s">
        <v>153</v>
      </c>
      <c r="D58" s="423" t="s">
        <v>272</v>
      </c>
      <c r="E58" s="424" t="s">
        <v>348</v>
      </c>
      <c r="F58" s="424" t="s">
        <v>339</v>
      </c>
      <c r="G58" s="424"/>
      <c r="H58" s="281" t="s">
        <v>133</v>
      </c>
      <c r="I58" s="425"/>
      <c r="J58" s="425"/>
      <c r="K58" s="426"/>
      <c r="L58" s="427" t="s">
        <v>346</v>
      </c>
      <c r="M58" s="427" t="s">
        <v>115</v>
      </c>
      <c r="N58" s="427"/>
      <c r="O58" s="428"/>
      <c r="P58" s="427"/>
      <c r="Q58" s="397"/>
      <c r="R58" s="398"/>
      <c r="S58" s="399"/>
      <c r="T58" s="400"/>
      <c r="U58" s="401"/>
      <c r="V58" s="402" t="s">
        <v>15</v>
      </c>
      <c r="W58" s="47"/>
    </row>
    <row r="59" spans="1:23" hidden="1">
      <c r="A59" s="423" t="s">
        <v>264</v>
      </c>
      <c r="B59" s="423">
        <v>69</v>
      </c>
      <c r="C59" s="423" t="s">
        <v>153</v>
      </c>
      <c r="D59" s="423" t="s">
        <v>272</v>
      </c>
      <c r="E59" s="424" t="s">
        <v>349</v>
      </c>
      <c r="F59" s="424" t="s">
        <v>339</v>
      </c>
      <c r="G59" s="424"/>
      <c r="H59" s="281" t="s">
        <v>133</v>
      </c>
      <c r="I59" s="425"/>
      <c r="J59" s="425"/>
      <c r="K59" s="426"/>
      <c r="L59" s="427" t="s">
        <v>346</v>
      </c>
      <c r="M59" s="427" t="s">
        <v>115</v>
      </c>
      <c r="N59" s="427"/>
      <c r="O59" s="428"/>
      <c r="P59" s="427"/>
      <c r="Q59" s="397"/>
      <c r="R59" s="398"/>
      <c r="S59" s="399"/>
      <c r="T59" s="400"/>
      <c r="U59" s="401"/>
      <c r="V59" s="402" t="s">
        <v>15</v>
      </c>
      <c r="W59" s="47"/>
    </row>
    <row r="60" spans="1:23" hidden="1">
      <c r="A60" s="423" t="s">
        <v>264</v>
      </c>
      <c r="B60" s="423">
        <v>70</v>
      </c>
      <c r="C60" s="423" t="s">
        <v>153</v>
      </c>
      <c r="D60" s="423" t="s">
        <v>272</v>
      </c>
      <c r="E60" s="424" t="s">
        <v>350</v>
      </c>
      <c r="F60" s="424" t="s">
        <v>339</v>
      </c>
      <c r="G60" s="424"/>
      <c r="H60" s="281" t="s">
        <v>133</v>
      </c>
      <c r="I60" s="425"/>
      <c r="J60" s="425"/>
      <c r="K60" s="426"/>
      <c r="L60" s="427" t="s">
        <v>346</v>
      </c>
      <c r="M60" s="427" t="s">
        <v>115</v>
      </c>
      <c r="N60" s="427"/>
      <c r="O60" s="428"/>
      <c r="P60" s="427"/>
      <c r="Q60" s="397"/>
      <c r="R60" s="398"/>
      <c r="S60" s="399"/>
      <c r="T60" s="400"/>
      <c r="U60" s="401"/>
      <c r="V60" s="402" t="s">
        <v>15</v>
      </c>
      <c r="W60" s="47"/>
    </row>
    <row r="61" spans="1:23" hidden="1">
      <c r="A61" s="423" t="s">
        <v>264</v>
      </c>
      <c r="B61" s="423">
        <v>71</v>
      </c>
      <c r="C61" s="423" t="s">
        <v>153</v>
      </c>
      <c r="D61" s="423" t="s">
        <v>272</v>
      </c>
      <c r="E61" s="424" t="s">
        <v>351</v>
      </c>
      <c r="F61" s="424" t="s">
        <v>339</v>
      </c>
      <c r="G61" s="424"/>
      <c r="H61" s="281" t="s">
        <v>133</v>
      </c>
      <c r="I61" s="425"/>
      <c r="J61" s="425"/>
      <c r="K61" s="426"/>
      <c r="L61" s="427" t="s">
        <v>346</v>
      </c>
      <c r="M61" s="427" t="s">
        <v>115</v>
      </c>
      <c r="N61" s="427"/>
      <c r="O61" s="428"/>
      <c r="P61" s="427"/>
      <c r="Q61" s="397"/>
      <c r="R61" s="398"/>
      <c r="S61" s="399"/>
      <c r="T61" s="400"/>
      <c r="U61" s="401"/>
      <c r="V61" s="402" t="s">
        <v>15</v>
      </c>
      <c r="W61" s="47"/>
    </row>
    <row r="62" spans="1:23" hidden="1">
      <c r="A62" s="423" t="s">
        <v>264</v>
      </c>
      <c r="B62" s="423">
        <v>72</v>
      </c>
      <c r="C62" s="423" t="s">
        <v>153</v>
      </c>
      <c r="D62" s="423" t="s">
        <v>272</v>
      </c>
      <c r="E62" s="424" t="s">
        <v>352</v>
      </c>
      <c r="F62" s="424" t="s">
        <v>339</v>
      </c>
      <c r="G62" s="424"/>
      <c r="H62" s="281" t="s">
        <v>133</v>
      </c>
      <c r="I62" s="425"/>
      <c r="J62" s="425"/>
      <c r="K62" s="426"/>
      <c r="L62" s="427" t="s">
        <v>346</v>
      </c>
      <c r="M62" s="427" t="s">
        <v>115</v>
      </c>
      <c r="N62" s="427"/>
      <c r="O62" s="428"/>
      <c r="P62" s="427"/>
      <c r="Q62" s="397"/>
      <c r="R62" s="398"/>
      <c r="S62" s="399"/>
      <c r="T62" s="400"/>
      <c r="U62" s="401"/>
      <c r="V62" s="402" t="s">
        <v>15</v>
      </c>
      <c r="W62" s="47"/>
    </row>
    <row r="63" spans="1:23" hidden="1">
      <c r="A63" s="423" t="s">
        <v>264</v>
      </c>
      <c r="B63" s="423">
        <v>73</v>
      </c>
      <c r="C63" s="423" t="s">
        <v>153</v>
      </c>
      <c r="D63" s="423" t="s">
        <v>272</v>
      </c>
      <c r="E63" s="424" t="s">
        <v>353</v>
      </c>
      <c r="F63" s="424" t="s">
        <v>339</v>
      </c>
      <c r="G63" s="424"/>
      <c r="H63" s="281" t="s">
        <v>133</v>
      </c>
      <c r="I63" s="425"/>
      <c r="J63" s="425"/>
      <c r="K63" s="426"/>
      <c r="L63" s="427" t="s">
        <v>346</v>
      </c>
      <c r="M63" s="427" t="s">
        <v>115</v>
      </c>
      <c r="N63" s="427"/>
      <c r="O63" s="428"/>
      <c r="P63" s="427"/>
      <c r="Q63" s="397"/>
      <c r="R63" s="398"/>
      <c r="S63" s="399"/>
      <c r="T63" s="400"/>
      <c r="U63" s="401"/>
      <c r="V63" s="402" t="s">
        <v>15</v>
      </c>
      <c r="W63" s="47"/>
    </row>
    <row r="64" spans="1:23" hidden="1">
      <c r="A64" s="423" t="s">
        <v>264</v>
      </c>
      <c r="B64" s="423">
        <v>74</v>
      </c>
      <c r="C64" s="423" t="s">
        <v>153</v>
      </c>
      <c r="D64" s="423" t="s">
        <v>272</v>
      </c>
      <c r="E64" s="424" t="s">
        <v>354</v>
      </c>
      <c r="F64" s="424" t="s">
        <v>339</v>
      </c>
      <c r="G64" s="424"/>
      <c r="H64" s="281" t="s">
        <v>133</v>
      </c>
      <c r="I64" s="425"/>
      <c r="J64" s="425"/>
      <c r="K64" s="426"/>
      <c r="L64" s="427" t="s">
        <v>346</v>
      </c>
      <c r="M64" s="427" t="s">
        <v>115</v>
      </c>
      <c r="N64" s="427"/>
      <c r="O64" s="428"/>
      <c r="P64" s="427"/>
      <c r="Q64" s="397"/>
      <c r="R64" s="398"/>
      <c r="S64" s="399"/>
      <c r="T64" s="400"/>
      <c r="U64" s="401"/>
      <c r="V64" s="402" t="s">
        <v>15</v>
      </c>
      <c r="W64" s="47"/>
    </row>
    <row r="65" spans="1:23" hidden="1">
      <c r="A65" s="423" t="s">
        <v>264</v>
      </c>
      <c r="B65" s="423">
        <v>75</v>
      </c>
      <c r="C65" s="423" t="s">
        <v>153</v>
      </c>
      <c r="D65" s="423" t="s">
        <v>272</v>
      </c>
      <c r="E65" s="424" t="s">
        <v>355</v>
      </c>
      <c r="F65" s="424" t="s">
        <v>339</v>
      </c>
      <c r="G65" s="424"/>
      <c r="H65" s="281" t="s">
        <v>133</v>
      </c>
      <c r="I65" s="425"/>
      <c r="J65" s="425"/>
      <c r="K65" s="426"/>
      <c r="L65" s="427" t="s">
        <v>346</v>
      </c>
      <c r="M65" s="427" t="s">
        <v>115</v>
      </c>
      <c r="N65" s="427"/>
      <c r="O65" s="428"/>
      <c r="P65" s="427"/>
      <c r="Q65" s="397"/>
      <c r="R65" s="398"/>
      <c r="S65" s="399"/>
      <c r="T65" s="400"/>
      <c r="U65" s="401"/>
      <c r="V65" s="402" t="s">
        <v>15</v>
      </c>
      <c r="W65" s="47"/>
    </row>
    <row r="66" spans="1:23" hidden="1">
      <c r="A66" s="423" t="s">
        <v>264</v>
      </c>
      <c r="B66" s="423">
        <v>76</v>
      </c>
      <c r="C66" s="423" t="s">
        <v>153</v>
      </c>
      <c r="D66" s="423" t="s">
        <v>272</v>
      </c>
      <c r="E66" s="424" t="s">
        <v>356</v>
      </c>
      <c r="F66" s="424" t="s">
        <v>339</v>
      </c>
      <c r="G66" s="424"/>
      <c r="H66" s="281" t="s">
        <v>133</v>
      </c>
      <c r="I66" s="425"/>
      <c r="J66" s="425"/>
      <c r="K66" s="426"/>
      <c r="L66" s="427" t="s">
        <v>346</v>
      </c>
      <c r="M66" s="427" t="s">
        <v>115</v>
      </c>
      <c r="N66" s="427"/>
      <c r="O66" s="428"/>
      <c r="P66" s="427"/>
      <c r="Q66" s="397"/>
      <c r="R66" s="398"/>
      <c r="S66" s="399"/>
      <c r="T66" s="400"/>
      <c r="U66" s="401"/>
      <c r="V66" s="402" t="s">
        <v>15</v>
      </c>
      <c r="W66" s="47"/>
    </row>
    <row r="67" spans="1:23" hidden="1">
      <c r="A67" s="423" t="s">
        <v>264</v>
      </c>
      <c r="B67" s="423">
        <v>77</v>
      </c>
      <c r="C67" s="423" t="s">
        <v>153</v>
      </c>
      <c r="D67" s="423" t="s">
        <v>272</v>
      </c>
      <c r="E67" s="424" t="s">
        <v>357</v>
      </c>
      <c r="F67" s="424" t="s">
        <v>339</v>
      </c>
      <c r="G67" s="424"/>
      <c r="H67" s="281"/>
      <c r="I67" s="425"/>
      <c r="J67" s="425"/>
      <c r="K67" s="426"/>
      <c r="L67" s="427"/>
      <c r="M67" s="427"/>
      <c r="N67" s="427"/>
      <c r="O67" s="428"/>
      <c r="P67" s="427"/>
      <c r="Q67" s="397"/>
      <c r="R67" s="398"/>
      <c r="S67" s="399"/>
      <c r="T67" s="400"/>
      <c r="U67" s="401"/>
      <c r="V67" s="402" t="s">
        <v>15</v>
      </c>
      <c r="W67" s="47"/>
    </row>
    <row r="68" spans="1:23" hidden="1">
      <c r="A68" s="423" t="s">
        <v>264</v>
      </c>
      <c r="B68" s="423">
        <v>78</v>
      </c>
      <c r="C68" s="423" t="s">
        <v>153</v>
      </c>
      <c r="D68" s="423" t="s">
        <v>272</v>
      </c>
      <c r="E68" s="424" t="s">
        <v>358</v>
      </c>
      <c r="F68" s="424" t="s">
        <v>339</v>
      </c>
      <c r="G68" s="424"/>
      <c r="H68" s="281"/>
      <c r="I68" s="425"/>
      <c r="J68" s="425"/>
      <c r="K68" s="426"/>
      <c r="L68" s="427"/>
      <c r="M68" s="427"/>
      <c r="N68" s="427"/>
      <c r="O68" s="428"/>
      <c r="P68" s="427"/>
      <c r="Q68" s="397" t="s">
        <v>117</v>
      </c>
      <c r="R68" s="398"/>
      <c r="S68" s="399"/>
      <c r="T68" s="400"/>
      <c r="U68" s="401"/>
      <c r="V68" s="402"/>
      <c r="W68" s="47"/>
    </row>
    <row r="69" spans="1:23" hidden="1">
      <c r="A69" s="423" t="s">
        <v>264</v>
      </c>
      <c r="B69" s="423">
        <v>79</v>
      </c>
      <c r="C69" s="423" t="s">
        <v>153</v>
      </c>
      <c r="D69" s="423" t="s">
        <v>272</v>
      </c>
      <c r="E69" s="424" t="s">
        <v>359</v>
      </c>
      <c r="F69" s="424" t="s">
        <v>339</v>
      </c>
      <c r="G69" s="424"/>
      <c r="H69" s="281"/>
      <c r="I69" s="425"/>
      <c r="J69" s="425"/>
      <c r="K69" s="426"/>
      <c r="L69" s="427"/>
      <c r="M69" s="427"/>
      <c r="N69" s="427"/>
      <c r="O69" s="428"/>
      <c r="P69" s="427"/>
      <c r="Q69" s="397"/>
      <c r="R69" s="398"/>
      <c r="S69" s="399"/>
      <c r="T69" s="400"/>
      <c r="U69" s="401"/>
      <c r="V69" s="402"/>
      <c r="W69" s="47"/>
    </row>
    <row r="70" spans="1:23" hidden="1">
      <c r="A70" s="423" t="s">
        <v>264</v>
      </c>
      <c r="B70" s="423">
        <v>80</v>
      </c>
      <c r="C70" s="423" t="s">
        <v>153</v>
      </c>
      <c r="D70" s="423" t="s">
        <v>272</v>
      </c>
      <c r="E70" s="424" t="s">
        <v>360</v>
      </c>
      <c r="F70" s="424" t="s">
        <v>339</v>
      </c>
      <c r="G70" s="424"/>
      <c r="H70" s="281"/>
      <c r="I70" s="425"/>
      <c r="J70" s="425"/>
      <c r="K70" s="426"/>
      <c r="L70" s="427"/>
      <c r="M70" s="427"/>
      <c r="N70" s="427"/>
      <c r="O70" s="428"/>
      <c r="P70" s="427"/>
      <c r="Q70" s="397"/>
      <c r="R70" s="398"/>
      <c r="S70" s="399"/>
      <c r="T70" s="400"/>
      <c r="U70" s="401"/>
      <c r="V70" s="402"/>
      <c r="W70" s="47"/>
    </row>
    <row r="71" spans="1:23" hidden="1">
      <c r="A71" s="423" t="s">
        <v>264</v>
      </c>
      <c r="B71" s="423">
        <v>81</v>
      </c>
      <c r="C71" s="423" t="s">
        <v>153</v>
      </c>
      <c r="D71" s="423" t="s">
        <v>272</v>
      </c>
      <c r="E71" s="424" t="s">
        <v>361</v>
      </c>
      <c r="F71" s="424" t="s">
        <v>339</v>
      </c>
      <c r="G71" s="424"/>
      <c r="H71" s="281"/>
      <c r="I71" s="425"/>
      <c r="J71" s="425"/>
      <c r="K71" s="426"/>
      <c r="L71" s="427"/>
      <c r="M71" s="427"/>
      <c r="N71" s="427"/>
      <c r="O71" s="428"/>
      <c r="P71" s="427"/>
      <c r="Q71" s="397"/>
      <c r="R71" s="398"/>
      <c r="S71" s="399"/>
      <c r="T71" s="400"/>
      <c r="U71" s="401"/>
      <c r="V71" s="402"/>
      <c r="W71" s="47"/>
    </row>
    <row r="72" spans="1:23" hidden="1">
      <c r="A72" s="423" t="s">
        <v>264</v>
      </c>
      <c r="B72" s="423">
        <v>82</v>
      </c>
      <c r="C72" s="423" t="s">
        <v>153</v>
      </c>
      <c r="D72" s="423" t="s">
        <v>272</v>
      </c>
      <c r="E72" s="424" t="s">
        <v>362</v>
      </c>
      <c r="F72" s="424" t="s">
        <v>339</v>
      </c>
      <c r="G72" s="424"/>
      <c r="H72" s="281"/>
      <c r="I72" s="425"/>
      <c r="J72" s="425"/>
      <c r="K72" s="426"/>
      <c r="L72" s="427"/>
      <c r="M72" s="427"/>
      <c r="N72" s="427"/>
      <c r="O72" s="428"/>
      <c r="P72" s="427"/>
      <c r="Q72" s="397"/>
      <c r="R72" s="398"/>
      <c r="S72" s="399"/>
      <c r="T72" s="400"/>
      <c r="U72" s="401"/>
      <c r="V72" s="402"/>
      <c r="W72" s="47"/>
    </row>
    <row r="73" spans="1:23" hidden="1">
      <c r="A73" s="423" t="s">
        <v>264</v>
      </c>
      <c r="B73" s="423">
        <v>83</v>
      </c>
      <c r="C73" s="423" t="s">
        <v>153</v>
      </c>
      <c r="D73" s="423" t="s">
        <v>272</v>
      </c>
      <c r="E73" s="424" t="s">
        <v>363</v>
      </c>
      <c r="F73" s="424" t="s">
        <v>339</v>
      </c>
      <c r="G73" s="424"/>
      <c r="H73" s="281"/>
      <c r="I73" s="425"/>
      <c r="J73" s="425"/>
      <c r="K73" s="426"/>
      <c r="L73" s="427"/>
      <c r="M73" s="427"/>
      <c r="N73" s="427"/>
      <c r="O73" s="428"/>
      <c r="P73" s="427"/>
      <c r="Q73" s="397"/>
      <c r="R73" s="398"/>
      <c r="S73" s="399"/>
      <c r="T73" s="400"/>
      <c r="U73" s="401"/>
      <c r="V73" s="402"/>
      <c r="W73" s="47"/>
    </row>
    <row r="74" spans="1:23" hidden="1">
      <c r="A74" s="423" t="s">
        <v>264</v>
      </c>
      <c r="B74" s="423">
        <v>84</v>
      </c>
      <c r="C74" s="423" t="s">
        <v>153</v>
      </c>
      <c r="D74" s="423" t="s">
        <v>272</v>
      </c>
      <c r="E74" s="424" t="s">
        <v>364</v>
      </c>
      <c r="F74" s="424" t="s">
        <v>339</v>
      </c>
      <c r="G74" s="424"/>
      <c r="H74" s="281"/>
      <c r="I74" s="425"/>
      <c r="J74" s="425"/>
      <c r="K74" s="426"/>
      <c r="L74" s="427"/>
      <c r="M74" s="427"/>
      <c r="N74" s="427"/>
      <c r="O74" s="428"/>
      <c r="P74" s="427"/>
      <c r="Q74" s="397"/>
      <c r="R74" s="398"/>
      <c r="S74" s="399"/>
      <c r="T74" s="400"/>
      <c r="U74" s="401"/>
      <c r="V74" s="402"/>
      <c r="W74" s="47"/>
    </row>
    <row r="75" spans="1:23" hidden="1">
      <c r="A75" s="423" t="s">
        <v>264</v>
      </c>
      <c r="B75" s="423">
        <v>85</v>
      </c>
      <c r="C75" s="423" t="s">
        <v>153</v>
      </c>
      <c r="D75" s="423" t="s">
        <v>272</v>
      </c>
      <c r="E75" s="424" t="s">
        <v>365</v>
      </c>
      <c r="F75" s="424" t="s">
        <v>339</v>
      </c>
      <c r="G75" s="424"/>
      <c r="H75" s="281"/>
      <c r="I75" s="425"/>
      <c r="J75" s="425"/>
      <c r="K75" s="426"/>
      <c r="L75" s="427"/>
      <c r="M75" s="427"/>
      <c r="N75" s="427"/>
      <c r="O75" s="428"/>
      <c r="P75" s="427"/>
      <c r="Q75" s="397"/>
      <c r="R75" s="398"/>
      <c r="S75" s="399"/>
      <c r="T75" s="400"/>
      <c r="U75" s="401"/>
      <c r="V75" s="402"/>
      <c r="W75" s="47"/>
    </row>
    <row r="76" spans="1:23" hidden="1">
      <c r="A76" s="423" t="s">
        <v>264</v>
      </c>
      <c r="B76" s="423">
        <v>86</v>
      </c>
      <c r="C76" s="423" t="s">
        <v>153</v>
      </c>
      <c r="D76" s="423" t="s">
        <v>272</v>
      </c>
      <c r="E76" s="424" t="s">
        <v>366</v>
      </c>
      <c r="F76" s="424" t="s">
        <v>339</v>
      </c>
      <c r="G76" s="424"/>
      <c r="H76" s="281"/>
      <c r="I76" s="425"/>
      <c r="J76" s="425"/>
      <c r="K76" s="426"/>
      <c r="L76" s="427"/>
      <c r="M76" s="427"/>
      <c r="N76" s="427"/>
      <c r="O76" s="428"/>
      <c r="P76" s="427"/>
      <c r="Q76" s="397"/>
      <c r="R76" s="398"/>
      <c r="S76" s="399"/>
      <c r="T76" s="400"/>
      <c r="U76" s="401"/>
      <c r="V76" s="402"/>
      <c r="W76" s="47"/>
    </row>
    <row r="77" spans="1:23" hidden="1">
      <c r="A77" s="423" t="s">
        <v>264</v>
      </c>
      <c r="B77" s="423">
        <v>87</v>
      </c>
      <c r="C77" s="423" t="s">
        <v>153</v>
      </c>
      <c r="D77" s="423" t="s">
        <v>272</v>
      </c>
      <c r="E77" s="424" t="s">
        <v>367</v>
      </c>
      <c r="F77" s="424" t="s">
        <v>339</v>
      </c>
      <c r="G77" s="424"/>
      <c r="H77" s="281"/>
      <c r="I77" s="425"/>
      <c r="J77" s="425"/>
      <c r="K77" s="426"/>
      <c r="L77" s="427"/>
      <c r="M77" s="427"/>
      <c r="N77" s="427"/>
      <c r="O77" s="428"/>
      <c r="P77" s="427"/>
      <c r="Q77" s="397"/>
      <c r="R77" s="398"/>
      <c r="S77" s="399"/>
      <c r="T77" s="400"/>
      <c r="U77" s="401"/>
      <c r="V77" s="402"/>
      <c r="W77" s="47"/>
    </row>
    <row r="78" spans="1:23" hidden="1">
      <c r="A78" s="423" t="s">
        <v>264</v>
      </c>
      <c r="B78" s="423">
        <v>88</v>
      </c>
      <c r="C78" s="423" t="s">
        <v>153</v>
      </c>
      <c r="D78" s="423" t="s">
        <v>272</v>
      </c>
      <c r="E78" s="424" t="s">
        <v>368</v>
      </c>
      <c r="F78" s="424" t="s">
        <v>339</v>
      </c>
      <c r="G78" s="424"/>
      <c r="H78" s="281"/>
      <c r="I78" s="425"/>
      <c r="J78" s="425"/>
      <c r="K78" s="426"/>
      <c r="L78" s="427"/>
      <c r="M78" s="427"/>
      <c r="N78" s="427"/>
      <c r="O78" s="428"/>
      <c r="P78" s="427"/>
      <c r="Q78" s="397"/>
      <c r="R78" s="398"/>
      <c r="S78" s="399"/>
      <c r="T78" s="400"/>
      <c r="U78" s="401"/>
      <c r="V78" s="402"/>
      <c r="W78" s="47"/>
    </row>
    <row r="79" spans="1:23" hidden="1">
      <c r="A79" s="423" t="s">
        <v>264</v>
      </c>
      <c r="B79" s="423">
        <v>89</v>
      </c>
      <c r="C79" s="423" t="s">
        <v>153</v>
      </c>
      <c r="D79" s="423" t="s">
        <v>272</v>
      </c>
      <c r="E79" s="424" t="s">
        <v>369</v>
      </c>
      <c r="F79" s="424" t="s">
        <v>339</v>
      </c>
      <c r="G79" s="424"/>
      <c r="H79" s="281"/>
      <c r="I79" s="425"/>
      <c r="J79" s="425"/>
      <c r="K79" s="426"/>
      <c r="L79" s="427"/>
      <c r="M79" s="427"/>
      <c r="N79" s="427"/>
      <c r="O79" s="428"/>
      <c r="P79" s="427"/>
      <c r="Q79" s="397"/>
      <c r="R79" s="398"/>
      <c r="S79" s="399"/>
      <c r="T79" s="400"/>
      <c r="U79" s="401"/>
      <c r="V79" s="402"/>
      <c r="W79" s="47"/>
    </row>
    <row r="80" spans="1:23" hidden="1">
      <c r="A80" s="423" t="s">
        <v>264</v>
      </c>
      <c r="B80" s="423">
        <v>90</v>
      </c>
      <c r="C80" s="423" t="s">
        <v>153</v>
      </c>
      <c r="D80" s="423" t="s">
        <v>272</v>
      </c>
      <c r="E80" s="424" t="s">
        <v>370</v>
      </c>
      <c r="F80" s="424" t="s">
        <v>339</v>
      </c>
      <c r="G80" s="424"/>
      <c r="H80" s="281"/>
      <c r="I80" s="425"/>
      <c r="J80" s="425"/>
      <c r="K80" s="426"/>
      <c r="L80" s="427"/>
      <c r="M80" s="427"/>
      <c r="N80" s="427"/>
      <c r="O80" s="428"/>
      <c r="P80" s="427"/>
      <c r="Q80" s="397"/>
      <c r="R80" s="398"/>
      <c r="S80" s="399"/>
      <c r="T80" s="400"/>
      <c r="U80" s="401"/>
      <c r="V80" s="402"/>
      <c r="W80" s="47"/>
    </row>
    <row r="81" spans="1:23" hidden="1">
      <c r="A81" s="423" t="s">
        <v>264</v>
      </c>
      <c r="B81" s="423">
        <v>91</v>
      </c>
      <c r="C81" s="423" t="s">
        <v>153</v>
      </c>
      <c r="D81" s="423" t="s">
        <v>272</v>
      </c>
      <c r="E81" s="424" t="s">
        <v>371</v>
      </c>
      <c r="F81" s="424" t="s">
        <v>339</v>
      </c>
      <c r="G81" s="424"/>
      <c r="H81" s="281"/>
      <c r="I81" s="425"/>
      <c r="J81" s="425"/>
      <c r="K81" s="426"/>
      <c r="L81" s="427"/>
      <c r="M81" s="427"/>
      <c r="N81" s="427"/>
      <c r="O81" s="428"/>
      <c r="P81" s="427"/>
      <c r="Q81" s="397"/>
      <c r="R81" s="398"/>
      <c r="S81" s="399"/>
      <c r="T81" s="400"/>
      <c r="U81" s="401"/>
      <c r="V81" s="402"/>
      <c r="W81" s="47"/>
    </row>
    <row r="82" spans="1:23" hidden="1">
      <c r="A82" s="423" t="s">
        <v>264</v>
      </c>
      <c r="B82" s="423">
        <v>92</v>
      </c>
      <c r="C82" s="423" t="s">
        <v>153</v>
      </c>
      <c r="D82" s="423" t="s">
        <v>272</v>
      </c>
      <c r="E82" s="424" t="s">
        <v>372</v>
      </c>
      <c r="F82" s="424" t="s">
        <v>339</v>
      </c>
      <c r="G82" s="424"/>
      <c r="H82" s="281"/>
      <c r="I82" s="425"/>
      <c r="J82" s="425"/>
      <c r="K82" s="426"/>
      <c r="L82" s="427"/>
      <c r="M82" s="427"/>
      <c r="N82" s="427"/>
      <c r="O82" s="428"/>
      <c r="P82" s="427"/>
      <c r="Q82" s="397"/>
      <c r="R82" s="398"/>
      <c r="S82" s="399"/>
      <c r="T82" s="400"/>
      <c r="U82" s="401"/>
      <c r="V82" s="402"/>
      <c r="W82" s="47"/>
    </row>
    <row r="83" spans="1:23" hidden="1">
      <c r="A83" s="423" t="s">
        <v>264</v>
      </c>
      <c r="B83" s="423">
        <v>93</v>
      </c>
      <c r="C83" s="423" t="s">
        <v>153</v>
      </c>
      <c r="D83" s="423" t="s">
        <v>272</v>
      </c>
      <c r="E83" s="424" t="s">
        <v>373</v>
      </c>
      <c r="F83" s="424" t="s">
        <v>339</v>
      </c>
      <c r="G83" s="424"/>
      <c r="H83" s="281"/>
      <c r="I83" s="425"/>
      <c r="J83" s="425"/>
      <c r="K83" s="426"/>
      <c r="L83" s="427"/>
      <c r="M83" s="427"/>
      <c r="N83" s="427"/>
      <c r="O83" s="428"/>
      <c r="P83" s="427"/>
      <c r="Q83" s="397"/>
      <c r="R83" s="398"/>
      <c r="S83" s="399"/>
      <c r="T83" s="400"/>
      <c r="U83" s="401"/>
      <c r="V83" s="402"/>
      <c r="W83" s="47"/>
    </row>
    <row r="84" spans="1:23" hidden="1">
      <c r="A84" s="423" t="s">
        <v>264</v>
      </c>
      <c r="B84" s="423">
        <v>94</v>
      </c>
      <c r="C84" s="423" t="s">
        <v>153</v>
      </c>
      <c r="D84" s="423" t="s">
        <v>272</v>
      </c>
      <c r="E84" s="424" t="s">
        <v>374</v>
      </c>
      <c r="F84" s="424" t="s">
        <v>339</v>
      </c>
      <c r="G84" s="424"/>
      <c r="H84" s="281"/>
      <c r="I84" s="425"/>
      <c r="J84" s="425"/>
      <c r="K84" s="426"/>
      <c r="L84" s="427"/>
      <c r="M84" s="427"/>
      <c r="N84" s="427"/>
      <c r="O84" s="428"/>
      <c r="P84" s="427"/>
      <c r="Q84" s="397"/>
      <c r="R84" s="398"/>
      <c r="S84" s="399"/>
      <c r="T84" s="400"/>
      <c r="U84" s="401"/>
      <c r="V84" s="402"/>
      <c r="W84" s="47"/>
    </row>
    <row r="85" spans="1:23" hidden="1">
      <c r="A85" s="423" t="s">
        <v>264</v>
      </c>
      <c r="B85" s="423">
        <v>95</v>
      </c>
      <c r="C85" s="423" t="s">
        <v>153</v>
      </c>
      <c r="D85" s="423" t="s">
        <v>272</v>
      </c>
      <c r="E85" s="424" t="s">
        <v>375</v>
      </c>
      <c r="F85" s="424" t="s">
        <v>339</v>
      </c>
      <c r="G85" s="424"/>
      <c r="H85" s="281"/>
      <c r="I85" s="425"/>
      <c r="J85" s="425"/>
      <c r="K85" s="426"/>
      <c r="L85" s="427"/>
      <c r="M85" s="427"/>
      <c r="N85" s="427"/>
      <c r="O85" s="428"/>
      <c r="P85" s="427"/>
      <c r="Q85" s="397"/>
      <c r="R85" s="398"/>
      <c r="S85" s="399"/>
      <c r="T85" s="400"/>
      <c r="U85" s="401"/>
      <c r="V85" s="402"/>
      <c r="W85" s="47"/>
    </row>
    <row r="86" spans="1:23" hidden="1">
      <c r="A86" s="423" t="s">
        <v>264</v>
      </c>
      <c r="B86" s="423">
        <v>96</v>
      </c>
      <c r="C86" s="423" t="s">
        <v>153</v>
      </c>
      <c r="D86" s="423" t="s">
        <v>272</v>
      </c>
      <c r="E86" s="424" t="s">
        <v>376</v>
      </c>
      <c r="F86" s="424" t="s">
        <v>339</v>
      </c>
      <c r="G86" s="424"/>
      <c r="H86" s="281"/>
      <c r="I86" s="425"/>
      <c r="J86" s="425"/>
      <c r="K86" s="426"/>
      <c r="L86" s="427"/>
      <c r="M86" s="427"/>
      <c r="N86" s="427"/>
      <c r="O86" s="428"/>
      <c r="P86" s="427"/>
      <c r="Q86" s="397"/>
      <c r="R86" s="398"/>
      <c r="S86" s="399"/>
      <c r="T86" s="400"/>
      <c r="U86" s="401"/>
      <c r="V86" s="402"/>
      <c r="W86" s="47"/>
    </row>
    <row r="87" spans="1:23" hidden="1">
      <c r="A87" s="423" t="s">
        <v>264</v>
      </c>
      <c r="B87" s="423">
        <v>97</v>
      </c>
      <c r="C87" s="423" t="s">
        <v>153</v>
      </c>
      <c r="D87" s="423" t="s">
        <v>272</v>
      </c>
      <c r="E87" s="424" t="s">
        <v>377</v>
      </c>
      <c r="F87" s="424" t="s">
        <v>339</v>
      </c>
      <c r="G87" s="424"/>
      <c r="H87" s="281"/>
      <c r="I87" s="425"/>
      <c r="J87" s="425"/>
      <c r="K87" s="426"/>
      <c r="L87" s="427"/>
      <c r="M87" s="427"/>
      <c r="N87" s="427"/>
      <c r="O87" s="428"/>
      <c r="P87" s="427"/>
      <c r="Q87" s="397"/>
      <c r="R87" s="398"/>
      <c r="S87" s="399"/>
      <c r="T87" s="400"/>
      <c r="U87" s="401"/>
      <c r="V87" s="402"/>
      <c r="W87" s="47"/>
    </row>
    <row r="88" spans="1:23" hidden="1">
      <c r="A88" s="423" t="s">
        <v>264</v>
      </c>
      <c r="B88" s="423">
        <v>98</v>
      </c>
      <c r="C88" s="423" t="s">
        <v>153</v>
      </c>
      <c r="D88" s="423" t="s">
        <v>272</v>
      </c>
      <c r="E88" s="424" t="s">
        <v>378</v>
      </c>
      <c r="F88" s="424" t="s">
        <v>339</v>
      </c>
      <c r="G88" s="424"/>
      <c r="H88" s="281"/>
      <c r="I88" s="425"/>
      <c r="J88" s="425"/>
      <c r="K88" s="426"/>
      <c r="L88" s="427"/>
      <c r="M88" s="427"/>
      <c r="N88" s="427"/>
      <c r="O88" s="428"/>
      <c r="P88" s="427"/>
      <c r="Q88" s="397"/>
      <c r="R88" s="398"/>
      <c r="S88" s="399"/>
      <c r="T88" s="400"/>
      <c r="U88" s="401"/>
      <c r="V88" s="402"/>
      <c r="W88" s="47"/>
    </row>
    <row r="89" spans="1:23" hidden="1">
      <c r="A89" s="423" t="s">
        <v>264</v>
      </c>
      <c r="B89" s="423">
        <v>99</v>
      </c>
      <c r="C89" s="423" t="s">
        <v>153</v>
      </c>
      <c r="D89" s="423" t="s">
        <v>272</v>
      </c>
      <c r="E89" s="424" t="s">
        <v>379</v>
      </c>
      <c r="F89" s="424" t="s">
        <v>339</v>
      </c>
      <c r="G89" s="424"/>
      <c r="H89" s="281"/>
      <c r="I89" s="425"/>
      <c r="J89" s="425"/>
      <c r="K89" s="426"/>
      <c r="L89" s="427"/>
      <c r="M89" s="427"/>
      <c r="N89" s="427"/>
      <c r="O89" s="428"/>
      <c r="P89" s="427"/>
      <c r="Q89" s="397"/>
      <c r="R89" s="398"/>
      <c r="S89" s="399"/>
      <c r="T89" s="400"/>
      <c r="U89" s="401"/>
      <c r="V89" s="402"/>
      <c r="W89" s="47"/>
    </row>
    <row r="90" spans="1:23" hidden="1">
      <c r="A90" s="423" t="s">
        <v>264</v>
      </c>
      <c r="B90" s="423">
        <v>100</v>
      </c>
      <c r="C90" s="423" t="s">
        <v>153</v>
      </c>
      <c r="D90" s="423" t="s">
        <v>272</v>
      </c>
      <c r="E90" s="424" t="s">
        <v>380</v>
      </c>
      <c r="F90" s="424" t="s">
        <v>339</v>
      </c>
      <c r="G90" s="424"/>
      <c r="H90" s="281"/>
      <c r="I90" s="425"/>
      <c r="J90" s="425"/>
      <c r="K90" s="426"/>
      <c r="L90" s="427"/>
      <c r="M90" s="427"/>
      <c r="N90" s="427"/>
      <c r="O90" s="428"/>
      <c r="P90" s="427"/>
      <c r="Q90" s="397"/>
      <c r="R90" s="398"/>
      <c r="S90" s="399"/>
      <c r="T90" s="400"/>
      <c r="U90" s="401"/>
      <c r="V90" s="402"/>
      <c r="W90" s="47"/>
    </row>
    <row r="91" spans="1:23" hidden="1">
      <c r="A91" s="423" t="s">
        <v>264</v>
      </c>
      <c r="B91" s="423">
        <v>101</v>
      </c>
      <c r="C91" s="423" t="s">
        <v>153</v>
      </c>
      <c r="D91" s="423" t="s">
        <v>272</v>
      </c>
      <c r="E91" s="424" t="s">
        <v>381</v>
      </c>
      <c r="F91" s="424" t="s">
        <v>339</v>
      </c>
      <c r="G91" s="424"/>
      <c r="H91" s="281"/>
      <c r="I91" s="425"/>
      <c r="J91" s="425"/>
      <c r="K91" s="426"/>
      <c r="L91" s="427"/>
      <c r="M91" s="427"/>
      <c r="N91" s="427"/>
      <c r="O91" s="428"/>
      <c r="P91" s="427"/>
      <c r="Q91" s="397"/>
      <c r="R91" s="398"/>
      <c r="S91" s="399"/>
      <c r="T91" s="400"/>
      <c r="U91" s="401"/>
      <c r="V91" s="402"/>
      <c r="W91" s="47"/>
    </row>
    <row r="92" spans="1:23" hidden="1">
      <c r="A92" s="423" t="s">
        <v>264</v>
      </c>
      <c r="B92" s="423">
        <v>102</v>
      </c>
      <c r="C92" s="423" t="s">
        <v>153</v>
      </c>
      <c r="D92" s="423" t="s">
        <v>272</v>
      </c>
      <c r="E92" s="424" t="s">
        <v>382</v>
      </c>
      <c r="F92" s="424" t="s">
        <v>339</v>
      </c>
      <c r="G92" s="424"/>
      <c r="H92" s="281"/>
      <c r="I92" s="425"/>
      <c r="J92" s="425"/>
      <c r="K92" s="426"/>
      <c r="L92" s="427"/>
      <c r="M92" s="427"/>
      <c r="N92" s="427"/>
      <c r="O92" s="428"/>
      <c r="P92" s="427"/>
      <c r="Q92" s="397"/>
      <c r="R92" s="398"/>
      <c r="S92" s="399"/>
      <c r="T92" s="400"/>
      <c r="U92" s="401"/>
      <c r="V92" s="402"/>
      <c r="W92" s="47"/>
    </row>
    <row r="93" spans="1:23" hidden="1">
      <c r="A93" s="423" t="s">
        <v>264</v>
      </c>
      <c r="B93" s="423">
        <v>103</v>
      </c>
      <c r="C93" s="423" t="s">
        <v>153</v>
      </c>
      <c r="D93" s="423" t="s">
        <v>272</v>
      </c>
      <c r="E93" s="424" t="s">
        <v>383</v>
      </c>
      <c r="F93" s="424" t="s">
        <v>339</v>
      </c>
      <c r="G93" s="424"/>
      <c r="H93" s="281"/>
      <c r="I93" s="425"/>
      <c r="J93" s="425"/>
      <c r="K93" s="426"/>
      <c r="L93" s="427"/>
      <c r="M93" s="427"/>
      <c r="N93" s="427"/>
      <c r="O93" s="428"/>
      <c r="P93" s="427"/>
      <c r="Q93" s="397"/>
      <c r="R93" s="398"/>
      <c r="S93" s="399"/>
      <c r="T93" s="400"/>
      <c r="U93" s="401"/>
      <c r="V93" s="402"/>
      <c r="W93" s="47"/>
    </row>
    <row r="94" spans="1:23" hidden="1">
      <c r="A94" s="423" t="s">
        <v>264</v>
      </c>
      <c r="B94" s="423">
        <v>104</v>
      </c>
      <c r="C94" s="423" t="s">
        <v>153</v>
      </c>
      <c r="D94" s="423" t="s">
        <v>272</v>
      </c>
      <c r="E94" s="424" t="s">
        <v>384</v>
      </c>
      <c r="F94" s="424" t="s">
        <v>339</v>
      </c>
      <c r="G94" s="424"/>
      <c r="H94" s="281"/>
      <c r="I94" s="425"/>
      <c r="J94" s="425"/>
      <c r="K94" s="426"/>
      <c r="L94" s="427"/>
      <c r="M94" s="427"/>
      <c r="N94" s="427"/>
      <c r="O94" s="428"/>
      <c r="P94" s="427"/>
      <c r="Q94" s="397"/>
      <c r="R94" s="398"/>
      <c r="S94" s="399"/>
      <c r="T94" s="400"/>
      <c r="U94" s="401"/>
      <c r="V94" s="402"/>
      <c r="W94" s="47"/>
    </row>
    <row r="95" spans="1:23" hidden="1">
      <c r="A95" s="423" t="s">
        <v>264</v>
      </c>
      <c r="B95" s="423">
        <v>105</v>
      </c>
      <c r="C95" s="423" t="s">
        <v>153</v>
      </c>
      <c r="D95" s="423" t="s">
        <v>272</v>
      </c>
      <c r="E95" s="424" t="s">
        <v>385</v>
      </c>
      <c r="F95" s="424" t="s">
        <v>339</v>
      </c>
      <c r="G95" s="424"/>
      <c r="H95" s="281"/>
      <c r="I95" s="425"/>
      <c r="J95" s="425"/>
      <c r="K95" s="426"/>
      <c r="L95" s="427"/>
      <c r="M95" s="427"/>
      <c r="N95" s="427"/>
      <c r="O95" s="428"/>
      <c r="P95" s="427"/>
      <c r="Q95" s="397"/>
      <c r="R95" s="398"/>
      <c r="S95" s="399"/>
      <c r="T95" s="400"/>
      <c r="U95" s="401"/>
      <c r="V95" s="402"/>
      <c r="W95" s="47"/>
    </row>
    <row r="96" spans="1:23" hidden="1">
      <c r="A96" s="423" t="s">
        <v>264</v>
      </c>
      <c r="B96" s="423">
        <v>106</v>
      </c>
      <c r="C96" s="423" t="s">
        <v>153</v>
      </c>
      <c r="D96" s="423" t="s">
        <v>272</v>
      </c>
      <c r="E96" s="424" t="s">
        <v>386</v>
      </c>
      <c r="F96" s="424" t="s">
        <v>339</v>
      </c>
      <c r="G96" s="424"/>
      <c r="H96" s="281"/>
      <c r="I96" s="425"/>
      <c r="J96" s="425"/>
      <c r="K96" s="426"/>
      <c r="L96" s="427"/>
      <c r="M96" s="427"/>
      <c r="N96" s="427"/>
      <c r="O96" s="428"/>
      <c r="P96" s="427"/>
      <c r="Q96" s="397"/>
      <c r="R96" s="398"/>
      <c r="S96" s="399"/>
      <c r="T96" s="400"/>
      <c r="U96" s="401"/>
      <c r="V96" s="402"/>
      <c r="W96" s="47"/>
    </row>
    <row r="97" spans="1:23" hidden="1">
      <c r="A97" s="423" t="s">
        <v>264</v>
      </c>
      <c r="B97" s="423">
        <v>107</v>
      </c>
      <c r="C97" s="423" t="s">
        <v>153</v>
      </c>
      <c r="D97" s="423" t="s">
        <v>272</v>
      </c>
      <c r="E97" s="424" t="s">
        <v>387</v>
      </c>
      <c r="F97" s="424" t="s">
        <v>339</v>
      </c>
      <c r="G97" s="424"/>
      <c r="H97" s="281"/>
      <c r="I97" s="425"/>
      <c r="J97" s="425"/>
      <c r="K97" s="426"/>
      <c r="L97" s="427"/>
      <c r="M97" s="427"/>
      <c r="N97" s="427"/>
      <c r="O97" s="428"/>
      <c r="P97" s="427"/>
      <c r="Q97" s="397"/>
      <c r="R97" s="398"/>
      <c r="S97" s="399"/>
      <c r="T97" s="400"/>
      <c r="U97" s="401"/>
      <c r="V97" s="402"/>
      <c r="W97" s="47"/>
    </row>
    <row r="98" spans="1:23" hidden="1">
      <c r="A98" s="423" t="s">
        <v>264</v>
      </c>
      <c r="B98" s="423">
        <v>108</v>
      </c>
      <c r="C98" s="423" t="s">
        <v>153</v>
      </c>
      <c r="D98" s="423" t="s">
        <v>272</v>
      </c>
      <c r="E98" s="424" t="s">
        <v>388</v>
      </c>
      <c r="F98" s="424" t="s">
        <v>339</v>
      </c>
      <c r="G98" s="424"/>
      <c r="H98" s="281"/>
      <c r="I98" s="425"/>
      <c r="J98" s="425"/>
      <c r="K98" s="426"/>
      <c r="L98" s="427"/>
      <c r="M98" s="427"/>
      <c r="N98" s="427"/>
      <c r="O98" s="428"/>
      <c r="P98" s="427"/>
      <c r="Q98" s="397"/>
      <c r="R98" s="398"/>
      <c r="S98" s="399"/>
      <c r="T98" s="400"/>
      <c r="U98" s="401"/>
      <c r="V98" s="402"/>
      <c r="W98" s="47"/>
    </row>
    <row r="99" spans="1:23" hidden="1">
      <c r="A99" s="423" t="s">
        <v>264</v>
      </c>
      <c r="B99" s="423">
        <v>109</v>
      </c>
      <c r="C99" s="423" t="s">
        <v>153</v>
      </c>
      <c r="D99" s="423" t="s">
        <v>272</v>
      </c>
      <c r="E99" s="424" t="s">
        <v>389</v>
      </c>
      <c r="F99" s="424" t="s">
        <v>339</v>
      </c>
      <c r="G99" s="424"/>
      <c r="H99" s="281"/>
      <c r="I99" s="425"/>
      <c r="J99" s="425"/>
      <c r="K99" s="426"/>
      <c r="L99" s="427"/>
      <c r="M99" s="427"/>
      <c r="N99" s="427"/>
      <c r="O99" s="428"/>
      <c r="P99" s="427"/>
      <c r="Q99" s="397"/>
      <c r="R99" s="398"/>
      <c r="S99" s="399"/>
      <c r="T99" s="400"/>
      <c r="U99" s="401"/>
      <c r="V99" s="402"/>
      <c r="W99" s="47"/>
    </row>
    <row r="100" spans="1:23" hidden="1">
      <c r="A100" s="423" t="s">
        <v>264</v>
      </c>
      <c r="B100" s="423">
        <v>110</v>
      </c>
      <c r="C100" s="423" t="s">
        <v>153</v>
      </c>
      <c r="D100" s="423" t="s">
        <v>390</v>
      </c>
      <c r="E100" s="424" t="s">
        <v>391</v>
      </c>
      <c r="F100" s="424" t="s">
        <v>339</v>
      </c>
      <c r="G100" s="424"/>
      <c r="H100" s="281"/>
      <c r="I100" s="425"/>
      <c r="J100" s="425"/>
      <c r="K100" s="426"/>
      <c r="L100" s="427"/>
      <c r="M100" s="427"/>
      <c r="N100" s="427"/>
      <c r="O100" s="428"/>
      <c r="P100" s="427"/>
      <c r="Q100" s="397"/>
      <c r="R100" s="398"/>
      <c r="S100" s="399"/>
      <c r="T100" s="400"/>
      <c r="U100" s="401"/>
      <c r="V100" s="402"/>
      <c r="W100" s="47"/>
    </row>
    <row r="101" spans="1:23" hidden="1">
      <c r="A101" s="423" t="s">
        <v>264</v>
      </c>
      <c r="B101" s="423">
        <v>111</v>
      </c>
      <c r="C101" s="423" t="s">
        <v>153</v>
      </c>
      <c r="D101" s="423" t="s">
        <v>337</v>
      </c>
      <c r="E101" s="424" t="s">
        <v>392</v>
      </c>
      <c r="F101" s="424" t="s">
        <v>339</v>
      </c>
      <c r="G101" s="424"/>
      <c r="H101" s="281"/>
      <c r="I101" s="425"/>
      <c r="J101" s="425"/>
      <c r="K101" s="426"/>
      <c r="L101" s="427"/>
      <c r="M101" s="427"/>
      <c r="N101" s="427"/>
      <c r="O101" s="428"/>
      <c r="P101" s="427"/>
      <c r="Q101" s="397"/>
      <c r="R101" s="398"/>
      <c r="S101" s="399"/>
      <c r="T101" s="400"/>
      <c r="U101" s="401"/>
      <c r="V101" s="402"/>
      <c r="W101" s="47"/>
    </row>
    <row r="102" spans="1:23" hidden="1">
      <c r="A102" s="423" t="s">
        <v>264</v>
      </c>
      <c r="B102" s="423">
        <v>112</v>
      </c>
      <c r="C102" s="423" t="s">
        <v>153</v>
      </c>
      <c r="D102" s="423" t="s">
        <v>337</v>
      </c>
      <c r="E102" s="424" t="s">
        <v>393</v>
      </c>
      <c r="F102" s="424" t="s">
        <v>339</v>
      </c>
      <c r="G102" s="424"/>
      <c r="H102" s="281"/>
      <c r="I102" s="425"/>
      <c r="J102" s="425"/>
      <c r="K102" s="426"/>
      <c r="L102" s="427"/>
      <c r="M102" s="427"/>
      <c r="N102" s="427"/>
      <c r="O102" s="428"/>
      <c r="P102" s="427"/>
      <c r="Q102" s="397"/>
      <c r="R102" s="398"/>
      <c r="S102" s="399"/>
      <c r="T102" s="400"/>
      <c r="U102" s="401"/>
      <c r="V102" s="402"/>
      <c r="W102" s="47"/>
    </row>
    <row r="103" spans="1:23" hidden="1">
      <c r="A103" s="423" t="s">
        <v>264</v>
      </c>
      <c r="B103" s="423">
        <v>113</v>
      </c>
      <c r="C103" s="423" t="s">
        <v>153</v>
      </c>
      <c r="D103" s="423" t="s">
        <v>337</v>
      </c>
      <c r="E103" s="424" t="s">
        <v>394</v>
      </c>
      <c r="F103" s="424" t="s">
        <v>339</v>
      </c>
      <c r="G103" s="424"/>
      <c r="H103" s="281"/>
      <c r="I103" s="425"/>
      <c r="J103" s="425"/>
      <c r="K103" s="426"/>
      <c r="L103" s="427"/>
      <c r="M103" s="427"/>
      <c r="N103" s="427"/>
      <c r="O103" s="428"/>
      <c r="P103" s="427"/>
      <c r="Q103" s="397"/>
      <c r="R103" s="398"/>
      <c r="S103" s="399"/>
      <c r="T103" s="400"/>
      <c r="U103" s="401"/>
      <c r="V103" s="402"/>
      <c r="W103" s="47"/>
    </row>
    <row r="104" spans="1:23" hidden="1">
      <c r="A104" s="423" t="s">
        <v>264</v>
      </c>
      <c r="B104" s="423">
        <v>114</v>
      </c>
      <c r="C104" s="423" t="s">
        <v>153</v>
      </c>
      <c r="D104" s="423" t="s">
        <v>272</v>
      </c>
      <c r="E104" s="424" t="s">
        <v>395</v>
      </c>
      <c r="F104" s="424" t="s">
        <v>339</v>
      </c>
      <c r="G104" s="424"/>
      <c r="H104" s="281"/>
      <c r="I104" s="425"/>
      <c r="J104" s="425"/>
      <c r="K104" s="426"/>
      <c r="L104" s="427"/>
      <c r="M104" s="427"/>
      <c r="N104" s="427"/>
      <c r="O104" s="428"/>
      <c r="P104" s="427"/>
      <c r="Q104" s="397"/>
      <c r="R104" s="398"/>
      <c r="S104" s="399"/>
      <c r="T104" s="400"/>
      <c r="U104" s="401"/>
      <c r="V104" s="402"/>
      <c r="W104" s="47"/>
    </row>
    <row r="105" spans="1:23" hidden="1">
      <c r="A105" s="423" t="s">
        <v>264</v>
      </c>
      <c r="B105" s="423">
        <v>115</v>
      </c>
      <c r="C105" s="423" t="s">
        <v>153</v>
      </c>
      <c r="D105" s="423" t="s">
        <v>272</v>
      </c>
      <c r="E105" s="424" t="s">
        <v>396</v>
      </c>
      <c r="F105" s="424" t="s">
        <v>339</v>
      </c>
      <c r="G105" s="424"/>
      <c r="H105" s="281"/>
      <c r="I105" s="425"/>
      <c r="J105" s="425"/>
      <c r="K105" s="426"/>
      <c r="L105" s="427"/>
      <c r="M105" s="427"/>
      <c r="N105" s="427"/>
      <c r="O105" s="428"/>
      <c r="P105" s="427"/>
      <c r="Q105" s="397"/>
      <c r="R105" s="398"/>
      <c r="S105" s="399"/>
      <c r="T105" s="400"/>
      <c r="U105" s="401"/>
      <c r="V105" s="402"/>
      <c r="W105" s="47"/>
    </row>
    <row r="106" spans="1:23" hidden="1">
      <c r="A106" s="423" t="s">
        <v>264</v>
      </c>
      <c r="B106" s="423">
        <v>116</v>
      </c>
      <c r="C106" s="423" t="s">
        <v>153</v>
      </c>
      <c r="D106" s="423" t="s">
        <v>272</v>
      </c>
      <c r="E106" s="424" t="s">
        <v>397</v>
      </c>
      <c r="F106" s="424" t="s">
        <v>339</v>
      </c>
      <c r="G106" s="424"/>
      <c r="H106" s="281"/>
      <c r="I106" s="425"/>
      <c r="J106" s="425"/>
      <c r="K106" s="426"/>
      <c r="L106" s="427"/>
      <c r="M106" s="427"/>
      <c r="N106" s="427"/>
      <c r="O106" s="428"/>
      <c r="P106" s="427"/>
      <c r="Q106" s="397"/>
      <c r="R106" s="398"/>
      <c r="S106" s="399"/>
      <c r="T106" s="400"/>
      <c r="U106" s="401"/>
      <c r="V106" s="402"/>
      <c r="W106" s="47"/>
    </row>
    <row r="107" spans="1:23" hidden="1">
      <c r="A107" s="423" t="s">
        <v>264</v>
      </c>
      <c r="B107" s="423">
        <v>117</v>
      </c>
      <c r="C107" s="423" t="s">
        <v>153</v>
      </c>
      <c r="D107" s="423" t="s">
        <v>272</v>
      </c>
      <c r="E107" s="424" t="s">
        <v>398</v>
      </c>
      <c r="F107" s="424" t="s">
        <v>339</v>
      </c>
      <c r="G107" s="424"/>
      <c r="H107" s="281"/>
      <c r="I107" s="425"/>
      <c r="J107" s="425"/>
      <c r="K107" s="426"/>
      <c r="L107" s="427"/>
      <c r="M107" s="427"/>
      <c r="N107" s="427"/>
      <c r="O107" s="428"/>
      <c r="P107" s="427"/>
      <c r="Q107" s="397"/>
      <c r="R107" s="398"/>
      <c r="S107" s="399"/>
      <c r="T107" s="400"/>
      <c r="U107" s="401"/>
      <c r="V107" s="402"/>
      <c r="W107" s="47"/>
    </row>
    <row r="108" spans="1:23" hidden="1">
      <c r="A108" s="423" t="s">
        <v>264</v>
      </c>
      <c r="B108" s="423">
        <v>118</v>
      </c>
      <c r="C108" s="423" t="s">
        <v>153</v>
      </c>
      <c r="D108" s="423" t="s">
        <v>272</v>
      </c>
      <c r="E108" s="424" t="s">
        <v>399</v>
      </c>
      <c r="F108" s="424" t="s">
        <v>339</v>
      </c>
      <c r="G108" s="424"/>
      <c r="H108" s="281"/>
      <c r="I108" s="425"/>
      <c r="J108" s="425"/>
      <c r="K108" s="426"/>
      <c r="L108" s="427"/>
      <c r="M108" s="427"/>
      <c r="N108" s="427"/>
      <c r="O108" s="428"/>
      <c r="P108" s="427"/>
      <c r="Q108" s="397"/>
      <c r="R108" s="398"/>
      <c r="S108" s="399"/>
      <c r="T108" s="400"/>
      <c r="U108" s="401"/>
      <c r="V108" s="402"/>
      <c r="W108" s="47"/>
    </row>
    <row r="109" spans="1:23" hidden="1">
      <c r="A109" s="423" t="s">
        <v>264</v>
      </c>
      <c r="B109" s="423">
        <v>119</v>
      </c>
      <c r="C109" s="423" t="s">
        <v>153</v>
      </c>
      <c r="D109" s="423" t="s">
        <v>272</v>
      </c>
      <c r="E109" s="424" t="s">
        <v>400</v>
      </c>
      <c r="F109" s="424" t="s">
        <v>339</v>
      </c>
      <c r="G109" s="424"/>
      <c r="H109" s="281"/>
      <c r="I109" s="425"/>
      <c r="J109" s="425"/>
      <c r="K109" s="426"/>
      <c r="L109" s="427"/>
      <c r="M109" s="427"/>
      <c r="N109" s="427"/>
      <c r="O109" s="428"/>
      <c r="P109" s="427"/>
      <c r="Q109" s="397"/>
      <c r="R109" s="398"/>
      <c r="S109" s="399"/>
      <c r="T109" s="400"/>
      <c r="U109" s="401"/>
      <c r="V109" s="402"/>
      <c r="W109" s="47"/>
    </row>
    <row r="110" spans="1:23" ht="30" hidden="1">
      <c r="A110" s="423" t="s">
        <v>264</v>
      </c>
      <c r="B110" s="423">
        <v>120</v>
      </c>
      <c r="C110" s="423" t="s">
        <v>153</v>
      </c>
      <c r="D110" s="423" t="s">
        <v>272</v>
      </c>
      <c r="E110" s="424" t="s">
        <v>401</v>
      </c>
      <c r="F110" s="424" t="s">
        <v>339</v>
      </c>
      <c r="G110" s="424"/>
      <c r="H110" s="281"/>
      <c r="I110" s="425"/>
      <c r="J110" s="425"/>
      <c r="K110" s="426"/>
      <c r="L110" s="427"/>
      <c r="M110" s="427"/>
      <c r="N110" s="427"/>
      <c r="O110" s="428"/>
      <c r="P110" s="427"/>
      <c r="Q110" s="397"/>
      <c r="R110" s="398"/>
      <c r="S110" s="399"/>
      <c r="T110" s="400"/>
      <c r="U110" s="401"/>
      <c r="V110" s="402"/>
      <c r="W110" s="47"/>
    </row>
    <row r="111" spans="1:23" hidden="1">
      <c r="A111" s="423" t="s">
        <v>264</v>
      </c>
      <c r="B111" s="423">
        <v>121</v>
      </c>
      <c r="C111" s="423" t="s">
        <v>153</v>
      </c>
      <c r="D111" s="423" t="s">
        <v>272</v>
      </c>
      <c r="E111" s="424" t="s">
        <v>402</v>
      </c>
      <c r="F111" s="424" t="s">
        <v>339</v>
      </c>
      <c r="G111" s="424"/>
      <c r="H111" s="281"/>
      <c r="I111" s="425"/>
      <c r="J111" s="425"/>
      <c r="K111" s="426"/>
      <c r="L111" s="427"/>
      <c r="M111" s="427"/>
      <c r="N111" s="427"/>
      <c r="O111" s="428"/>
      <c r="P111" s="427"/>
      <c r="Q111" s="397"/>
      <c r="R111" s="398"/>
      <c r="S111" s="399"/>
      <c r="T111" s="400"/>
      <c r="U111" s="401"/>
      <c r="V111" s="402"/>
      <c r="W111" s="47"/>
    </row>
    <row r="112" spans="1:23" hidden="1">
      <c r="A112" s="423" t="s">
        <v>264</v>
      </c>
      <c r="B112" s="423">
        <v>122</v>
      </c>
      <c r="C112" s="423" t="s">
        <v>153</v>
      </c>
      <c r="D112" s="423" t="s">
        <v>272</v>
      </c>
      <c r="E112" s="424" t="s">
        <v>403</v>
      </c>
      <c r="F112" s="424" t="s">
        <v>339</v>
      </c>
      <c r="G112" s="424"/>
      <c r="H112" s="281"/>
      <c r="I112" s="425"/>
      <c r="J112" s="425"/>
      <c r="K112" s="426"/>
      <c r="L112" s="427"/>
      <c r="M112" s="427"/>
      <c r="N112" s="427"/>
      <c r="O112" s="428"/>
      <c r="P112" s="427"/>
      <c r="Q112" s="397"/>
      <c r="R112" s="398"/>
      <c r="S112" s="399"/>
      <c r="T112" s="400"/>
      <c r="U112" s="401"/>
      <c r="V112" s="402"/>
      <c r="W112" s="47"/>
    </row>
    <row r="113" spans="1:23" hidden="1">
      <c r="A113" s="423" t="s">
        <v>264</v>
      </c>
      <c r="B113" s="423">
        <v>123</v>
      </c>
      <c r="C113" s="423" t="s">
        <v>153</v>
      </c>
      <c r="D113" s="423" t="s">
        <v>272</v>
      </c>
      <c r="E113" s="424" t="s">
        <v>404</v>
      </c>
      <c r="F113" s="424" t="s">
        <v>339</v>
      </c>
      <c r="G113" s="424"/>
      <c r="H113" s="281"/>
      <c r="I113" s="425"/>
      <c r="J113" s="425"/>
      <c r="K113" s="426"/>
      <c r="L113" s="427"/>
      <c r="M113" s="427"/>
      <c r="N113" s="427"/>
      <c r="O113" s="428"/>
      <c r="P113" s="427"/>
      <c r="Q113" s="397"/>
      <c r="R113" s="398"/>
      <c r="S113" s="399"/>
      <c r="T113" s="400"/>
      <c r="U113" s="401"/>
      <c r="V113" s="402"/>
      <c r="W113" s="47"/>
    </row>
    <row r="114" spans="1:23" ht="30" hidden="1">
      <c r="A114" s="423" t="s">
        <v>264</v>
      </c>
      <c r="B114" s="423">
        <v>124</v>
      </c>
      <c r="C114" s="423" t="s">
        <v>153</v>
      </c>
      <c r="D114" s="423" t="s">
        <v>272</v>
      </c>
      <c r="E114" s="424" t="s">
        <v>405</v>
      </c>
      <c r="F114" s="424" t="s">
        <v>339</v>
      </c>
      <c r="G114" s="424"/>
      <c r="H114" s="281"/>
      <c r="I114" s="425"/>
      <c r="J114" s="425"/>
      <c r="K114" s="426"/>
      <c r="L114" s="427"/>
      <c r="M114" s="427"/>
      <c r="N114" s="427"/>
      <c r="O114" s="428"/>
      <c r="P114" s="427"/>
      <c r="Q114" s="397"/>
      <c r="R114" s="398"/>
      <c r="S114" s="399"/>
      <c r="T114" s="400"/>
      <c r="U114" s="401"/>
      <c r="V114" s="402"/>
      <c r="W114" s="47"/>
    </row>
    <row r="115" spans="1:23" hidden="1">
      <c r="A115" s="423" t="s">
        <v>264</v>
      </c>
      <c r="B115" s="423">
        <v>125</v>
      </c>
      <c r="C115" s="423" t="s">
        <v>153</v>
      </c>
      <c r="D115" s="423" t="s">
        <v>272</v>
      </c>
      <c r="E115" s="424" t="s">
        <v>406</v>
      </c>
      <c r="F115" s="424" t="s">
        <v>339</v>
      </c>
      <c r="G115" s="424"/>
      <c r="H115" s="281"/>
      <c r="I115" s="425"/>
      <c r="J115" s="425"/>
      <c r="K115" s="426"/>
      <c r="L115" s="427"/>
      <c r="M115" s="427"/>
      <c r="N115" s="427"/>
      <c r="O115" s="428"/>
      <c r="P115" s="427"/>
      <c r="Q115" s="397"/>
      <c r="R115" s="398"/>
      <c r="S115" s="399"/>
      <c r="T115" s="400"/>
      <c r="U115" s="401"/>
      <c r="V115" s="402"/>
      <c r="W115" s="47"/>
    </row>
    <row r="116" spans="1:23" hidden="1">
      <c r="A116" s="423" t="s">
        <v>264</v>
      </c>
      <c r="B116" s="423">
        <v>126</v>
      </c>
      <c r="C116" s="423" t="s">
        <v>153</v>
      </c>
      <c r="D116" s="423" t="s">
        <v>272</v>
      </c>
      <c r="E116" s="424" t="s">
        <v>407</v>
      </c>
      <c r="F116" s="424" t="s">
        <v>339</v>
      </c>
      <c r="G116" s="424"/>
      <c r="H116" s="281"/>
      <c r="I116" s="425"/>
      <c r="J116" s="425"/>
      <c r="K116" s="426"/>
      <c r="L116" s="427"/>
      <c r="M116" s="427"/>
      <c r="N116" s="427"/>
      <c r="O116" s="428"/>
      <c r="P116" s="427"/>
      <c r="Q116" s="397"/>
      <c r="R116" s="398"/>
      <c r="S116" s="399"/>
      <c r="T116" s="400"/>
      <c r="U116" s="401"/>
      <c r="V116" s="402"/>
      <c r="W116" s="47"/>
    </row>
    <row r="117" spans="1:23" hidden="1">
      <c r="A117" s="423" t="s">
        <v>264</v>
      </c>
      <c r="B117" s="423">
        <v>127</v>
      </c>
      <c r="C117" s="423" t="s">
        <v>153</v>
      </c>
      <c r="D117" s="423" t="s">
        <v>272</v>
      </c>
      <c r="E117" s="424" t="s">
        <v>408</v>
      </c>
      <c r="F117" s="424" t="s">
        <v>339</v>
      </c>
      <c r="G117" s="424"/>
      <c r="H117" s="281"/>
      <c r="I117" s="425"/>
      <c r="J117" s="425"/>
      <c r="K117" s="426"/>
      <c r="L117" s="427"/>
      <c r="M117" s="427"/>
      <c r="N117" s="427"/>
      <c r="O117" s="428"/>
      <c r="P117" s="427"/>
      <c r="Q117" s="397"/>
      <c r="R117" s="398"/>
      <c r="S117" s="399"/>
      <c r="T117" s="400"/>
      <c r="U117" s="401"/>
      <c r="V117" s="402"/>
      <c r="W117" s="47"/>
    </row>
    <row r="118" spans="1:23" hidden="1">
      <c r="A118" s="423" t="s">
        <v>264</v>
      </c>
      <c r="B118" s="423">
        <v>128</v>
      </c>
      <c r="C118" s="423" t="s">
        <v>153</v>
      </c>
      <c r="D118" s="423" t="s">
        <v>272</v>
      </c>
      <c r="E118" s="424" t="s">
        <v>409</v>
      </c>
      <c r="F118" s="424" t="s">
        <v>339</v>
      </c>
      <c r="G118" s="424"/>
      <c r="H118" s="281"/>
      <c r="I118" s="425"/>
      <c r="J118" s="425"/>
      <c r="K118" s="426"/>
      <c r="L118" s="427"/>
      <c r="M118" s="427"/>
      <c r="N118" s="427"/>
      <c r="O118" s="428"/>
      <c r="P118" s="427"/>
      <c r="Q118" s="397"/>
      <c r="R118" s="398"/>
      <c r="S118" s="399"/>
      <c r="T118" s="400"/>
      <c r="U118" s="401"/>
      <c r="V118" s="402"/>
      <c r="W118" s="47"/>
    </row>
    <row r="119" spans="1:23" hidden="1">
      <c r="A119" s="423" t="s">
        <v>264</v>
      </c>
      <c r="B119" s="423">
        <v>129</v>
      </c>
      <c r="C119" s="423" t="s">
        <v>153</v>
      </c>
      <c r="D119" s="423" t="s">
        <v>272</v>
      </c>
      <c r="E119" s="424" t="s">
        <v>410</v>
      </c>
      <c r="F119" s="424" t="s">
        <v>339</v>
      </c>
      <c r="G119" s="424"/>
      <c r="H119" s="281"/>
      <c r="I119" s="425"/>
      <c r="J119" s="425"/>
      <c r="K119" s="426"/>
      <c r="L119" s="427"/>
      <c r="M119" s="427"/>
      <c r="N119" s="427"/>
      <c r="O119" s="428"/>
      <c r="P119" s="427"/>
      <c r="Q119" s="397"/>
      <c r="R119" s="398"/>
      <c r="S119" s="399"/>
      <c r="T119" s="400"/>
      <c r="U119" s="401"/>
      <c r="V119" s="402"/>
      <c r="W119" s="47"/>
    </row>
    <row r="120" spans="1:23" hidden="1">
      <c r="A120" s="423" t="s">
        <v>264</v>
      </c>
      <c r="B120" s="423">
        <v>130</v>
      </c>
      <c r="C120" s="423" t="s">
        <v>153</v>
      </c>
      <c r="D120" s="423" t="s">
        <v>272</v>
      </c>
      <c r="E120" s="424" t="s">
        <v>411</v>
      </c>
      <c r="F120" s="424" t="s">
        <v>339</v>
      </c>
      <c r="G120" s="424"/>
      <c r="H120" s="281"/>
      <c r="I120" s="425"/>
      <c r="J120" s="425"/>
      <c r="K120" s="426"/>
      <c r="L120" s="427"/>
      <c r="M120" s="427"/>
      <c r="N120" s="427"/>
      <c r="O120" s="428"/>
      <c r="P120" s="427"/>
      <c r="Q120" s="397"/>
      <c r="R120" s="398"/>
      <c r="S120" s="399"/>
      <c r="T120" s="400"/>
      <c r="U120" s="401"/>
      <c r="V120" s="402"/>
      <c r="W120" s="47"/>
    </row>
    <row r="121" spans="1:23" hidden="1">
      <c r="A121" s="423" t="s">
        <v>264</v>
      </c>
      <c r="B121" s="423">
        <v>131</v>
      </c>
      <c r="C121" s="423" t="s">
        <v>153</v>
      </c>
      <c r="D121" s="423" t="s">
        <v>272</v>
      </c>
      <c r="E121" s="424" t="s">
        <v>412</v>
      </c>
      <c r="F121" s="424" t="s">
        <v>339</v>
      </c>
      <c r="G121" s="424"/>
      <c r="H121" s="281"/>
      <c r="I121" s="425"/>
      <c r="J121" s="425"/>
      <c r="K121" s="426"/>
      <c r="L121" s="427"/>
      <c r="M121" s="427"/>
      <c r="N121" s="427"/>
      <c r="O121" s="428"/>
      <c r="P121" s="427"/>
      <c r="Q121" s="397"/>
      <c r="R121" s="398"/>
      <c r="S121" s="399"/>
      <c r="T121" s="400"/>
      <c r="U121" s="401"/>
      <c r="V121" s="402"/>
      <c r="W121" s="47"/>
    </row>
    <row r="122" spans="1:23" hidden="1">
      <c r="A122" s="423" t="s">
        <v>264</v>
      </c>
      <c r="B122" s="423">
        <v>132</v>
      </c>
      <c r="C122" s="423" t="s">
        <v>153</v>
      </c>
      <c r="D122" s="423" t="s">
        <v>272</v>
      </c>
      <c r="E122" s="424" t="s">
        <v>413</v>
      </c>
      <c r="F122" s="424" t="s">
        <v>339</v>
      </c>
      <c r="G122" s="424"/>
      <c r="H122" s="281"/>
      <c r="I122" s="425"/>
      <c r="J122" s="425"/>
      <c r="K122" s="426"/>
      <c r="L122" s="427"/>
      <c r="M122" s="427"/>
      <c r="N122" s="427"/>
      <c r="O122" s="428"/>
      <c r="P122" s="427"/>
      <c r="Q122" s="397"/>
      <c r="R122" s="398"/>
      <c r="S122" s="399"/>
      <c r="T122" s="400"/>
      <c r="U122" s="401"/>
      <c r="V122" s="402"/>
      <c r="W122" s="47"/>
    </row>
    <row r="123" spans="1:23" hidden="1">
      <c r="A123" s="423" t="s">
        <v>264</v>
      </c>
      <c r="B123" s="423">
        <v>133</v>
      </c>
      <c r="C123" s="423" t="s">
        <v>153</v>
      </c>
      <c r="D123" s="423" t="s">
        <v>272</v>
      </c>
      <c r="E123" s="424" t="s">
        <v>414</v>
      </c>
      <c r="F123" s="424" t="s">
        <v>339</v>
      </c>
      <c r="G123" s="424"/>
      <c r="H123" s="281"/>
      <c r="I123" s="425"/>
      <c r="J123" s="425"/>
      <c r="K123" s="426"/>
      <c r="L123" s="427"/>
      <c r="M123" s="427"/>
      <c r="N123" s="427"/>
      <c r="O123" s="428"/>
      <c r="P123" s="427"/>
      <c r="Q123" s="397"/>
      <c r="R123" s="398"/>
      <c r="S123" s="399"/>
      <c r="T123" s="400"/>
      <c r="U123" s="401"/>
      <c r="V123" s="402"/>
      <c r="W123" s="47"/>
    </row>
    <row r="124" spans="1:23" hidden="1">
      <c r="A124" s="423" t="s">
        <v>264</v>
      </c>
      <c r="B124" s="423">
        <v>134</v>
      </c>
      <c r="C124" s="423" t="s">
        <v>153</v>
      </c>
      <c r="D124" s="423" t="s">
        <v>272</v>
      </c>
      <c r="E124" s="424" t="s">
        <v>415</v>
      </c>
      <c r="F124" s="424" t="s">
        <v>339</v>
      </c>
      <c r="G124" s="424"/>
      <c r="H124" s="281"/>
      <c r="I124" s="425"/>
      <c r="J124" s="425"/>
      <c r="K124" s="426"/>
      <c r="L124" s="427"/>
      <c r="M124" s="427"/>
      <c r="N124" s="427"/>
      <c r="O124" s="428"/>
      <c r="P124" s="427"/>
      <c r="Q124" s="397"/>
      <c r="R124" s="398"/>
      <c r="S124" s="399"/>
      <c r="T124" s="400"/>
      <c r="U124" s="401"/>
      <c r="V124" s="402"/>
      <c r="W124" s="47"/>
    </row>
    <row r="125" spans="1:23" hidden="1">
      <c r="A125" s="423" t="s">
        <v>264</v>
      </c>
      <c r="B125" s="423">
        <v>135</v>
      </c>
      <c r="C125" s="423" t="s">
        <v>153</v>
      </c>
      <c r="D125" s="423" t="s">
        <v>272</v>
      </c>
      <c r="E125" s="424" t="s">
        <v>416</v>
      </c>
      <c r="F125" s="424" t="s">
        <v>339</v>
      </c>
      <c r="G125" s="424"/>
      <c r="H125" s="281"/>
      <c r="I125" s="425"/>
      <c r="J125" s="425"/>
      <c r="K125" s="426"/>
      <c r="L125" s="427"/>
      <c r="M125" s="427"/>
      <c r="N125" s="427"/>
      <c r="O125" s="428"/>
      <c r="P125" s="427"/>
      <c r="Q125" s="397"/>
      <c r="R125" s="398"/>
      <c r="S125" s="399"/>
      <c r="T125" s="400"/>
      <c r="U125" s="401"/>
      <c r="V125" s="402"/>
      <c r="W125" s="47"/>
    </row>
    <row r="126" spans="1:23" hidden="1">
      <c r="A126" s="423" t="s">
        <v>264</v>
      </c>
      <c r="B126" s="423">
        <v>136</v>
      </c>
      <c r="C126" s="423" t="s">
        <v>153</v>
      </c>
      <c r="D126" s="423" t="s">
        <v>272</v>
      </c>
      <c r="E126" s="424" t="s">
        <v>417</v>
      </c>
      <c r="F126" s="424" t="s">
        <v>339</v>
      </c>
      <c r="G126" s="424"/>
      <c r="H126" s="281"/>
      <c r="I126" s="425"/>
      <c r="J126" s="425"/>
      <c r="K126" s="426"/>
      <c r="L126" s="427"/>
      <c r="M126" s="427"/>
      <c r="N126" s="427"/>
      <c r="O126" s="428"/>
      <c r="P126" s="427"/>
      <c r="Q126" s="397"/>
      <c r="R126" s="398"/>
      <c r="S126" s="399"/>
      <c r="T126" s="400"/>
      <c r="U126" s="401"/>
      <c r="V126" s="402"/>
      <c r="W126" s="47"/>
    </row>
    <row r="127" spans="1:23" hidden="1">
      <c r="A127" s="423" t="s">
        <v>264</v>
      </c>
      <c r="B127" s="423">
        <v>137</v>
      </c>
      <c r="C127" s="423" t="s">
        <v>153</v>
      </c>
      <c r="D127" s="423" t="s">
        <v>272</v>
      </c>
      <c r="E127" s="424" t="s">
        <v>418</v>
      </c>
      <c r="F127" s="424" t="s">
        <v>339</v>
      </c>
      <c r="G127" s="424"/>
      <c r="H127" s="281"/>
      <c r="I127" s="425"/>
      <c r="J127" s="425"/>
      <c r="K127" s="426"/>
      <c r="L127" s="427"/>
      <c r="M127" s="427"/>
      <c r="N127" s="427"/>
      <c r="O127" s="428"/>
      <c r="P127" s="427"/>
      <c r="Q127" s="397"/>
      <c r="R127" s="398"/>
      <c r="S127" s="399"/>
      <c r="T127" s="400"/>
      <c r="U127" s="401"/>
      <c r="V127" s="402"/>
      <c r="W127" s="47"/>
    </row>
    <row r="128" spans="1:23" hidden="1">
      <c r="A128" s="423" t="s">
        <v>264</v>
      </c>
      <c r="B128" s="423">
        <v>138</v>
      </c>
      <c r="C128" s="423" t="s">
        <v>153</v>
      </c>
      <c r="D128" s="423" t="s">
        <v>272</v>
      </c>
      <c r="E128" s="424" t="s">
        <v>419</v>
      </c>
      <c r="F128" s="424" t="s">
        <v>339</v>
      </c>
      <c r="G128" s="424"/>
      <c r="H128" s="281"/>
      <c r="I128" s="425"/>
      <c r="J128" s="425"/>
      <c r="K128" s="426"/>
      <c r="L128" s="427"/>
      <c r="M128" s="427"/>
      <c r="N128" s="427"/>
      <c r="O128" s="428"/>
      <c r="P128" s="427"/>
      <c r="Q128" s="397"/>
      <c r="R128" s="398"/>
      <c r="S128" s="399"/>
      <c r="T128" s="400"/>
      <c r="U128" s="401"/>
      <c r="V128" s="402"/>
      <c r="W128" s="47"/>
    </row>
    <row r="129" spans="1:23" hidden="1">
      <c r="A129" s="423" t="s">
        <v>264</v>
      </c>
      <c r="B129" s="423">
        <v>139</v>
      </c>
      <c r="C129" s="423" t="s">
        <v>153</v>
      </c>
      <c r="D129" s="423" t="s">
        <v>272</v>
      </c>
      <c r="E129" s="424" t="s">
        <v>420</v>
      </c>
      <c r="F129" s="424" t="s">
        <v>339</v>
      </c>
      <c r="G129" s="424"/>
      <c r="H129" s="281"/>
      <c r="I129" s="425"/>
      <c r="J129" s="425"/>
      <c r="K129" s="426"/>
      <c r="L129" s="427"/>
      <c r="M129" s="427"/>
      <c r="N129" s="427"/>
      <c r="O129" s="428"/>
      <c r="P129" s="427"/>
      <c r="Q129" s="397"/>
      <c r="R129" s="398"/>
      <c r="S129" s="399"/>
      <c r="T129" s="400"/>
      <c r="U129" s="401"/>
      <c r="V129" s="402"/>
      <c r="W129" s="47"/>
    </row>
    <row r="130" spans="1:23" hidden="1">
      <c r="A130" s="423" t="s">
        <v>264</v>
      </c>
      <c r="B130" s="423">
        <v>140</v>
      </c>
      <c r="C130" s="423" t="s">
        <v>153</v>
      </c>
      <c r="D130" s="423" t="s">
        <v>272</v>
      </c>
      <c r="E130" s="424" t="s">
        <v>421</v>
      </c>
      <c r="F130" s="424" t="s">
        <v>339</v>
      </c>
      <c r="G130" s="424"/>
      <c r="H130" s="281"/>
      <c r="I130" s="425"/>
      <c r="J130" s="425"/>
      <c r="K130" s="426"/>
      <c r="L130" s="427"/>
      <c r="M130" s="427"/>
      <c r="N130" s="427"/>
      <c r="O130" s="428"/>
      <c r="P130" s="427"/>
      <c r="Q130" s="397"/>
      <c r="R130" s="398"/>
      <c r="S130" s="399"/>
      <c r="T130" s="400"/>
      <c r="U130" s="401"/>
      <c r="V130" s="402"/>
      <c r="W130" s="47"/>
    </row>
    <row r="131" spans="1:23" hidden="1">
      <c r="A131" s="423" t="s">
        <v>264</v>
      </c>
      <c r="B131" s="423">
        <v>141</v>
      </c>
      <c r="C131" s="423" t="s">
        <v>153</v>
      </c>
      <c r="D131" s="423" t="s">
        <v>272</v>
      </c>
      <c r="E131" s="424" t="s">
        <v>422</v>
      </c>
      <c r="F131" s="424" t="s">
        <v>339</v>
      </c>
      <c r="G131" s="424"/>
      <c r="H131" s="281"/>
      <c r="I131" s="425"/>
      <c r="J131" s="425"/>
      <c r="K131" s="426"/>
      <c r="L131" s="427"/>
      <c r="M131" s="427"/>
      <c r="N131" s="427"/>
      <c r="O131" s="428"/>
      <c r="P131" s="427"/>
      <c r="Q131" s="397"/>
      <c r="R131" s="398"/>
      <c r="S131" s="399"/>
      <c r="T131" s="400"/>
      <c r="U131" s="401"/>
      <c r="V131" s="402"/>
      <c r="W131" s="47"/>
    </row>
    <row r="132" spans="1:23" hidden="1">
      <c r="A132" s="423" t="s">
        <v>264</v>
      </c>
      <c r="B132" s="423">
        <v>142</v>
      </c>
      <c r="C132" s="423" t="s">
        <v>153</v>
      </c>
      <c r="D132" s="423" t="s">
        <v>272</v>
      </c>
      <c r="E132" s="424" t="s">
        <v>423</v>
      </c>
      <c r="F132" s="424" t="s">
        <v>339</v>
      </c>
      <c r="G132" s="424"/>
      <c r="H132" s="281"/>
      <c r="I132" s="425"/>
      <c r="J132" s="425"/>
      <c r="K132" s="426"/>
      <c r="L132" s="427"/>
      <c r="M132" s="427"/>
      <c r="N132" s="427"/>
      <c r="O132" s="428"/>
      <c r="P132" s="427"/>
      <c r="Q132" s="397"/>
      <c r="R132" s="398"/>
      <c r="S132" s="399"/>
      <c r="T132" s="400"/>
      <c r="U132" s="401"/>
      <c r="V132" s="402"/>
      <c r="W132" s="47"/>
    </row>
    <row r="133" spans="1:23" hidden="1">
      <c r="A133" s="423" t="s">
        <v>264</v>
      </c>
      <c r="B133" s="423">
        <v>143</v>
      </c>
      <c r="C133" s="423" t="s">
        <v>153</v>
      </c>
      <c r="D133" s="423" t="s">
        <v>272</v>
      </c>
      <c r="E133" s="424" t="s">
        <v>424</v>
      </c>
      <c r="F133" s="424" t="s">
        <v>339</v>
      </c>
      <c r="G133" s="424"/>
      <c r="H133" s="281"/>
      <c r="I133" s="425"/>
      <c r="J133" s="425"/>
      <c r="K133" s="426"/>
      <c r="L133" s="427"/>
      <c r="M133" s="427"/>
      <c r="N133" s="427"/>
      <c r="O133" s="428"/>
      <c r="P133" s="427"/>
      <c r="Q133" s="397"/>
      <c r="R133" s="398"/>
      <c r="S133" s="399"/>
      <c r="T133" s="400"/>
      <c r="U133" s="401"/>
      <c r="V133" s="402"/>
      <c r="W133" s="47"/>
    </row>
    <row r="134" spans="1:23" hidden="1">
      <c r="A134" s="423" t="s">
        <v>264</v>
      </c>
      <c r="B134" s="423">
        <v>144</v>
      </c>
      <c r="C134" s="423" t="s">
        <v>153</v>
      </c>
      <c r="D134" s="423" t="s">
        <v>272</v>
      </c>
      <c r="E134" s="424" t="s">
        <v>425</v>
      </c>
      <c r="F134" s="424" t="s">
        <v>339</v>
      </c>
      <c r="G134" s="424"/>
      <c r="H134" s="281"/>
      <c r="I134" s="425"/>
      <c r="J134" s="425"/>
      <c r="K134" s="426"/>
      <c r="L134" s="427"/>
      <c r="M134" s="427"/>
      <c r="N134" s="427"/>
      <c r="O134" s="428"/>
      <c r="P134" s="427"/>
      <c r="Q134" s="397"/>
      <c r="R134" s="398"/>
      <c r="S134" s="399"/>
      <c r="T134" s="400"/>
      <c r="U134" s="401"/>
      <c r="V134" s="402"/>
      <c r="W134" s="47"/>
    </row>
    <row r="135" spans="1:23" hidden="1">
      <c r="A135" s="423" t="s">
        <v>264</v>
      </c>
      <c r="B135" s="423">
        <v>145</v>
      </c>
      <c r="C135" s="423" t="s">
        <v>153</v>
      </c>
      <c r="D135" s="423" t="s">
        <v>272</v>
      </c>
      <c r="E135" s="424" t="s">
        <v>426</v>
      </c>
      <c r="F135" s="424" t="s">
        <v>339</v>
      </c>
      <c r="G135" s="424"/>
      <c r="H135" s="281"/>
      <c r="I135" s="425"/>
      <c r="J135" s="425"/>
      <c r="K135" s="426"/>
      <c r="L135" s="427"/>
      <c r="M135" s="427"/>
      <c r="N135" s="427"/>
      <c r="O135" s="428"/>
      <c r="P135" s="427"/>
      <c r="Q135" s="397"/>
      <c r="R135" s="398"/>
      <c r="S135" s="399"/>
      <c r="T135" s="400"/>
      <c r="U135" s="401"/>
      <c r="V135" s="402"/>
      <c r="W135" s="47"/>
    </row>
    <row r="136" spans="1:23" hidden="1">
      <c r="A136" s="423" t="s">
        <v>264</v>
      </c>
      <c r="B136" s="423">
        <v>146</v>
      </c>
      <c r="C136" s="423" t="s">
        <v>153</v>
      </c>
      <c r="D136" s="423" t="s">
        <v>272</v>
      </c>
      <c r="E136" s="424" t="s">
        <v>427</v>
      </c>
      <c r="F136" s="424" t="s">
        <v>339</v>
      </c>
      <c r="G136" s="424"/>
      <c r="H136" s="281"/>
      <c r="I136" s="425"/>
      <c r="J136" s="425"/>
      <c r="K136" s="426"/>
      <c r="L136" s="427"/>
      <c r="M136" s="427"/>
      <c r="N136" s="427"/>
      <c r="O136" s="428"/>
      <c r="P136" s="427"/>
      <c r="Q136" s="397"/>
      <c r="R136" s="398"/>
      <c r="S136" s="399"/>
      <c r="T136" s="400"/>
      <c r="U136" s="401"/>
      <c r="V136" s="402"/>
      <c r="W136" s="47"/>
    </row>
    <row r="137" spans="1:23" hidden="1">
      <c r="A137" s="423" t="s">
        <v>264</v>
      </c>
      <c r="B137" s="423">
        <v>147</v>
      </c>
      <c r="C137" s="423" t="s">
        <v>153</v>
      </c>
      <c r="D137" s="423" t="s">
        <v>272</v>
      </c>
      <c r="E137" s="424" t="s">
        <v>428</v>
      </c>
      <c r="F137" s="424" t="s">
        <v>339</v>
      </c>
      <c r="G137" s="424"/>
      <c r="H137" s="281"/>
      <c r="I137" s="425"/>
      <c r="J137" s="425"/>
      <c r="K137" s="426"/>
      <c r="L137" s="427"/>
      <c r="M137" s="427"/>
      <c r="N137" s="427"/>
      <c r="O137" s="428"/>
      <c r="P137" s="427"/>
      <c r="Q137" s="397"/>
      <c r="R137" s="398"/>
      <c r="S137" s="399"/>
      <c r="T137" s="400"/>
      <c r="U137" s="401"/>
      <c r="V137" s="402"/>
      <c r="W137" s="47"/>
    </row>
    <row r="138" spans="1:23" ht="30" hidden="1">
      <c r="A138" s="423" t="s">
        <v>264</v>
      </c>
      <c r="B138" s="423">
        <v>148</v>
      </c>
      <c r="C138" s="423" t="s">
        <v>153</v>
      </c>
      <c r="D138" s="423" t="s">
        <v>272</v>
      </c>
      <c r="E138" s="424" t="s">
        <v>429</v>
      </c>
      <c r="F138" s="424" t="s">
        <v>339</v>
      </c>
      <c r="G138" s="424"/>
      <c r="H138" s="281"/>
      <c r="I138" s="425"/>
      <c r="J138" s="425"/>
      <c r="K138" s="426"/>
      <c r="L138" s="427"/>
      <c r="M138" s="427"/>
      <c r="N138" s="427"/>
      <c r="O138" s="428"/>
      <c r="P138" s="427"/>
      <c r="Q138" s="397"/>
      <c r="R138" s="398"/>
      <c r="S138" s="399"/>
      <c r="T138" s="400"/>
      <c r="U138" s="401"/>
      <c r="V138" s="402"/>
      <c r="W138" s="47"/>
    </row>
    <row r="139" spans="1:23" ht="30" hidden="1">
      <c r="A139" s="423" t="s">
        <v>264</v>
      </c>
      <c r="B139" s="423">
        <v>149</v>
      </c>
      <c r="C139" s="423" t="s">
        <v>153</v>
      </c>
      <c r="D139" s="423" t="s">
        <v>272</v>
      </c>
      <c r="E139" s="424" t="s">
        <v>430</v>
      </c>
      <c r="F139" s="424" t="s">
        <v>339</v>
      </c>
      <c r="G139" s="424"/>
      <c r="H139" s="281"/>
      <c r="I139" s="425"/>
      <c r="J139" s="425"/>
      <c r="K139" s="426"/>
      <c r="L139" s="427"/>
      <c r="M139" s="427"/>
      <c r="N139" s="427"/>
      <c r="O139" s="428"/>
      <c r="P139" s="427"/>
      <c r="Q139" s="397"/>
      <c r="R139" s="398"/>
      <c r="S139" s="399"/>
      <c r="T139" s="400"/>
      <c r="U139" s="401"/>
      <c r="V139" s="402"/>
      <c r="W139" s="47"/>
    </row>
    <row r="140" spans="1:23" ht="30" hidden="1">
      <c r="A140" s="423" t="s">
        <v>264</v>
      </c>
      <c r="B140" s="423">
        <v>150</v>
      </c>
      <c r="C140" s="423" t="s">
        <v>153</v>
      </c>
      <c r="D140" s="423" t="s">
        <v>272</v>
      </c>
      <c r="E140" s="424" t="s">
        <v>431</v>
      </c>
      <c r="F140" s="424" t="s">
        <v>339</v>
      </c>
      <c r="G140" s="424"/>
      <c r="H140" s="281"/>
      <c r="I140" s="425"/>
      <c r="J140" s="425"/>
      <c r="K140" s="426"/>
      <c r="L140" s="427"/>
      <c r="M140" s="427"/>
      <c r="N140" s="427"/>
      <c r="O140" s="428"/>
      <c r="P140" s="427"/>
      <c r="Q140" s="397"/>
      <c r="R140" s="398"/>
      <c r="S140" s="399"/>
      <c r="T140" s="400"/>
      <c r="U140" s="401"/>
      <c r="V140" s="402"/>
      <c r="W140" s="47"/>
    </row>
    <row r="141" spans="1:23" hidden="1">
      <c r="A141" s="423" t="s">
        <v>264</v>
      </c>
      <c r="B141" s="423">
        <v>151</v>
      </c>
      <c r="C141" s="423" t="s">
        <v>153</v>
      </c>
      <c r="D141" s="423" t="s">
        <v>272</v>
      </c>
      <c r="E141" s="424" t="s">
        <v>432</v>
      </c>
      <c r="F141" s="424" t="s">
        <v>339</v>
      </c>
      <c r="G141" s="424"/>
      <c r="H141" s="281"/>
      <c r="I141" s="425"/>
      <c r="J141" s="425"/>
      <c r="K141" s="426"/>
      <c r="L141" s="427"/>
      <c r="M141" s="427"/>
      <c r="N141" s="427"/>
      <c r="O141" s="428"/>
      <c r="P141" s="427"/>
      <c r="Q141" s="397"/>
      <c r="R141" s="398"/>
      <c r="S141" s="399"/>
      <c r="T141" s="400"/>
      <c r="U141" s="401"/>
      <c r="V141" s="402"/>
      <c r="W141" s="47"/>
    </row>
    <row r="142" spans="1:23" ht="30" hidden="1">
      <c r="A142" s="423" t="s">
        <v>264</v>
      </c>
      <c r="B142" s="423">
        <v>152</v>
      </c>
      <c r="C142" s="423" t="s">
        <v>153</v>
      </c>
      <c r="D142" s="423" t="s">
        <v>272</v>
      </c>
      <c r="E142" s="424" t="s">
        <v>433</v>
      </c>
      <c r="F142" s="424" t="s">
        <v>339</v>
      </c>
      <c r="G142" s="424"/>
      <c r="H142" s="281"/>
      <c r="I142" s="425"/>
      <c r="J142" s="425"/>
      <c r="K142" s="426"/>
      <c r="L142" s="427"/>
      <c r="M142" s="427"/>
      <c r="N142" s="427"/>
      <c r="O142" s="428"/>
      <c r="P142" s="427"/>
      <c r="Q142" s="397"/>
      <c r="R142" s="398"/>
      <c r="S142" s="399"/>
      <c r="T142" s="400"/>
      <c r="U142" s="401"/>
      <c r="V142" s="402"/>
      <c r="W142" s="47"/>
    </row>
    <row r="143" spans="1:23" hidden="1">
      <c r="A143" s="423" t="s">
        <v>264</v>
      </c>
      <c r="B143" s="423">
        <v>153</v>
      </c>
      <c r="C143" s="423" t="s">
        <v>153</v>
      </c>
      <c r="D143" s="423" t="s">
        <v>272</v>
      </c>
      <c r="E143" s="424" t="s">
        <v>434</v>
      </c>
      <c r="F143" s="424" t="s">
        <v>339</v>
      </c>
      <c r="G143" s="424"/>
      <c r="H143" s="281"/>
      <c r="I143" s="425"/>
      <c r="J143" s="425"/>
      <c r="K143" s="426"/>
      <c r="L143" s="427"/>
      <c r="M143" s="427"/>
      <c r="N143" s="427"/>
      <c r="O143" s="428"/>
      <c r="P143" s="427"/>
      <c r="Q143" s="397"/>
      <c r="R143" s="398"/>
      <c r="S143" s="399"/>
      <c r="T143" s="400"/>
      <c r="U143" s="401"/>
      <c r="V143" s="402"/>
      <c r="W143" s="47"/>
    </row>
    <row r="144" spans="1:23" hidden="1">
      <c r="A144" s="423" t="s">
        <v>264</v>
      </c>
      <c r="B144" s="423">
        <v>154</v>
      </c>
      <c r="C144" s="423" t="s">
        <v>153</v>
      </c>
      <c r="D144" s="423" t="s">
        <v>272</v>
      </c>
      <c r="E144" s="424" t="s">
        <v>435</v>
      </c>
      <c r="F144" s="424" t="s">
        <v>339</v>
      </c>
      <c r="G144" s="424"/>
      <c r="H144" s="281"/>
      <c r="I144" s="425"/>
      <c r="J144" s="425"/>
      <c r="K144" s="426"/>
      <c r="L144" s="427"/>
      <c r="M144" s="427"/>
      <c r="N144" s="427"/>
      <c r="O144" s="428"/>
      <c r="P144" s="427"/>
      <c r="Q144" s="397"/>
      <c r="R144" s="398"/>
      <c r="S144" s="399"/>
      <c r="T144" s="400"/>
      <c r="U144" s="401"/>
      <c r="V144" s="402"/>
      <c r="W144" s="47"/>
    </row>
    <row r="145" spans="1:23" hidden="1">
      <c r="A145" s="423" t="s">
        <v>264</v>
      </c>
      <c r="B145" s="423">
        <v>155</v>
      </c>
      <c r="C145" s="423" t="s">
        <v>153</v>
      </c>
      <c r="D145" s="423" t="s">
        <v>390</v>
      </c>
      <c r="E145" s="424" t="s">
        <v>436</v>
      </c>
      <c r="F145" s="424" t="s">
        <v>339</v>
      </c>
      <c r="G145" s="424"/>
      <c r="H145" s="281"/>
      <c r="I145" s="425"/>
      <c r="J145" s="425"/>
      <c r="K145" s="426"/>
      <c r="L145" s="427"/>
      <c r="M145" s="427"/>
      <c r="N145" s="427"/>
      <c r="O145" s="428"/>
      <c r="P145" s="427"/>
      <c r="Q145" s="397"/>
      <c r="R145" s="398"/>
      <c r="S145" s="399"/>
      <c r="T145" s="400"/>
      <c r="U145" s="401"/>
      <c r="V145" s="402"/>
      <c r="W145" s="47"/>
    </row>
    <row r="146" spans="1:23" hidden="1">
      <c r="A146" s="423" t="s">
        <v>264</v>
      </c>
      <c r="B146" s="423">
        <v>156</v>
      </c>
      <c r="C146" s="423" t="s">
        <v>153</v>
      </c>
      <c r="D146" s="423" t="s">
        <v>272</v>
      </c>
      <c r="E146" s="424" t="s">
        <v>437</v>
      </c>
      <c r="F146" s="424" t="s">
        <v>339</v>
      </c>
      <c r="G146" s="424"/>
      <c r="H146" s="281"/>
      <c r="I146" s="425"/>
      <c r="J146" s="425"/>
      <c r="K146" s="426"/>
      <c r="L146" s="427"/>
      <c r="M146" s="427"/>
      <c r="N146" s="427"/>
      <c r="O146" s="428"/>
      <c r="P146" s="427"/>
      <c r="Q146" s="397"/>
      <c r="R146" s="398"/>
      <c r="S146" s="399"/>
      <c r="T146" s="400"/>
      <c r="U146" s="401"/>
      <c r="V146" s="402"/>
      <c r="W146" s="47"/>
    </row>
    <row r="147" spans="1:23" hidden="1">
      <c r="A147" s="423" t="s">
        <v>264</v>
      </c>
      <c r="B147" s="423">
        <v>157</v>
      </c>
      <c r="C147" s="423" t="s">
        <v>153</v>
      </c>
      <c r="D147" s="423" t="s">
        <v>337</v>
      </c>
      <c r="E147" s="424" t="s">
        <v>438</v>
      </c>
      <c r="F147" s="424" t="s">
        <v>339</v>
      </c>
      <c r="G147" s="424"/>
      <c r="H147" s="281"/>
      <c r="I147" s="425"/>
      <c r="J147" s="425"/>
      <c r="K147" s="426"/>
      <c r="L147" s="427"/>
      <c r="M147" s="427"/>
      <c r="N147" s="427"/>
      <c r="O147" s="428"/>
      <c r="P147" s="427"/>
      <c r="Q147" s="397"/>
      <c r="R147" s="398"/>
      <c r="S147" s="399"/>
      <c r="T147" s="400"/>
      <c r="U147" s="401"/>
      <c r="V147" s="402"/>
      <c r="W147" s="47"/>
    </row>
    <row r="148" spans="1:23" hidden="1">
      <c r="A148" s="423" t="s">
        <v>264</v>
      </c>
      <c r="B148" s="423">
        <v>158</v>
      </c>
      <c r="C148" s="423" t="s">
        <v>153</v>
      </c>
      <c r="D148" s="423" t="s">
        <v>272</v>
      </c>
      <c r="E148" s="424" t="s">
        <v>439</v>
      </c>
      <c r="F148" s="424" t="s">
        <v>339</v>
      </c>
      <c r="G148" s="424"/>
      <c r="H148" s="281"/>
      <c r="I148" s="425"/>
      <c r="J148" s="425"/>
      <c r="K148" s="426"/>
      <c r="L148" s="427"/>
      <c r="M148" s="427"/>
      <c r="N148" s="427"/>
      <c r="O148" s="428"/>
      <c r="P148" s="427"/>
      <c r="Q148" s="397"/>
      <c r="R148" s="398"/>
      <c r="S148" s="399"/>
      <c r="T148" s="400"/>
      <c r="U148" s="401"/>
      <c r="V148" s="402"/>
      <c r="W148" s="47"/>
    </row>
    <row r="149" spans="1:23" hidden="1">
      <c r="A149" s="423" t="s">
        <v>264</v>
      </c>
      <c r="B149" s="423">
        <v>159</v>
      </c>
      <c r="C149" s="423" t="s">
        <v>153</v>
      </c>
      <c r="D149" s="423" t="s">
        <v>272</v>
      </c>
      <c r="E149" s="424" t="s">
        <v>440</v>
      </c>
      <c r="F149" s="424" t="s">
        <v>339</v>
      </c>
      <c r="G149" s="424"/>
      <c r="H149" s="281"/>
      <c r="I149" s="425"/>
      <c r="J149" s="425"/>
      <c r="K149" s="426"/>
      <c r="L149" s="427"/>
      <c r="M149" s="427"/>
      <c r="N149" s="427"/>
      <c r="O149" s="428"/>
      <c r="P149" s="427"/>
      <c r="Q149" s="397"/>
      <c r="R149" s="398"/>
      <c r="S149" s="399"/>
      <c r="T149" s="400"/>
      <c r="U149" s="401"/>
      <c r="V149" s="402"/>
      <c r="W149" s="47"/>
    </row>
    <row r="150" spans="1:23" hidden="1">
      <c r="A150" s="423" t="s">
        <v>264</v>
      </c>
      <c r="B150" s="423">
        <v>160</v>
      </c>
      <c r="C150" s="423" t="s">
        <v>153</v>
      </c>
      <c r="D150" s="423" t="s">
        <v>272</v>
      </c>
      <c r="E150" s="424" t="s">
        <v>441</v>
      </c>
      <c r="F150" s="424" t="s">
        <v>339</v>
      </c>
      <c r="G150" s="424"/>
      <c r="H150" s="281"/>
      <c r="I150" s="425"/>
      <c r="J150" s="425"/>
      <c r="K150" s="426"/>
      <c r="L150" s="427"/>
      <c r="M150" s="427"/>
      <c r="N150" s="427"/>
      <c r="O150" s="428"/>
      <c r="P150" s="427"/>
      <c r="Q150" s="397"/>
      <c r="R150" s="398"/>
      <c r="S150" s="399"/>
      <c r="T150" s="400"/>
      <c r="U150" s="401"/>
      <c r="V150" s="402"/>
      <c r="W150" s="47"/>
    </row>
    <row r="151" spans="1:23" hidden="1">
      <c r="A151" s="423" t="s">
        <v>264</v>
      </c>
      <c r="B151" s="423">
        <v>161</v>
      </c>
      <c r="C151" s="423" t="s">
        <v>153</v>
      </c>
      <c r="D151" s="423" t="s">
        <v>272</v>
      </c>
      <c r="E151" s="424" t="s">
        <v>442</v>
      </c>
      <c r="F151" s="424" t="s">
        <v>339</v>
      </c>
      <c r="G151" s="424"/>
      <c r="H151" s="281"/>
      <c r="I151" s="425"/>
      <c r="J151" s="425"/>
      <c r="K151" s="426"/>
      <c r="L151" s="427"/>
      <c r="M151" s="427"/>
      <c r="N151" s="427"/>
      <c r="O151" s="428"/>
      <c r="P151" s="427"/>
      <c r="Q151" s="397"/>
      <c r="R151" s="398"/>
      <c r="S151" s="399"/>
      <c r="T151" s="400"/>
      <c r="U151" s="401"/>
      <c r="V151" s="402"/>
      <c r="W151" s="47"/>
    </row>
    <row r="152" spans="1:23" hidden="1">
      <c r="A152" s="423" t="s">
        <v>264</v>
      </c>
      <c r="B152" s="423">
        <v>162</v>
      </c>
      <c r="C152" s="423" t="s">
        <v>153</v>
      </c>
      <c r="D152" s="423" t="s">
        <v>272</v>
      </c>
      <c r="E152" s="424" t="s">
        <v>443</v>
      </c>
      <c r="F152" s="424" t="s">
        <v>339</v>
      </c>
      <c r="G152" s="424"/>
      <c r="H152" s="281"/>
      <c r="I152" s="425"/>
      <c r="J152" s="425"/>
      <c r="K152" s="426"/>
      <c r="L152" s="427"/>
      <c r="M152" s="427"/>
      <c r="N152" s="427"/>
      <c r="O152" s="428"/>
      <c r="P152" s="427"/>
      <c r="Q152" s="397"/>
      <c r="R152" s="398"/>
      <c r="S152" s="399"/>
      <c r="T152" s="400"/>
      <c r="U152" s="401"/>
      <c r="V152" s="402"/>
      <c r="W152" s="47"/>
    </row>
    <row r="153" spans="1:23" hidden="1">
      <c r="A153" s="423" t="s">
        <v>264</v>
      </c>
      <c r="B153" s="423">
        <v>163</v>
      </c>
      <c r="C153" s="423" t="s">
        <v>153</v>
      </c>
      <c r="D153" s="423" t="s">
        <v>272</v>
      </c>
      <c r="E153" s="424" t="s">
        <v>444</v>
      </c>
      <c r="F153" s="424" t="s">
        <v>339</v>
      </c>
      <c r="G153" s="424"/>
      <c r="H153" s="281"/>
      <c r="I153" s="425"/>
      <c r="J153" s="425"/>
      <c r="K153" s="426"/>
      <c r="L153" s="427"/>
      <c r="M153" s="427"/>
      <c r="N153" s="427"/>
      <c r="O153" s="428"/>
      <c r="P153" s="427"/>
      <c r="Q153" s="397"/>
      <c r="R153" s="398"/>
      <c r="S153" s="399"/>
      <c r="T153" s="400"/>
      <c r="U153" s="401"/>
      <c r="V153" s="402"/>
      <c r="W153" s="47"/>
    </row>
    <row r="154" spans="1:23" ht="30" hidden="1">
      <c r="A154" s="423" t="s">
        <v>264</v>
      </c>
      <c r="B154" s="423">
        <v>164</v>
      </c>
      <c r="C154" s="423" t="s">
        <v>153</v>
      </c>
      <c r="D154" s="423" t="s">
        <v>272</v>
      </c>
      <c r="E154" s="424" t="s">
        <v>445</v>
      </c>
      <c r="F154" s="424" t="s">
        <v>339</v>
      </c>
      <c r="G154" s="424"/>
      <c r="H154" s="281"/>
      <c r="I154" s="425"/>
      <c r="J154" s="425"/>
      <c r="K154" s="426"/>
      <c r="L154" s="427"/>
      <c r="M154" s="427"/>
      <c r="N154" s="427"/>
      <c r="O154" s="428"/>
      <c r="P154" s="427"/>
      <c r="Q154" s="397"/>
      <c r="R154" s="398"/>
      <c r="S154" s="399"/>
      <c r="T154" s="400"/>
      <c r="U154" s="401"/>
      <c r="V154" s="402"/>
      <c r="W154" s="47"/>
    </row>
    <row r="155" spans="1:23" ht="30" hidden="1">
      <c r="A155" s="423" t="s">
        <v>264</v>
      </c>
      <c r="B155" s="423">
        <v>165</v>
      </c>
      <c r="C155" s="423" t="s">
        <v>153</v>
      </c>
      <c r="D155" s="423" t="s">
        <v>272</v>
      </c>
      <c r="E155" s="424" t="s">
        <v>446</v>
      </c>
      <c r="F155" s="424" t="s">
        <v>339</v>
      </c>
      <c r="G155" s="424"/>
      <c r="H155" s="281"/>
      <c r="I155" s="425"/>
      <c r="J155" s="425"/>
      <c r="K155" s="426"/>
      <c r="L155" s="427"/>
      <c r="M155" s="427"/>
      <c r="N155" s="427"/>
      <c r="O155" s="428"/>
      <c r="P155" s="427"/>
      <c r="Q155" s="397"/>
      <c r="R155" s="398"/>
      <c r="S155" s="399"/>
      <c r="T155" s="400"/>
      <c r="U155" s="401"/>
      <c r="V155" s="402"/>
      <c r="W155" s="47"/>
    </row>
    <row r="156" spans="1:23" hidden="1">
      <c r="A156" s="423" t="s">
        <v>264</v>
      </c>
      <c r="B156" s="423">
        <v>166</v>
      </c>
      <c r="C156" s="423" t="s">
        <v>153</v>
      </c>
      <c r="D156" s="423" t="s">
        <v>272</v>
      </c>
      <c r="E156" s="424" t="s">
        <v>447</v>
      </c>
      <c r="F156" s="424" t="s">
        <v>339</v>
      </c>
      <c r="G156" s="424"/>
      <c r="H156" s="281"/>
      <c r="I156" s="425"/>
      <c r="J156" s="425"/>
      <c r="K156" s="426"/>
      <c r="L156" s="427"/>
      <c r="M156" s="427"/>
      <c r="N156" s="427"/>
      <c r="O156" s="428"/>
      <c r="P156" s="427"/>
      <c r="Q156" s="397"/>
      <c r="R156" s="398"/>
      <c r="S156" s="399"/>
      <c r="T156" s="400"/>
      <c r="U156" s="401"/>
      <c r="V156" s="402"/>
      <c r="W156" s="47"/>
    </row>
    <row r="157" spans="1:23" ht="30" hidden="1">
      <c r="A157" s="423" t="s">
        <v>264</v>
      </c>
      <c r="B157" s="423">
        <v>167</v>
      </c>
      <c r="C157" s="423" t="s">
        <v>153</v>
      </c>
      <c r="D157" s="423" t="s">
        <v>272</v>
      </c>
      <c r="E157" s="424" t="s">
        <v>448</v>
      </c>
      <c r="F157" s="424" t="s">
        <v>339</v>
      </c>
      <c r="G157" s="424"/>
      <c r="H157" s="281"/>
      <c r="I157" s="425"/>
      <c r="J157" s="425"/>
      <c r="K157" s="426"/>
      <c r="L157" s="427"/>
      <c r="M157" s="427"/>
      <c r="N157" s="427"/>
      <c r="O157" s="428"/>
      <c r="P157" s="427"/>
      <c r="Q157" s="397"/>
      <c r="R157" s="398"/>
      <c r="S157" s="399"/>
      <c r="T157" s="400"/>
      <c r="U157" s="401"/>
      <c r="V157" s="402"/>
      <c r="W157" s="47"/>
    </row>
    <row r="158" spans="1:23" ht="45" hidden="1">
      <c r="A158" s="423" t="s">
        <v>264</v>
      </c>
      <c r="B158" s="423">
        <v>168</v>
      </c>
      <c r="C158" s="423" t="s">
        <v>449</v>
      </c>
      <c r="D158" s="423"/>
      <c r="E158" s="424" t="s">
        <v>450</v>
      </c>
      <c r="F158" s="424" t="s">
        <v>451</v>
      </c>
      <c r="G158" s="424" t="s">
        <v>452</v>
      </c>
      <c r="H158" s="277" t="s">
        <v>268</v>
      </c>
      <c r="I158" s="78">
        <v>2099</v>
      </c>
      <c r="J158" s="78"/>
      <c r="K158" s="426" t="s">
        <v>268</v>
      </c>
      <c r="L158" s="427" t="s">
        <v>82</v>
      </c>
      <c r="M158" s="427" t="s">
        <v>134</v>
      </c>
      <c r="N158" s="80" t="s">
        <v>269</v>
      </c>
      <c r="O158" s="217" t="s">
        <v>268</v>
      </c>
      <c r="P158" s="80">
        <v>2031</v>
      </c>
      <c r="Q158" s="397"/>
      <c r="R158" s="398"/>
      <c r="S158" s="399"/>
      <c r="T158" s="400"/>
      <c r="U158" s="401"/>
      <c r="V158" s="402" t="s">
        <v>15</v>
      </c>
      <c r="W158" s="47"/>
    </row>
    <row r="159" spans="1:23" ht="45" hidden="1">
      <c r="A159" s="423" t="s">
        <v>264</v>
      </c>
      <c r="B159" s="423">
        <v>169</v>
      </c>
      <c r="C159" s="423" t="s">
        <v>449</v>
      </c>
      <c r="D159" s="423"/>
      <c r="E159" s="424" t="s">
        <v>453</v>
      </c>
      <c r="F159" s="424" t="s">
        <v>451</v>
      </c>
      <c r="G159" s="424" t="s">
        <v>452</v>
      </c>
      <c r="H159" s="281" t="s">
        <v>268</v>
      </c>
      <c r="I159" s="425">
        <v>2100</v>
      </c>
      <c r="J159" s="425"/>
      <c r="K159" s="426" t="s">
        <v>268</v>
      </c>
      <c r="L159" s="427" t="s">
        <v>80</v>
      </c>
      <c r="M159" s="427" t="s">
        <v>115</v>
      </c>
      <c r="N159" s="427" t="s">
        <v>269</v>
      </c>
      <c r="O159" s="428" t="s">
        <v>268</v>
      </c>
      <c r="P159" s="427">
        <v>2031</v>
      </c>
      <c r="Q159" s="397"/>
      <c r="R159" s="398"/>
      <c r="S159" s="399"/>
      <c r="T159" s="400"/>
      <c r="U159" s="401"/>
      <c r="V159" s="402" t="s">
        <v>15</v>
      </c>
      <c r="W159" s="47"/>
    </row>
    <row r="160" spans="1:23" s="430" customFormat="1" ht="60" hidden="1">
      <c r="A160" s="397" t="s">
        <v>264</v>
      </c>
      <c r="B160" s="397">
        <v>170</v>
      </c>
      <c r="C160" s="397" t="s">
        <v>454</v>
      </c>
      <c r="D160" s="397"/>
      <c r="E160" s="390" t="s">
        <v>455</v>
      </c>
      <c r="F160" s="463" t="s">
        <v>456</v>
      </c>
      <c r="G160" s="390"/>
      <c r="H160" s="281" t="s">
        <v>268</v>
      </c>
      <c r="I160" s="425"/>
      <c r="J160" s="425"/>
      <c r="K160" s="397"/>
      <c r="L160" s="397"/>
      <c r="M160" s="397" t="s">
        <v>457</v>
      </c>
      <c r="N160" s="427"/>
      <c r="O160" s="428"/>
      <c r="P160" s="427"/>
      <c r="Q160" s="397"/>
      <c r="R160" s="397"/>
      <c r="S160" s="397"/>
      <c r="T160" s="397"/>
      <c r="U160" s="397"/>
      <c r="V160" s="397"/>
      <c r="W160" s="390"/>
    </row>
    <row r="161" spans="1:23" s="430" customFormat="1" ht="60" hidden="1">
      <c r="A161" s="397" t="s">
        <v>264</v>
      </c>
      <c r="B161" s="397">
        <v>171</v>
      </c>
      <c r="C161" s="397" t="s">
        <v>454</v>
      </c>
      <c r="D161" s="397"/>
      <c r="E161" s="390" t="s">
        <v>458</v>
      </c>
      <c r="F161" s="463" t="s">
        <v>456</v>
      </c>
      <c r="G161" s="390"/>
      <c r="H161" s="281" t="s">
        <v>268</v>
      </c>
      <c r="I161" s="425"/>
      <c r="J161" s="425"/>
      <c r="K161" s="397"/>
      <c r="L161" s="397"/>
      <c r="M161" s="397" t="s">
        <v>457</v>
      </c>
      <c r="N161" s="427"/>
      <c r="O161" s="428"/>
      <c r="P161" s="427"/>
      <c r="Q161" s="397"/>
      <c r="R161" s="397"/>
      <c r="S161" s="397"/>
      <c r="T161" s="397"/>
      <c r="U161" s="397"/>
      <c r="V161" s="397"/>
      <c r="W161" s="390"/>
    </row>
    <row r="162" spans="1:23" s="430" customFormat="1" ht="60" hidden="1">
      <c r="A162" s="397" t="s">
        <v>264</v>
      </c>
      <c r="B162" s="397">
        <v>172</v>
      </c>
      <c r="C162" s="397" t="s">
        <v>454</v>
      </c>
      <c r="D162" s="397"/>
      <c r="E162" s="390" t="s">
        <v>459</v>
      </c>
      <c r="F162" s="463" t="s">
        <v>456</v>
      </c>
      <c r="G162" s="390"/>
      <c r="H162" s="281" t="s">
        <v>268</v>
      </c>
      <c r="I162" s="425"/>
      <c r="J162" s="425"/>
      <c r="K162" s="397"/>
      <c r="L162" s="397"/>
      <c r="M162" s="397" t="s">
        <v>457</v>
      </c>
      <c r="N162" s="427"/>
      <c r="O162" s="428"/>
      <c r="P162" s="427"/>
      <c r="Q162" s="397"/>
      <c r="R162" s="397"/>
      <c r="S162" s="397"/>
      <c r="T162" s="397"/>
      <c r="U162" s="397"/>
      <c r="V162" s="397"/>
      <c r="W162" s="390"/>
    </row>
    <row r="163" spans="1:23" ht="45" hidden="1">
      <c r="A163" s="423"/>
      <c r="B163" s="423"/>
      <c r="C163" s="423" t="s">
        <v>449</v>
      </c>
      <c r="D163" s="423"/>
      <c r="E163" s="432" t="s">
        <v>460</v>
      </c>
      <c r="F163" s="433" t="s">
        <v>264</v>
      </c>
      <c r="G163" s="424"/>
      <c r="H163" s="281"/>
      <c r="I163" s="425"/>
      <c r="J163" s="425"/>
      <c r="K163" s="426"/>
      <c r="L163" s="427"/>
      <c r="M163" s="427"/>
      <c r="N163" s="427"/>
      <c r="O163" s="428"/>
      <c r="P163" s="427"/>
      <c r="Q163" s="397"/>
      <c r="R163" s="398"/>
      <c r="S163" s="399"/>
      <c r="T163" s="400"/>
      <c r="U163" s="401"/>
      <c r="V163" s="402" t="s">
        <v>15</v>
      </c>
      <c r="W163" s="47"/>
    </row>
    <row r="164" spans="1:23" s="430" customFormat="1" ht="30" hidden="1">
      <c r="A164" s="397" t="s">
        <v>264</v>
      </c>
      <c r="B164" s="397">
        <v>173</v>
      </c>
      <c r="C164" s="397" t="s">
        <v>454</v>
      </c>
      <c r="D164" s="397"/>
      <c r="E164" s="390" t="s">
        <v>461</v>
      </c>
      <c r="F164" s="390" t="s">
        <v>462</v>
      </c>
      <c r="G164" s="390"/>
      <c r="H164" s="281">
        <v>32450</v>
      </c>
      <c r="I164" s="425">
        <v>112</v>
      </c>
      <c r="J164" s="425"/>
      <c r="K164" s="397" t="s">
        <v>268</v>
      </c>
      <c r="L164" s="397" t="s">
        <v>268</v>
      </c>
      <c r="M164" s="397" t="s">
        <v>268</v>
      </c>
      <c r="N164" s="427" t="s">
        <v>269</v>
      </c>
      <c r="O164" s="428" t="s">
        <v>253</v>
      </c>
      <c r="P164" s="427">
        <v>2012</v>
      </c>
      <c r="Q164" s="397"/>
      <c r="R164" s="397"/>
      <c r="S164" s="397"/>
      <c r="T164" s="397"/>
      <c r="U164" s="397"/>
      <c r="V164" s="397"/>
      <c r="W164" s="390"/>
    </row>
    <row r="165" spans="1:23" s="430" customFormat="1" ht="30" hidden="1">
      <c r="A165" s="397" t="s">
        <v>264</v>
      </c>
      <c r="B165" s="397">
        <v>174</v>
      </c>
      <c r="C165" s="397" t="s">
        <v>454</v>
      </c>
      <c r="D165" s="397"/>
      <c r="E165" s="390" t="s">
        <v>463</v>
      </c>
      <c r="F165" s="390" t="s">
        <v>462</v>
      </c>
      <c r="G165" s="390"/>
      <c r="H165" s="281"/>
      <c r="I165" s="425">
        <v>137</v>
      </c>
      <c r="J165" s="425"/>
      <c r="K165" s="397" t="s">
        <v>268</v>
      </c>
      <c r="L165" s="397" t="s">
        <v>268</v>
      </c>
      <c r="M165" s="397" t="s">
        <v>268</v>
      </c>
      <c r="N165" s="427" t="s">
        <v>269</v>
      </c>
      <c r="O165" s="428" t="s">
        <v>253</v>
      </c>
      <c r="P165" s="427">
        <v>2012</v>
      </c>
      <c r="Q165" s="397"/>
      <c r="R165" s="397"/>
      <c r="S165" s="397"/>
      <c r="T165" s="397"/>
      <c r="U165" s="397"/>
      <c r="V165" s="397"/>
      <c r="W165" s="390"/>
    </row>
    <row r="166" spans="1:23" s="430" customFormat="1" ht="30" hidden="1">
      <c r="A166" s="397" t="s">
        <v>264</v>
      </c>
      <c r="B166" s="397">
        <v>175</v>
      </c>
      <c r="C166" s="397" t="s">
        <v>454</v>
      </c>
      <c r="D166" s="397"/>
      <c r="E166" s="390" t="s">
        <v>464</v>
      </c>
      <c r="F166" s="390" t="s">
        <v>462</v>
      </c>
      <c r="G166" s="390"/>
      <c r="H166" s="281" t="s">
        <v>465</v>
      </c>
      <c r="I166" s="425">
        <v>1804</v>
      </c>
      <c r="J166" s="425"/>
      <c r="K166" s="462">
        <v>43446</v>
      </c>
      <c r="L166" s="397" t="s">
        <v>86</v>
      </c>
      <c r="M166" s="397" t="s">
        <v>115</v>
      </c>
      <c r="N166" s="427" t="s">
        <v>466</v>
      </c>
      <c r="O166" s="428" t="s">
        <v>253</v>
      </c>
      <c r="P166" s="427">
        <v>2028</v>
      </c>
      <c r="Q166" s="397"/>
      <c r="R166" s="397"/>
      <c r="S166" s="397"/>
      <c r="T166" s="397"/>
      <c r="U166" s="397"/>
      <c r="V166" s="397"/>
      <c r="W166" s="390"/>
    </row>
    <row r="167" spans="1:23" s="470" customFormat="1" ht="30" hidden="1">
      <c r="A167" s="467" t="s">
        <v>264</v>
      </c>
      <c r="B167" s="467">
        <v>176</v>
      </c>
      <c r="C167" s="467" t="s">
        <v>467</v>
      </c>
      <c r="D167" s="467"/>
      <c r="E167" s="468" t="s">
        <v>468</v>
      </c>
      <c r="F167" s="468"/>
      <c r="G167" s="468"/>
      <c r="H167" s="411"/>
      <c r="I167" s="412"/>
      <c r="J167" s="412"/>
      <c r="K167" s="467"/>
      <c r="L167" s="467"/>
      <c r="M167" s="467"/>
      <c r="N167" s="414"/>
      <c r="O167" s="415"/>
      <c r="P167" s="414"/>
      <c r="Q167" s="467"/>
      <c r="R167" s="467"/>
      <c r="S167" s="467"/>
      <c r="T167" s="467"/>
      <c r="U167" s="467"/>
      <c r="V167" s="467"/>
      <c r="W167" s="468"/>
    </row>
    <row r="168" spans="1:23" s="470" customFormat="1" ht="30" hidden="1">
      <c r="A168" s="467" t="s">
        <v>264</v>
      </c>
      <c r="B168" s="467">
        <v>177</v>
      </c>
      <c r="C168" s="467" t="s">
        <v>467</v>
      </c>
      <c r="D168" s="467"/>
      <c r="E168" s="468" t="s">
        <v>469</v>
      </c>
      <c r="F168" s="468"/>
      <c r="G168" s="468"/>
      <c r="H168" s="411"/>
      <c r="I168" s="412"/>
      <c r="J168" s="412"/>
      <c r="K168" s="467"/>
      <c r="L168" s="467"/>
      <c r="M168" s="467"/>
      <c r="N168" s="414"/>
      <c r="O168" s="415"/>
      <c r="P168" s="414"/>
      <c r="Q168" s="467"/>
      <c r="R168" s="467"/>
      <c r="S168" s="467"/>
      <c r="T168" s="467"/>
      <c r="U168" s="467"/>
      <c r="V168" s="467"/>
      <c r="W168" s="468"/>
    </row>
    <row r="169" spans="1:23" s="470" customFormat="1" ht="30" hidden="1">
      <c r="A169" s="467" t="s">
        <v>264</v>
      </c>
      <c r="B169" s="467">
        <v>178</v>
      </c>
      <c r="C169" s="467" t="s">
        <v>467</v>
      </c>
      <c r="D169" s="467"/>
      <c r="E169" s="468" t="s">
        <v>470</v>
      </c>
      <c r="F169" s="468"/>
      <c r="G169" s="468"/>
      <c r="H169" s="411"/>
      <c r="I169" s="412"/>
      <c r="J169" s="412"/>
      <c r="K169" s="467"/>
      <c r="L169" s="467"/>
      <c r="M169" s="467"/>
      <c r="N169" s="414"/>
      <c r="O169" s="415"/>
      <c r="P169" s="414"/>
      <c r="Q169" s="467"/>
      <c r="R169" s="467"/>
      <c r="S169" s="467"/>
      <c r="T169" s="467"/>
      <c r="U169" s="467"/>
      <c r="V169" s="467"/>
      <c r="W169" s="468"/>
    </row>
    <row r="170" spans="1:23" s="470" customFormat="1" ht="30" hidden="1">
      <c r="A170" s="467" t="s">
        <v>264</v>
      </c>
      <c r="B170" s="467">
        <v>179</v>
      </c>
      <c r="C170" s="467" t="s">
        <v>467</v>
      </c>
      <c r="D170" s="467"/>
      <c r="E170" s="468" t="s">
        <v>471</v>
      </c>
      <c r="F170" s="468"/>
      <c r="G170" s="468"/>
      <c r="H170" s="411"/>
      <c r="I170" s="412"/>
      <c r="J170" s="412"/>
      <c r="K170" s="467"/>
      <c r="L170" s="467"/>
      <c r="M170" s="467"/>
      <c r="N170" s="414"/>
      <c r="O170" s="415"/>
      <c r="P170" s="414"/>
      <c r="Q170" s="467"/>
      <c r="R170" s="467"/>
      <c r="S170" s="467"/>
      <c r="T170" s="467"/>
      <c r="U170" s="467"/>
      <c r="V170" s="467"/>
      <c r="W170" s="468"/>
    </row>
    <row r="171" spans="1:23" s="470" customFormat="1" ht="30" hidden="1">
      <c r="A171" s="467" t="s">
        <v>264</v>
      </c>
      <c r="B171" s="467">
        <v>180</v>
      </c>
      <c r="C171" s="467" t="s">
        <v>467</v>
      </c>
      <c r="D171" s="467"/>
      <c r="E171" s="468" t="s">
        <v>472</v>
      </c>
      <c r="F171" s="468"/>
      <c r="G171" s="468" t="s">
        <v>280</v>
      </c>
      <c r="H171" s="411">
        <v>123456</v>
      </c>
      <c r="I171" s="412" t="s">
        <v>253</v>
      </c>
      <c r="J171" s="412"/>
      <c r="K171" s="467">
        <v>2023</v>
      </c>
      <c r="L171" s="467"/>
      <c r="M171" s="467"/>
      <c r="N171" s="414"/>
      <c r="O171" s="415"/>
      <c r="P171" s="414"/>
      <c r="Q171" s="467"/>
      <c r="R171" s="467"/>
      <c r="S171" s="467"/>
      <c r="T171" s="467"/>
      <c r="U171" s="467"/>
      <c r="V171" s="467"/>
      <c r="W171" s="468"/>
    </row>
    <row r="172" spans="1:23" s="470" customFormat="1" ht="30" hidden="1">
      <c r="A172" s="467" t="s">
        <v>264</v>
      </c>
      <c r="B172" s="467">
        <v>181</v>
      </c>
      <c r="C172" s="467" t="s">
        <v>467</v>
      </c>
      <c r="D172" s="467"/>
      <c r="E172" s="468" t="s">
        <v>473</v>
      </c>
      <c r="F172" s="468"/>
      <c r="G172" s="468"/>
      <c r="H172" s="411"/>
      <c r="I172" s="412"/>
      <c r="J172" s="412"/>
      <c r="K172" s="467"/>
      <c r="L172" s="467"/>
      <c r="M172" s="467"/>
      <c r="N172" s="414"/>
      <c r="O172" s="415"/>
      <c r="P172" s="414"/>
      <c r="Q172" s="467"/>
      <c r="R172" s="467"/>
      <c r="S172" s="467"/>
      <c r="T172" s="467"/>
      <c r="U172" s="467"/>
      <c r="V172" s="467"/>
      <c r="W172" s="468"/>
    </row>
    <row r="173" spans="1:23" s="470" customFormat="1" ht="30" hidden="1">
      <c r="A173" s="467" t="s">
        <v>264</v>
      </c>
      <c r="B173" s="467">
        <v>182</v>
      </c>
      <c r="C173" s="467" t="s">
        <v>467</v>
      </c>
      <c r="D173" s="467"/>
      <c r="E173" s="468" t="s">
        <v>474</v>
      </c>
      <c r="F173" s="468"/>
      <c r="G173" s="468"/>
      <c r="H173" s="411"/>
      <c r="I173" s="412"/>
      <c r="J173" s="412"/>
      <c r="K173" s="467"/>
      <c r="L173" s="467"/>
      <c r="M173" s="467"/>
      <c r="N173" s="414"/>
      <c r="O173" s="415"/>
      <c r="P173" s="414"/>
      <c r="Q173" s="467"/>
      <c r="R173" s="467"/>
      <c r="S173" s="467"/>
      <c r="T173" s="467"/>
      <c r="U173" s="467"/>
      <c r="V173" s="467"/>
      <c r="W173" s="468"/>
    </row>
    <row r="174" spans="1:23" s="470" customFormat="1" ht="30" hidden="1">
      <c r="A174" s="467" t="s">
        <v>264</v>
      </c>
      <c r="B174" s="467">
        <v>183</v>
      </c>
      <c r="C174" s="467" t="s">
        <v>467</v>
      </c>
      <c r="D174" s="467"/>
      <c r="E174" s="468" t="s">
        <v>475</v>
      </c>
      <c r="F174" s="468"/>
      <c r="G174" s="468"/>
      <c r="H174" s="411"/>
      <c r="I174" s="412"/>
      <c r="J174" s="412"/>
      <c r="K174" s="467"/>
      <c r="L174" s="467"/>
      <c r="M174" s="467"/>
      <c r="N174" s="414"/>
      <c r="O174" s="415"/>
      <c r="P174" s="414"/>
      <c r="Q174" s="467"/>
      <c r="R174" s="467"/>
      <c r="S174" s="467"/>
      <c r="T174" s="467"/>
      <c r="U174" s="467"/>
      <c r="V174" s="467"/>
      <c r="W174" s="468"/>
    </row>
    <row r="175" spans="1:23" s="470" customFormat="1" ht="30" hidden="1">
      <c r="A175" s="467" t="s">
        <v>264</v>
      </c>
      <c r="B175" s="467">
        <v>184</v>
      </c>
      <c r="C175" s="467" t="s">
        <v>467</v>
      </c>
      <c r="D175" s="467"/>
      <c r="E175" s="468" t="s">
        <v>476</v>
      </c>
      <c r="F175" s="468"/>
      <c r="G175" s="468"/>
      <c r="H175" s="411"/>
      <c r="I175" s="412"/>
      <c r="J175" s="412"/>
      <c r="K175" s="467"/>
      <c r="L175" s="467"/>
      <c r="M175" s="467"/>
      <c r="N175" s="414"/>
      <c r="O175" s="415"/>
      <c r="P175" s="414"/>
      <c r="Q175" s="467"/>
      <c r="R175" s="467"/>
      <c r="S175" s="467"/>
      <c r="T175" s="467"/>
      <c r="U175" s="467"/>
      <c r="V175" s="467"/>
      <c r="W175" s="468"/>
    </row>
    <row r="176" spans="1:23" s="470" customFormat="1" ht="30" hidden="1">
      <c r="A176" s="467" t="s">
        <v>264</v>
      </c>
      <c r="B176" s="467">
        <v>185</v>
      </c>
      <c r="C176" s="467" t="s">
        <v>467</v>
      </c>
      <c r="D176" s="467"/>
      <c r="E176" s="468" t="s">
        <v>477</v>
      </c>
      <c r="F176" s="468"/>
      <c r="G176" s="468"/>
      <c r="H176" s="411"/>
      <c r="I176" s="412"/>
      <c r="J176" s="412"/>
      <c r="K176" s="467"/>
      <c r="L176" s="467"/>
      <c r="M176" s="467"/>
      <c r="N176" s="414"/>
      <c r="O176" s="415"/>
      <c r="P176" s="414"/>
      <c r="Q176" s="467"/>
      <c r="R176" s="467"/>
      <c r="S176" s="467"/>
      <c r="T176" s="467"/>
      <c r="U176" s="467"/>
      <c r="V176" s="467"/>
      <c r="W176" s="468"/>
    </row>
    <row r="177" spans="1:23" s="470" customFormat="1" ht="30" hidden="1">
      <c r="A177" s="467" t="s">
        <v>264</v>
      </c>
      <c r="B177" s="467">
        <v>186</v>
      </c>
      <c r="C177" s="467" t="s">
        <v>467</v>
      </c>
      <c r="D177" s="467"/>
      <c r="E177" s="468" t="s">
        <v>478</v>
      </c>
      <c r="F177" s="468"/>
      <c r="G177" s="468"/>
      <c r="H177" s="411"/>
      <c r="I177" s="412"/>
      <c r="J177" s="412"/>
      <c r="K177" s="467"/>
      <c r="L177" s="467"/>
      <c r="M177" s="467"/>
      <c r="N177" s="414"/>
      <c r="O177" s="415"/>
      <c r="P177" s="414"/>
      <c r="Q177" s="467"/>
      <c r="R177" s="467"/>
      <c r="S177" s="467"/>
      <c r="T177" s="467"/>
      <c r="U177" s="467"/>
      <c r="V177" s="467"/>
      <c r="W177" s="468"/>
    </row>
    <row r="178" spans="1:23" s="470" customFormat="1" ht="30" hidden="1">
      <c r="A178" s="467" t="s">
        <v>264</v>
      </c>
      <c r="B178" s="467">
        <v>187</v>
      </c>
      <c r="C178" s="467" t="s">
        <v>467</v>
      </c>
      <c r="D178" s="467"/>
      <c r="E178" s="468" t="s">
        <v>479</v>
      </c>
      <c r="F178" s="468"/>
      <c r="G178" s="468"/>
      <c r="H178" s="411"/>
      <c r="I178" s="412"/>
      <c r="J178" s="412"/>
      <c r="K178" s="467"/>
      <c r="L178" s="467"/>
      <c r="M178" s="467"/>
      <c r="N178" s="414"/>
      <c r="O178" s="415"/>
      <c r="P178" s="414"/>
      <c r="Q178" s="467"/>
      <c r="R178" s="467"/>
      <c r="S178" s="467"/>
      <c r="T178" s="467"/>
      <c r="U178" s="467"/>
      <c r="V178" s="467"/>
      <c r="W178" s="468"/>
    </row>
    <row r="179" spans="1:23" s="470" customFormat="1" ht="30" hidden="1">
      <c r="A179" s="467" t="s">
        <v>264</v>
      </c>
      <c r="B179" s="467">
        <v>188</v>
      </c>
      <c r="C179" s="467" t="s">
        <v>467</v>
      </c>
      <c r="D179" s="467"/>
      <c r="E179" s="468" t="s">
        <v>480</v>
      </c>
      <c r="F179" s="468"/>
      <c r="G179" s="468"/>
      <c r="H179" s="411"/>
      <c r="I179" s="412"/>
      <c r="J179" s="412"/>
      <c r="K179" s="467"/>
      <c r="L179" s="467"/>
      <c r="M179" s="467"/>
      <c r="N179" s="414"/>
      <c r="O179" s="415"/>
      <c r="P179" s="414"/>
      <c r="Q179" s="467"/>
      <c r="R179" s="467"/>
      <c r="S179" s="467"/>
      <c r="T179" s="467"/>
      <c r="U179" s="467"/>
      <c r="V179" s="467"/>
      <c r="W179" s="468"/>
    </row>
    <row r="180" spans="1:23" s="470" customFormat="1" ht="30" hidden="1">
      <c r="A180" s="467" t="s">
        <v>264</v>
      </c>
      <c r="B180" s="467">
        <v>189</v>
      </c>
      <c r="C180" s="467" t="s">
        <v>467</v>
      </c>
      <c r="D180" s="467"/>
      <c r="E180" s="468" t="s">
        <v>481</v>
      </c>
      <c r="F180" s="468"/>
      <c r="G180" s="468"/>
      <c r="H180" s="411"/>
      <c r="I180" s="412"/>
      <c r="J180" s="412"/>
      <c r="K180" s="467"/>
      <c r="L180" s="467"/>
      <c r="M180" s="467"/>
      <c r="N180" s="414"/>
      <c r="O180" s="415"/>
      <c r="P180" s="414"/>
      <c r="Q180" s="467"/>
      <c r="R180" s="467"/>
      <c r="S180" s="467"/>
      <c r="T180" s="467"/>
      <c r="U180" s="467"/>
      <c r="V180" s="467"/>
      <c r="W180" s="468"/>
    </row>
    <row r="181" spans="1:23" s="470" customFormat="1" ht="30" hidden="1">
      <c r="A181" s="467" t="s">
        <v>264</v>
      </c>
      <c r="B181" s="467">
        <v>190</v>
      </c>
      <c r="C181" s="467" t="s">
        <v>467</v>
      </c>
      <c r="D181" s="467"/>
      <c r="E181" s="468" t="s">
        <v>482</v>
      </c>
      <c r="F181" s="468"/>
      <c r="G181" s="468"/>
      <c r="H181" s="411"/>
      <c r="I181" s="412"/>
      <c r="J181" s="412"/>
      <c r="K181" s="467"/>
      <c r="L181" s="467"/>
      <c r="M181" s="467"/>
      <c r="N181" s="414"/>
      <c r="O181" s="415"/>
      <c r="P181" s="414"/>
      <c r="Q181" s="467"/>
      <c r="R181" s="467"/>
      <c r="S181" s="467"/>
      <c r="T181" s="467"/>
      <c r="U181" s="467"/>
      <c r="V181" s="467"/>
      <c r="W181" s="468"/>
    </row>
    <row r="182" spans="1:23" s="470" customFormat="1" ht="30" hidden="1">
      <c r="A182" s="467" t="s">
        <v>264</v>
      </c>
      <c r="B182" s="467">
        <v>191</v>
      </c>
      <c r="C182" s="467" t="s">
        <v>467</v>
      </c>
      <c r="D182" s="467"/>
      <c r="E182" s="468" t="s">
        <v>483</v>
      </c>
      <c r="F182" s="468"/>
      <c r="G182" s="468"/>
      <c r="H182" s="411"/>
      <c r="I182" s="412"/>
      <c r="J182" s="434"/>
      <c r="K182" s="467"/>
      <c r="L182" s="467"/>
      <c r="M182" s="467"/>
      <c r="N182" s="414"/>
      <c r="O182" s="415"/>
      <c r="P182" s="414"/>
      <c r="Q182" s="467"/>
      <c r="R182" s="467"/>
      <c r="S182" s="467"/>
      <c r="T182" s="467"/>
      <c r="U182" s="467"/>
      <c r="V182" s="467"/>
      <c r="W182" s="468"/>
    </row>
    <row r="183" spans="1:23" s="470" customFormat="1" ht="30" hidden="1">
      <c r="A183" s="467" t="s">
        <v>264</v>
      </c>
      <c r="B183" s="467">
        <v>192</v>
      </c>
      <c r="C183" s="467" t="s">
        <v>467</v>
      </c>
      <c r="D183" s="467"/>
      <c r="E183" s="468" t="s">
        <v>484</v>
      </c>
      <c r="F183" s="468"/>
      <c r="G183" s="468"/>
      <c r="H183" s="411"/>
      <c r="I183" s="435"/>
      <c r="J183" s="436"/>
      <c r="K183" s="469"/>
      <c r="L183" s="467"/>
      <c r="M183" s="467"/>
      <c r="N183" s="414"/>
      <c r="O183" s="415"/>
      <c r="P183" s="414"/>
      <c r="Q183" s="467"/>
      <c r="R183" s="467"/>
      <c r="S183" s="467"/>
      <c r="T183" s="467"/>
      <c r="U183" s="467"/>
      <c r="V183" s="467"/>
      <c r="W183" s="468"/>
    </row>
    <row r="184" spans="1:23" s="470" customFormat="1" ht="30" hidden="1">
      <c r="A184" s="467" t="s">
        <v>264</v>
      </c>
      <c r="B184" s="467">
        <v>193</v>
      </c>
      <c r="C184" s="467" t="s">
        <v>467</v>
      </c>
      <c r="D184" s="467"/>
      <c r="E184" s="468" t="s">
        <v>485</v>
      </c>
      <c r="F184" s="468"/>
      <c r="G184" s="468"/>
      <c r="H184" s="411"/>
      <c r="I184" s="437"/>
      <c r="J184" s="436"/>
      <c r="K184" s="469"/>
      <c r="L184" s="467"/>
      <c r="M184" s="467"/>
      <c r="N184" s="414"/>
      <c r="O184" s="415"/>
      <c r="P184" s="414"/>
      <c r="Q184" s="467"/>
      <c r="R184" s="467"/>
      <c r="S184" s="467"/>
      <c r="T184" s="467"/>
      <c r="U184" s="467"/>
      <c r="V184" s="467"/>
      <c r="W184" s="468"/>
    </row>
    <row r="185" spans="1:23" s="470" customFormat="1" ht="30" hidden="1">
      <c r="A185" s="467" t="s">
        <v>264</v>
      </c>
      <c r="B185" s="467">
        <v>194</v>
      </c>
      <c r="C185" s="467" t="s">
        <v>467</v>
      </c>
      <c r="D185" s="467"/>
      <c r="E185" s="468" t="s">
        <v>486</v>
      </c>
      <c r="F185" s="468"/>
      <c r="G185" s="468"/>
      <c r="H185" s="411"/>
      <c r="I185" s="437"/>
      <c r="J185" s="436"/>
      <c r="K185" s="469"/>
      <c r="L185" s="467"/>
      <c r="M185" s="467"/>
      <c r="N185" s="414"/>
      <c r="O185" s="415"/>
      <c r="P185" s="414"/>
      <c r="Q185" s="467"/>
      <c r="R185" s="467"/>
      <c r="S185" s="467"/>
      <c r="T185" s="467"/>
      <c r="U185" s="467"/>
      <c r="V185" s="467"/>
      <c r="W185" s="468"/>
    </row>
    <row r="186" spans="1:23" s="470" customFormat="1" ht="30" hidden="1">
      <c r="A186" s="467" t="s">
        <v>264</v>
      </c>
      <c r="B186" s="467">
        <v>195</v>
      </c>
      <c r="C186" s="467" t="s">
        <v>467</v>
      </c>
      <c r="D186" s="467"/>
      <c r="E186" s="468" t="s">
        <v>487</v>
      </c>
      <c r="F186" s="468"/>
      <c r="G186" s="468"/>
      <c r="H186" s="411"/>
      <c r="I186" s="437"/>
      <c r="J186" s="436"/>
      <c r="K186" s="469"/>
      <c r="L186" s="467"/>
      <c r="M186" s="467"/>
      <c r="N186" s="414"/>
      <c r="O186" s="415"/>
      <c r="P186" s="414"/>
      <c r="Q186" s="467"/>
      <c r="R186" s="467"/>
      <c r="S186" s="467"/>
      <c r="T186" s="467"/>
      <c r="U186" s="467"/>
      <c r="V186" s="467"/>
      <c r="W186" s="468"/>
    </row>
    <row r="187" spans="1:23" s="470" customFormat="1" ht="30" hidden="1">
      <c r="A187" s="467" t="s">
        <v>264</v>
      </c>
      <c r="B187" s="467">
        <v>196</v>
      </c>
      <c r="C187" s="467" t="s">
        <v>467</v>
      </c>
      <c r="D187" s="467"/>
      <c r="E187" s="468" t="s">
        <v>488</v>
      </c>
      <c r="F187" s="468"/>
      <c r="G187" s="468"/>
      <c r="H187" s="411"/>
      <c r="I187" s="438"/>
      <c r="J187" s="436"/>
      <c r="K187" s="469"/>
      <c r="L187" s="467"/>
      <c r="M187" s="467"/>
      <c r="N187" s="414"/>
      <c r="O187" s="415"/>
      <c r="P187" s="414"/>
      <c r="Q187" s="467"/>
      <c r="R187" s="467"/>
      <c r="S187" s="467"/>
      <c r="T187" s="467"/>
      <c r="U187" s="467"/>
      <c r="V187" s="467"/>
      <c r="W187" s="468"/>
    </row>
    <row r="188" spans="1:23" s="470" customFormat="1" ht="30" hidden="1">
      <c r="A188" s="467" t="s">
        <v>264</v>
      </c>
      <c r="B188" s="467">
        <v>197</v>
      </c>
      <c r="C188" s="467" t="s">
        <v>467</v>
      </c>
      <c r="D188" s="467"/>
      <c r="E188" s="468" t="s">
        <v>489</v>
      </c>
      <c r="F188" s="468"/>
      <c r="G188" s="468"/>
      <c r="H188" s="439"/>
      <c r="I188" s="437"/>
      <c r="J188" s="436"/>
      <c r="K188" s="469"/>
      <c r="L188" s="467"/>
      <c r="M188" s="467"/>
      <c r="N188" s="414"/>
      <c r="O188" s="415"/>
      <c r="P188" s="414"/>
      <c r="Q188" s="467"/>
      <c r="R188" s="467"/>
      <c r="S188" s="467"/>
      <c r="T188" s="467"/>
      <c r="U188" s="467"/>
      <c r="V188" s="467"/>
      <c r="W188" s="468"/>
    </row>
    <row r="189" spans="1:23" s="470" customFormat="1" ht="30" hidden="1">
      <c r="A189" s="467" t="s">
        <v>264</v>
      </c>
      <c r="B189" s="467">
        <v>198</v>
      </c>
      <c r="C189" s="467" t="s">
        <v>467</v>
      </c>
      <c r="D189" s="467"/>
      <c r="E189" s="468" t="s">
        <v>490</v>
      </c>
      <c r="F189" s="468"/>
      <c r="G189" s="468"/>
      <c r="H189" s="411"/>
      <c r="I189" s="437"/>
      <c r="J189" s="436"/>
      <c r="K189" s="469"/>
      <c r="L189" s="467"/>
      <c r="M189" s="467"/>
      <c r="N189" s="414"/>
      <c r="O189" s="415"/>
      <c r="P189" s="414"/>
      <c r="Q189" s="467"/>
      <c r="R189" s="467"/>
      <c r="S189" s="467"/>
      <c r="T189" s="467"/>
      <c r="U189" s="467"/>
      <c r="V189" s="467"/>
      <c r="W189" s="468"/>
    </row>
    <row r="190" spans="1:23" s="470" customFormat="1" ht="30" hidden="1">
      <c r="A190" s="467" t="s">
        <v>264</v>
      </c>
      <c r="B190" s="467">
        <v>199</v>
      </c>
      <c r="C190" s="467" t="s">
        <v>467</v>
      </c>
      <c r="D190" s="467"/>
      <c r="E190" s="468" t="s">
        <v>491</v>
      </c>
      <c r="F190" s="468"/>
      <c r="G190" s="468"/>
      <c r="H190" s="411"/>
      <c r="I190" s="437"/>
      <c r="J190" s="436"/>
      <c r="K190" s="469"/>
      <c r="L190" s="467"/>
      <c r="M190" s="467"/>
      <c r="N190" s="414"/>
      <c r="O190" s="415"/>
      <c r="P190" s="414"/>
      <c r="Q190" s="467"/>
      <c r="R190" s="467"/>
      <c r="S190" s="467"/>
      <c r="T190" s="467"/>
      <c r="U190" s="467"/>
      <c r="V190" s="467"/>
      <c r="W190" s="468"/>
    </row>
    <row r="191" spans="1:23" s="470" customFormat="1" ht="30" hidden="1">
      <c r="A191" s="467" t="s">
        <v>264</v>
      </c>
      <c r="B191" s="467">
        <v>200</v>
      </c>
      <c r="C191" s="467" t="s">
        <v>467</v>
      </c>
      <c r="D191" s="467"/>
      <c r="E191" s="468" t="s">
        <v>492</v>
      </c>
      <c r="F191" s="468"/>
      <c r="G191" s="468"/>
      <c r="H191" s="411"/>
      <c r="I191" s="437"/>
      <c r="J191" s="436"/>
      <c r="K191" s="469"/>
      <c r="L191" s="467"/>
      <c r="M191" s="467"/>
      <c r="N191" s="414"/>
      <c r="O191" s="415"/>
      <c r="P191" s="414"/>
      <c r="Q191" s="467"/>
      <c r="R191" s="467"/>
      <c r="S191" s="467"/>
      <c r="T191" s="467"/>
      <c r="U191" s="467"/>
      <c r="V191" s="467"/>
      <c r="W191" s="468"/>
    </row>
    <row r="192" spans="1:23" s="470" customFormat="1" ht="30" hidden="1">
      <c r="A192" s="467" t="s">
        <v>264</v>
      </c>
      <c r="B192" s="467">
        <v>201</v>
      </c>
      <c r="C192" s="467" t="s">
        <v>467</v>
      </c>
      <c r="D192" s="467"/>
      <c r="E192" s="468" t="s">
        <v>493</v>
      </c>
      <c r="F192" s="468"/>
      <c r="G192" s="468"/>
      <c r="H192" s="411"/>
      <c r="I192" s="436"/>
      <c r="J192" s="440"/>
      <c r="K192" s="469"/>
      <c r="L192" s="467"/>
      <c r="M192" s="467"/>
      <c r="N192" s="414"/>
      <c r="O192" s="415"/>
      <c r="P192" s="414"/>
      <c r="Q192" s="467"/>
      <c r="R192" s="467"/>
      <c r="S192" s="467"/>
      <c r="T192" s="467"/>
      <c r="U192" s="467"/>
      <c r="V192" s="467"/>
      <c r="W192" s="468"/>
    </row>
    <row r="193" spans="1:23" s="470" customFormat="1" ht="30" hidden="1">
      <c r="A193" s="467" t="s">
        <v>264</v>
      </c>
      <c r="B193" s="467">
        <v>202</v>
      </c>
      <c r="C193" s="467" t="s">
        <v>467</v>
      </c>
      <c r="D193" s="467"/>
      <c r="E193" s="468" t="s">
        <v>494</v>
      </c>
      <c r="F193" s="468"/>
      <c r="G193" s="468"/>
      <c r="H193" s="411"/>
      <c r="I193" s="436"/>
      <c r="J193" s="441"/>
      <c r="K193" s="469"/>
      <c r="L193" s="467"/>
      <c r="M193" s="467"/>
      <c r="N193" s="414"/>
      <c r="O193" s="415"/>
      <c r="P193" s="414"/>
      <c r="Q193" s="467"/>
      <c r="R193" s="467"/>
      <c r="S193" s="467"/>
      <c r="T193" s="467"/>
      <c r="U193" s="467"/>
      <c r="V193" s="467"/>
      <c r="W193" s="468"/>
    </row>
    <row r="194" spans="1:23" s="470" customFormat="1" ht="30" hidden="1">
      <c r="A194" s="467" t="s">
        <v>264</v>
      </c>
      <c r="B194" s="467">
        <v>203</v>
      </c>
      <c r="C194" s="467" t="s">
        <v>467</v>
      </c>
      <c r="D194" s="467"/>
      <c r="E194" s="468" t="s">
        <v>495</v>
      </c>
      <c r="F194" s="468"/>
      <c r="G194" s="468"/>
      <c r="H194" s="411"/>
      <c r="I194" s="436"/>
      <c r="J194" s="441"/>
      <c r="K194" s="467"/>
      <c r="L194" s="467"/>
      <c r="M194" s="467"/>
      <c r="N194" s="414"/>
      <c r="O194" s="415"/>
      <c r="P194" s="414"/>
      <c r="Q194" s="467"/>
      <c r="R194" s="467"/>
      <c r="S194" s="467"/>
      <c r="T194" s="467"/>
      <c r="U194" s="467"/>
      <c r="V194" s="467"/>
      <c r="W194" s="468"/>
    </row>
    <row r="195" spans="1:23" s="470" customFormat="1" ht="30" hidden="1">
      <c r="A195" s="467" t="s">
        <v>264</v>
      </c>
      <c r="B195" s="467">
        <v>204</v>
      </c>
      <c r="C195" s="467" t="s">
        <v>467</v>
      </c>
      <c r="D195" s="467"/>
      <c r="E195" s="468" t="s">
        <v>496</v>
      </c>
      <c r="F195" s="468"/>
      <c r="G195" s="468"/>
      <c r="H195" s="411"/>
      <c r="I195" s="442"/>
      <c r="J195" s="412"/>
      <c r="K195" s="467"/>
      <c r="L195" s="467"/>
      <c r="M195" s="467"/>
      <c r="N195" s="414"/>
      <c r="O195" s="415"/>
      <c r="P195" s="414"/>
      <c r="Q195" s="467"/>
      <c r="R195" s="467"/>
      <c r="S195" s="467"/>
      <c r="T195" s="467"/>
      <c r="U195" s="467"/>
      <c r="V195" s="467"/>
      <c r="W195" s="468"/>
    </row>
    <row r="196" spans="1:23" s="470" customFormat="1" ht="30" hidden="1">
      <c r="A196" s="467" t="s">
        <v>264</v>
      </c>
      <c r="B196" s="467">
        <v>205</v>
      </c>
      <c r="C196" s="467" t="s">
        <v>467</v>
      </c>
      <c r="D196" s="467"/>
      <c r="E196" s="468" t="s">
        <v>497</v>
      </c>
      <c r="F196" s="468"/>
      <c r="G196" s="468"/>
      <c r="H196" s="411"/>
      <c r="I196" s="412"/>
      <c r="J196" s="412"/>
      <c r="K196" s="467"/>
      <c r="L196" s="467"/>
      <c r="M196" s="467"/>
      <c r="N196" s="414"/>
      <c r="O196" s="415"/>
      <c r="P196" s="414"/>
      <c r="Q196" s="467"/>
      <c r="R196" s="467"/>
      <c r="S196" s="467"/>
      <c r="T196" s="467"/>
      <c r="U196" s="467"/>
      <c r="V196" s="467"/>
      <c r="W196" s="468"/>
    </row>
    <row r="197" spans="1:23" s="470" customFormat="1" ht="30" hidden="1">
      <c r="A197" s="467" t="s">
        <v>264</v>
      </c>
      <c r="B197" s="467">
        <v>206</v>
      </c>
      <c r="C197" s="467" t="s">
        <v>467</v>
      </c>
      <c r="D197" s="467"/>
      <c r="E197" s="468" t="s">
        <v>498</v>
      </c>
      <c r="F197" s="468"/>
      <c r="G197" s="468"/>
      <c r="H197" s="411"/>
      <c r="I197" s="412"/>
      <c r="J197" s="412"/>
      <c r="K197" s="467"/>
      <c r="L197" s="467"/>
      <c r="M197" s="467"/>
      <c r="N197" s="414"/>
      <c r="O197" s="415"/>
      <c r="P197" s="414"/>
      <c r="Q197" s="467"/>
      <c r="R197" s="467"/>
      <c r="S197" s="467"/>
      <c r="T197" s="467"/>
      <c r="U197" s="467"/>
      <c r="V197" s="467"/>
      <c r="W197" s="468"/>
    </row>
    <row r="198" spans="1:23" s="470" customFormat="1" ht="30" hidden="1">
      <c r="A198" s="467" t="s">
        <v>264</v>
      </c>
      <c r="B198" s="467">
        <v>207</v>
      </c>
      <c r="C198" s="467" t="s">
        <v>467</v>
      </c>
      <c r="D198" s="467"/>
      <c r="E198" s="468" t="s">
        <v>499</v>
      </c>
      <c r="F198" s="468"/>
      <c r="G198" s="468"/>
      <c r="H198" s="411"/>
      <c r="I198" s="412"/>
      <c r="J198" s="412"/>
      <c r="K198" s="467"/>
      <c r="L198" s="467"/>
      <c r="M198" s="467"/>
      <c r="N198" s="414"/>
      <c r="O198" s="415"/>
      <c r="P198" s="414"/>
      <c r="Q198" s="467"/>
      <c r="R198" s="467"/>
      <c r="S198" s="467"/>
      <c r="T198" s="467"/>
      <c r="U198" s="467"/>
      <c r="V198" s="467"/>
      <c r="W198" s="468"/>
    </row>
    <row r="199" spans="1:23" s="470" customFormat="1" ht="30" hidden="1">
      <c r="A199" s="467" t="s">
        <v>264</v>
      </c>
      <c r="B199" s="467">
        <v>208</v>
      </c>
      <c r="C199" s="467" t="s">
        <v>467</v>
      </c>
      <c r="D199" s="467"/>
      <c r="E199" s="468" t="s">
        <v>500</v>
      </c>
      <c r="F199" s="468"/>
      <c r="G199" s="468"/>
      <c r="H199" s="411"/>
      <c r="I199" s="412"/>
      <c r="J199" s="412"/>
      <c r="K199" s="467"/>
      <c r="L199" s="467"/>
      <c r="M199" s="467"/>
      <c r="N199" s="414"/>
      <c r="O199" s="415"/>
      <c r="P199" s="414"/>
      <c r="Q199" s="467"/>
      <c r="R199" s="467"/>
      <c r="S199" s="467"/>
      <c r="T199" s="467"/>
      <c r="U199" s="467"/>
      <c r="V199" s="467"/>
      <c r="W199" s="468"/>
    </row>
    <row r="200" spans="1:23" s="470" customFormat="1" ht="30" hidden="1">
      <c r="A200" s="467" t="s">
        <v>264</v>
      </c>
      <c r="B200" s="467">
        <v>209</v>
      </c>
      <c r="C200" s="467" t="s">
        <v>467</v>
      </c>
      <c r="D200" s="467"/>
      <c r="E200" s="468" t="s">
        <v>501</v>
      </c>
      <c r="F200" s="468"/>
      <c r="G200" s="468"/>
      <c r="H200" s="411"/>
      <c r="I200" s="412"/>
      <c r="J200" s="412"/>
      <c r="K200" s="467"/>
      <c r="L200" s="467"/>
      <c r="M200" s="467"/>
      <c r="N200" s="414"/>
      <c r="O200" s="415"/>
      <c r="P200" s="414"/>
      <c r="Q200" s="467"/>
      <c r="R200" s="467"/>
      <c r="S200" s="467"/>
      <c r="T200" s="467"/>
      <c r="U200" s="467"/>
      <c r="V200" s="467"/>
      <c r="W200" s="468"/>
    </row>
    <row r="201" spans="1:23" s="470" customFormat="1" ht="30" hidden="1">
      <c r="A201" s="467" t="s">
        <v>264</v>
      </c>
      <c r="B201" s="467">
        <v>210</v>
      </c>
      <c r="C201" s="467" t="s">
        <v>467</v>
      </c>
      <c r="D201" s="467"/>
      <c r="E201" s="468" t="s">
        <v>502</v>
      </c>
      <c r="F201" s="468"/>
      <c r="G201" s="468"/>
      <c r="H201" s="411"/>
      <c r="I201" s="412"/>
      <c r="J201" s="412"/>
      <c r="K201" s="467"/>
      <c r="L201" s="467"/>
      <c r="M201" s="467"/>
      <c r="N201" s="414"/>
      <c r="O201" s="415"/>
      <c r="P201" s="414"/>
      <c r="Q201" s="467"/>
      <c r="R201" s="467"/>
      <c r="S201" s="467"/>
      <c r="T201" s="467"/>
      <c r="U201" s="467"/>
      <c r="V201" s="467"/>
      <c r="W201" s="468"/>
    </row>
    <row r="202" spans="1:23" s="470" customFormat="1" ht="30" hidden="1">
      <c r="A202" s="467" t="s">
        <v>264</v>
      </c>
      <c r="B202" s="467">
        <v>211</v>
      </c>
      <c r="C202" s="467" t="s">
        <v>467</v>
      </c>
      <c r="D202" s="467"/>
      <c r="E202" s="468" t="s">
        <v>503</v>
      </c>
      <c r="F202" s="468"/>
      <c r="G202" s="468"/>
      <c r="H202" s="411"/>
      <c r="I202" s="412"/>
      <c r="J202" s="412"/>
      <c r="K202" s="467"/>
      <c r="L202" s="467"/>
      <c r="M202" s="467"/>
      <c r="N202" s="414"/>
      <c r="O202" s="415"/>
      <c r="P202" s="414"/>
      <c r="Q202" s="467"/>
      <c r="R202" s="467"/>
      <c r="S202" s="467"/>
      <c r="T202" s="467"/>
      <c r="U202" s="467"/>
      <c r="V202" s="467"/>
      <c r="W202" s="468"/>
    </row>
    <row r="203" spans="1:23" s="470" customFormat="1" ht="30" hidden="1">
      <c r="A203" s="467" t="s">
        <v>264</v>
      </c>
      <c r="B203" s="467">
        <v>212</v>
      </c>
      <c r="C203" s="467" t="s">
        <v>467</v>
      </c>
      <c r="D203" s="467"/>
      <c r="E203" s="468" t="s">
        <v>504</v>
      </c>
      <c r="F203" s="468"/>
      <c r="G203" s="468"/>
      <c r="H203" s="411"/>
      <c r="I203" s="412"/>
      <c r="J203" s="412"/>
      <c r="K203" s="467"/>
      <c r="L203" s="467"/>
      <c r="M203" s="467"/>
      <c r="N203" s="414"/>
      <c r="O203" s="415"/>
      <c r="P203" s="414"/>
      <c r="Q203" s="467"/>
      <c r="R203" s="467"/>
      <c r="S203" s="467"/>
      <c r="T203" s="467"/>
      <c r="U203" s="467"/>
      <c r="V203" s="467"/>
      <c r="W203" s="468"/>
    </row>
    <row r="204" spans="1:23" s="470" customFormat="1" ht="30" hidden="1">
      <c r="A204" s="467" t="s">
        <v>264</v>
      </c>
      <c r="B204" s="467">
        <v>213</v>
      </c>
      <c r="C204" s="467" t="s">
        <v>467</v>
      </c>
      <c r="D204" s="467"/>
      <c r="E204" s="468" t="s">
        <v>505</v>
      </c>
      <c r="F204" s="468"/>
      <c r="G204" s="468"/>
      <c r="H204" s="411"/>
      <c r="I204" s="412"/>
      <c r="J204" s="412"/>
      <c r="K204" s="467"/>
      <c r="L204" s="467"/>
      <c r="M204" s="467"/>
      <c r="N204" s="414"/>
      <c r="O204" s="415"/>
      <c r="P204" s="414"/>
      <c r="Q204" s="467"/>
      <c r="R204" s="467"/>
      <c r="S204" s="467"/>
      <c r="T204" s="467"/>
      <c r="U204" s="467"/>
      <c r="V204" s="467"/>
      <c r="W204" s="468"/>
    </row>
    <row r="205" spans="1:23" s="470" customFormat="1" ht="30" hidden="1">
      <c r="A205" s="467" t="s">
        <v>264</v>
      </c>
      <c r="B205" s="467">
        <v>214</v>
      </c>
      <c r="C205" s="467" t="s">
        <v>467</v>
      </c>
      <c r="D205" s="467"/>
      <c r="E205" s="468" t="s">
        <v>506</v>
      </c>
      <c r="F205" s="468"/>
      <c r="G205" s="468"/>
      <c r="H205" s="411"/>
      <c r="I205" s="443"/>
      <c r="J205" s="412"/>
      <c r="K205" s="467"/>
      <c r="L205" s="467"/>
      <c r="M205" s="467"/>
      <c r="N205" s="414"/>
      <c r="O205" s="415"/>
      <c r="P205" s="414"/>
      <c r="Q205" s="467"/>
      <c r="R205" s="467"/>
      <c r="S205" s="467"/>
      <c r="T205" s="467"/>
      <c r="U205" s="467"/>
      <c r="V205" s="467"/>
      <c r="W205" s="468"/>
    </row>
    <row r="206" spans="1:23" s="470" customFormat="1" ht="30" hidden="1">
      <c r="A206" s="467" t="s">
        <v>264</v>
      </c>
      <c r="B206" s="467">
        <v>215</v>
      </c>
      <c r="C206" s="467" t="s">
        <v>467</v>
      </c>
      <c r="D206" s="467"/>
      <c r="E206" s="468" t="s">
        <v>507</v>
      </c>
      <c r="F206" s="468"/>
      <c r="G206" s="468"/>
      <c r="H206" s="411"/>
      <c r="I206" s="412"/>
      <c r="J206" s="412"/>
      <c r="K206" s="467"/>
      <c r="L206" s="467"/>
      <c r="M206" s="467"/>
      <c r="N206" s="414"/>
      <c r="O206" s="415"/>
      <c r="P206" s="414"/>
      <c r="Q206" s="467"/>
      <c r="R206" s="467"/>
      <c r="S206" s="467"/>
      <c r="T206" s="467"/>
      <c r="U206" s="467"/>
      <c r="V206" s="467"/>
      <c r="W206" s="468"/>
    </row>
    <row r="207" spans="1:23" s="470" customFormat="1" ht="30" hidden="1">
      <c r="A207" s="467" t="s">
        <v>264</v>
      </c>
      <c r="B207" s="467">
        <v>216</v>
      </c>
      <c r="C207" s="467" t="s">
        <v>467</v>
      </c>
      <c r="D207" s="467"/>
      <c r="E207" s="468" t="s">
        <v>508</v>
      </c>
      <c r="F207" s="468"/>
      <c r="G207" s="468"/>
      <c r="H207" s="411"/>
      <c r="I207" s="412"/>
      <c r="J207" s="412"/>
      <c r="K207" s="467"/>
      <c r="L207" s="467"/>
      <c r="M207" s="467"/>
      <c r="N207" s="414"/>
      <c r="O207" s="415"/>
      <c r="P207" s="414"/>
      <c r="Q207" s="467"/>
      <c r="R207" s="467"/>
      <c r="S207" s="467"/>
      <c r="T207" s="467"/>
      <c r="U207" s="467"/>
      <c r="V207" s="467"/>
      <c r="W207" s="468"/>
    </row>
    <row r="208" spans="1:23" s="470" customFormat="1" ht="30" hidden="1">
      <c r="A208" s="467" t="s">
        <v>264</v>
      </c>
      <c r="B208" s="467">
        <v>217</v>
      </c>
      <c r="C208" s="467" t="s">
        <v>467</v>
      </c>
      <c r="D208" s="467"/>
      <c r="E208" s="468" t="s">
        <v>509</v>
      </c>
      <c r="F208" s="468"/>
      <c r="G208" s="468"/>
      <c r="H208" s="411"/>
      <c r="I208" s="412"/>
      <c r="J208" s="412"/>
      <c r="K208" s="467"/>
      <c r="L208" s="467"/>
      <c r="M208" s="467"/>
      <c r="N208" s="414"/>
      <c r="O208" s="415"/>
      <c r="P208" s="414"/>
      <c r="Q208" s="467"/>
      <c r="R208" s="467"/>
      <c r="S208" s="467"/>
      <c r="T208" s="467"/>
      <c r="U208" s="467"/>
      <c r="V208" s="467"/>
      <c r="W208" s="468"/>
    </row>
    <row r="209" spans="1:23" s="470" customFormat="1" ht="30" hidden="1">
      <c r="A209" s="467" t="s">
        <v>264</v>
      </c>
      <c r="B209" s="467">
        <v>218</v>
      </c>
      <c r="C209" s="467" t="s">
        <v>467</v>
      </c>
      <c r="D209" s="467"/>
      <c r="E209" s="468" t="s">
        <v>510</v>
      </c>
      <c r="F209" s="468"/>
      <c r="G209" s="468"/>
      <c r="H209" s="411"/>
      <c r="I209" s="412"/>
      <c r="J209" s="412"/>
      <c r="K209" s="467"/>
      <c r="L209" s="467"/>
      <c r="M209" s="467"/>
      <c r="N209" s="414"/>
      <c r="O209" s="415"/>
      <c r="P209" s="414"/>
      <c r="Q209" s="467"/>
      <c r="R209" s="467"/>
      <c r="S209" s="467"/>
      <c r="T209" s="467"/>
      <c r="U209" s="467"/>
      <c r="V209" s="467"/>
      <c r="W209" s="468"/>
    </row>
    <row r="210" spans="1:23" s="470" customFormat="1" ht="30" hidden="1">
      <c r="A210" s="467" t="s">
        <v>264</v>
      </c>
      <c r="B210" s="467">
        <v>219</v>
      </c>
      <c r="C210" s="467" t="s">
        <v>467</v>
      </c>
      <c r="D210" s="467"/>
      <c r="E210" s="468" t="s">
        <v>511</v>
      </c>
      <c r="F210" s="468"/>
      <c r="G210" s="468"/>
      <c r="H210" s="411"/>
      <c r="I210" s="412"/>
      <c r="J210" s="412"/>
      <c r="K210" s="467"/>
      <c r="L210" s="467"/>
      <c r="M210" s="467"/>
      <c r="N210" s="414"/>
      <c r="O210" s="415"/>
      <c r="P210" s="414"/>
      <c r="Q210" s="467"/>
      <c r="R210" s="467"/>
      <c r="S210" s="467"/>
      <c r="T210" s="467"/>
      <c r="U210" s="467"/>
      <c r="V210" s="467"/>
      <c r="W210" s="468"/>
    </row>
    <row r="211" spans="1:23" s="470" customFormat="1" ht="30" hidden="1">
      <c r="A211" s="467" t="s">
        <v>264</v>
      </c>
      <c r="B211" s="467">
        <v>220</v>
      </c>
      <c r="C211" s="467" t="s">
        <v>467</v>
      </c>
      <c r="D211" s="467"/>
      <c r="E211" s="468" t="s">
        <v>512</v>
      </c>
      <c r="F211" s="468"/>
      <c r="G211" s="468"/>
      <c r="H211" s="411"/>
      <c r="I211" s="412"/>
      <c r="J211" s="412"/>
      <c r="K211" s="467"/>
      <c r="L211" s="467"/>
      <c r="M211" s="467"/>
      <c r="N211" s="414"/>
      <c r="O211" s="415"/>
      <c r="P211" s="414"/>
      <c r="Q211" s="467"/>
      <c r="R211" s="467"/>
      <c r="S211" s="467"/>
      <c r="T211" s="467"/>
      <c r="U211" s="467"/>
      <c r="V211" s="467"/>
      <c r="W211" s="468"/>
    </row>
    <row r="212" spans="1:23" s="470" customFormat="1" ht="30" hidden="1">
      <c r="A212" s="467" t="s">
        <v>264</v>
      </c>
      <c r="B212" s="467">
        <v>221</v>
      </c>
      <c r="C212" s="467" t="s">
        <v>467</v>
      </c>
      <c r="D212" s="467"/>
      <c r="E212" s="468" t="s">
        <v>513</v>
      </c>
      <c r="F212" s="468"/>
      <c r="G212" s="468"/>
      <c r="H212" s="411"/>
      <c r="I212" s="412"/>
      <c r="J212" s="412"/>
      <c r="K212" s="467"/>
      <c r="L212" s="467"/>
      <c r="M212" s="467"/>
      <c r="N212" s="414"/>
      <c r="O212" s="415"/>
      <c r="P212" s="414"/>
      <c r="Q212" s="467"/>
      <c r="R212" s="467"/>
      <c r="S212" s="467"/>
      <c r="T212" s="467"/>
      <c r="U212" s="467"/>
      <c r="V212" s="467"/>
      <c r="W212" s="468"/>
    </row>
    <row r="213" spans="1:23" s="470" customFormat="1" ht="30" hidden="1">
      <c r="A213" s="467" t="s">
        <v>264</v>
      </c>
      <c r="B213" s="467">
        <v>222</v>
      </c>
      <c r="C213" s="467" t="s">
        <v>467</v>
      </c>
      <c r="D213" s="467"/>
      <c r="E213" s="468" t="s">
        <v>514</v>
      </c>
      <c r="F213" s="468"/>
      <c r="G213" s="468"/>
      <c r="H213" s="411"/>
      <c r="I213" s="412"/>
      <c r="J213" s="412"/>
      <c r="K213" s="467"/>
      <c r="L213" s="467"/>
      <c r="M213" s="467"/>
      <c r="N213" s="414"/>
      <c r="O213" s="415"/>
      <c r="P213" s="414"/>
      <c r="Q213" s="467"/>
      <c r="R213" s="467"/>
      <c r="S213" s="467"/>
      <c r="T213" s="467"/>
      <c r="U213" s="467"/>
      <c r="V213" s="467"/>
      <c r="W213" s="468"/>
    </row>
    <row r="214" spans="1:23" s="470" customFormat="1" ht="30" hidden="1">
      <c r="A214" s="467" t="s">
        <v>264</v>
      </c>
      <c r="B214" s="467">
        <v>223</v>
      </c>
      <c r="C214" s="467" t="s">
        <v>467</v>
      </c>
      <c r="D214" s="467"/>
      <c r="E214" s="468" t="s">
        <v>515</v>
      </c>
      <c r="F214" s="468"/>
      <c r="G214" s="468"/>
      <c r="H214" s="411"/>
      <c r="I214" s="412"/>
      <c r="J214" s="412"/>
      <c r="K214" s="467"/>
      <c r="L214" s="467"/>
      <c r="M214" s="467"/>
      <c r="N214" s="414"/>
      <c r="O214" s="415"/>
      <c r="P214" s="414"/>
      <c r="Q214" s="467"/>
      <c r="R214" s="467"/>
      <c r="S214" s="467"/>
      <c r="T214" s="467"/>
      <c r="U214" s="467"/>
      <c r="V214" s="467"/>
      <c r="W214" s="468"/>
    </row>
    <row r="215" spans="1:23" s="470" customFormat="1" ht="30" hidden="1">
      <c r="A215" s="467" t="s">
        <v>264</v>
      </c>
      <c r="B215" s="467">
        <v>224</v>
      </c>
      <c r="C215" s="467" t="s">
        <v>467</v>
      </c>
      <c r="D215" s="467"/>
      <c r="E215" s="468" t="s">
        <v>516</v>
      </c>
      <c r="F215" s="468"/>
      <c r="G215" s="468"/>
      <c r="H215" s="411"/>
      <c r="I215" s="412"/>
      <c r="J215" s="412"/>
      <c r="K215" s="467"/>
      <c r="L215" s="467"/>
      <c r="M215" s="467"/>
      <c r="N215" s="414"/>
      <c r="O215" s="415"/>
      <c r="P215" s="414"/>
      <c r="Q215" s="467"/>
      <c r="R215" s="467"/>
      <c r="S215" s="467"/>
      <c r="T215" s="467"/>
      <c r="U215" s="467"/>
      <c r="V215" s="467"/>
      <c r="W215" s="468"/>
    </row>
    <row r="216" spans="1:23" s="470" customFormat="1" ht="30" hidden="1">
      <c r="A216" s="467" t="s">
        <v>264</v>
      </c>
      <c r="B216" s="467">
        <v>225</v>
      </c>
      <c r="C216" s="467" t="s">
        <v>467</v>
      </c>
      <c r="D216" s="467"/>
      <c r="E216" s="468" t="s">
        <v>517</v>
      </c>
      <c r="F216" s="468"/>
      <c r="G216" s="468"/>
      <c r="H216" s="411"/>
      <c r="I216" s="412"/>
      <c r="J216" s="412"/>
      <c r="K216" s="467"/>
      <c r="L216" s="467"/>
      <c r="M216" s="467"/>
      <c r="N216" s="414"/>
      <c r="O216" s="415"/>
      <c r="P216" s="414"/>
      <c r="Q216" s="467"/>
      <c r="R216" s="467"/>
      <c r="S216" s="467"/>
      <c r="T216" s="467"/>
      <c r="U216" s="467"/>
      <c r="V216" s="467"/>
      <c r="W216" s="468"/>
    </row>
    <row r="217" spans="1:23" s="470" customFormat="1" ht="30" hidden="1">
      <c r="A217" s="467" t="s">
        <v>264</v>
      </c>
      <c r="B217" s="467">
        <v>226</v>
      </c>
      <c r="C217" s="467" t="s">
        <v>467</v>
      </c>
      <c r="D217" s="467"/>
      <c r="E217" s="468" t="s">
        <v>518</v>
      </c>
      <c r="F217" s="468"/>
      <c r="G217" s="468"/>
      <c r="H217" s="411"/>
      <c r="I217" s="412"/>
      <c r="J217" s="412"/>
      <c r="K217" s="467"/>
      <c r="L217" s="467"/>
      <c r="M217" s="467"/>
      <c r="N217" s="414"/>
      <c r="O217" s="415"/>
      <c r="P217" s="414"/>
      <c r="Q217" s="467"/>
      <c r="R217" s="467"/>
      <c r="S217" s="467"/>
      <c r="T217" s="467"/>
      <c r="U217" s="467"/>
      <c r="V217" s="467"/>
      <c r="W217" s="468"/>
    </row>
    <row r="218" spans="1:23" s="470" customFormat="1" ht="30" hidden="1">
      <c r="A218" s="467" t="s">
        <v>264</v>
      </c>
      <c r="B218" s="467">
        <v>227</v>
      </c>
      <c r="C218" s="467" t="s">
        <v>467</v>
      </c>
      <c r="D218" s="467"/>
      <c r="E218" s="468" t="s">
        <v>519</v>
      </c>
      <c r="F218" s="468"/>
      <c r="G218" s="468"/>
      <c r="H218" s="411"/>
      <c r="I218" s="412"/>
      <c r="J218" s="412"/>
      <c r="K218" s="467"/>
      <c r="L218" s="467"/>
      <c r="M218" s="467"/>
      <c r="N218" s="414"/>
      <c r="O218" s="415"/>
      <c r="P218" s="414"/>
      <c r="Q218" s="467"/>
      <c r="R218" s="467"/>
      <c r="S218" s="467"/>
      <c r="T218" s="467"/>
      <c r="U218" s="467"/>
      <c r="V218" s="467"/>
      <c r="W218" s="468"/>
    </row>
    <row r="219" spans="1:23" s="470" customFormat="1" ht="30" hidden="1">
      <c r="A219" s="467" t="s">
        <v>264</v>
      </c>
      <c r="B219" s="467">
        <v>228</v>
      </c>
      <c r="C219" s="467" t="s">
        <v>467</v>
      </c>
      <c r="D219" s="467"/>
      <c r="E219" s="468" t="s">
        <v>520</v>
      </c>
      <c r="F219" s="468"/>
      <c r="G219" s="468"/>
      <c r="H219" s="411"/>
      <c r="I219" s="412"/>
      <c r="J219" s="412"/>
      <c r="K219" s="467"/>
      <c r="L219" s="467"/>
      <c r="M219" s="467"/>
      <c r="N219" s="414"/>
      <c r="O219" s="415"/>
      <c r="P219" s="414"/>
      <c r="Q219" s="467"/>
      <c r="R219" s="467"/>
      <c r="S219" s="467"/>
      <c r="T219" s="467"/>
      <c r="U219" s="467"/>
      <c r="V219" s="467"/>
      <c r="W219" s="468"/>
    </row>
    <row r="220" spans="1:23" s="470" customFormat="1" ht="30" hidden="1">
      <c r="A220" s="467" t="s">
        <v>264</v>
      </c>
      <c r="B220" s="467">
        <v>229</v>
      </c>
      <c r="C220" s="467" t="s">
        <v>467</v>
      </c>
      <c r="D220" s="467"/>
      <c r="E220" s="468" t="s">
        <v>521</v>
      </c>
      <c r="F220" s="468"/>
      <c r="G220" s="468"/>
      <c r="H220" s="411"/>
      <c r="I220" s="412"/>
      <c r="J220" s="412"/>
      <c r="K220" s="467"/>
      <c r="L220" s="467"/>
      <c r="M220" s="467"/>
      <c r="N220" s="414"/>
      <c r="O220" s="415"/>
      <c r="P220" s="414"/>
      <c r="Q220" s="467"/>
      <c r="R220" s="467"/>
      <c r="S220" s="467"/>
      <c r="T220" s="467"/>
      <c r="U220" s="467"/>
      <c r="V220" s="467"/>
      <c r="W220" s="468"/>
    </row>
    <row r="221" spans="1:23" s="470" customFormat="1" ht="30" hidden="1">
      <c r="A221" s="467" t="s">
        <v>264</v>
      </c>
      <c r="B221" s="467">
        <v>230</v>
      </c>
      <c r="C221" s="467" t="s">
        <v>467</v>
      </c>
      <c r="D221" s="467" t="s">
        <v>167</v>
      </c>
      <c r="E221" s="468" t="s">
        <v>522</v>
      </c>
      <c r="F221" s="468" t="s">
        <v>523</v>
      </c>
      <c r="G221" s="468" t="s">
        <v>280</v>
      </c>
      <c r="H221" s="281"/>
      <c r="I221" s="425" t="s">
        <v>253</v>
      </c>
      <c r="J221" s="425"/>
      <c r="K221" s="467" t="s">
        <v>253</v>
      </c>
      <c r="L221" s="467"/>
      <c r="M221" s="467"/>
      <c r="N221" s="427" t="s">
        <v>253</v>
      </c>
      <c r="O221" s="428"/>
      <c r="P221" s="427"/>
      <c r="Q221" s="467"/>
      <c r="R221" s="467"/>
      <c r="S221" s="467"/>
      <c r="T221" s="467"/>
      <c r="U221" s="467"/>
      <c r="V221" s="467"/>
      <c r="W221" s="468"/>
    </row>
    <row r="222" spans="1:23" s="470" customFormat="1" ht="30" hidden="1">
      <c r="A222" s="467" t="s">
        <v>264</v>
      </c>
      <c r="B222" s="467">
        <v>231</v>
      </c>
      <c r="C222" s="467" t="s">
        <v>467</v>
      </c>
      <c r="D222" s="467" t="s">
        <v>167</v>
      </c>
      <c r="E222" s="468" t="s">
        <v>524</v>
      </c>
      <c r="F222" s="468" t="s">
        <v>523</v>
      </c>
      <c r="G222" s="468" t="s">
        <v>280</v>
      </c>
      <c r="H222" s="281"/>
      <c r="I222" s="425" t="s">
        <v>253</v>
      </c>
      <c r="J222" s="425"/>
      <c r="K222" s="467" t="s">
        <v>253</v>
      </c>
      <c r="L222" s="467"/>
      <c r="M222" s="467"/>
      <c r="N222" s="427" t="s">
        <v>253</v>
      </c>
      <c r="O222" s="428"/>
      <c r="P222" s="427"/>
      <c r="Q222" s="467"/>
      <c r="R222" s="467"/>
      <c r="S222" s="467"/>
      <c r="T222" s="467"/>
      <c r="U222" s="467"/>
      <c r="V222" s="467"/>
      <c r="W222" s="468"/>
    </row>
    <row r="223" spans="1:23" s="470" customFormat="1" ht="30" hidden="1">
      <c r="A223" s="467" t="s">
        <v>264</v>
      </c>
      <c r="B223" s="467">
        <v>232</v>
      </c>
      <c r="C223" s="467" t="s">
        <v>467</v>
      </c>
      <c r="D223" s="467" t="s">
        <v>167</v>
      </c>
      <c r="E223" s="468" t="s">
        <v>525</v>
      </c>
      <c r="F223" s="468" t="s">
        <v>523</v>
      </c>
      <c r="G223" s="468" t="s">
        <v>280</v>
      </c>
      <c r="H223" s="281" t="s">
        <v>526</v>
      </c>
      <c r="I223" s="425" t="s">
        <v>253</v>
      </c>
      <c r="J223" s="425"/>
      <c r="K223" s="467" t="s">
        <v>253</v>
      </c>
      <c r="L223" s="467"/>
      <c r="M223" s="467"/>
      <c r="N223" s="427" t="s">
        <v>253</v>
      </c>
      <c r="O223" s="428"/>
      <c r="P223" s="427"/>
      <c r="Q223" s="467"/>
      <c r="R223" s="467"/>
      <c r="S223" s="467"/>
      <c r="T223" s="467"/>
      <c r="U223" s="467"/>
      <c r="V223" s="467"/>
      <c r="W223" s="468"/>
    </row>
    <row r="224" spans="1:23" ht="45">
      <c r="A224" s="423" t="s">
        <v>264</v>
      </c>
      <c r="B224" s="423">
        <v>233</v>
      </c>
      <c r="C224" s="423" t="s">
        <v>527</v>
      </c>
      <c r="D224" s="423" t="s">
        <v>167</v>
      </c>
      <c r="E224" s="432" t="s">
        <v>528</v>
      </c>
      <c r="F224" s="424" t="s">
        <v>523</v>
      </c>
      <c r="G224" s="424" t="s">
        <v>280</v>
      </c>
      <c r="H224" s="277" t="s">
        <v>529</v>
      </c>
      <c r="I224" s="78" t="s">
        <v>253</v>
      </c>
      <c r="J224" s="78"/>
      <c r="K224" s="426" t="s">
        <v>253</v>
      </c>
      <c r="L224" s="427" t="s">
        <v>47</v>
      </c>
      <c r="M224" s="427" t="s">
        <v>530</v>
      </c>
      <c r="N224" s="80" t="s">
        <v>253</v>
      </c>
      <c r="O224" s="217"/>
      <c r="P224" s="80"/>
      <c r="Q224" s="397"/>
      <c r="R224" s="398"/>
      <c r="S224" s="399"/>
      <c r="T224" s="400"/>
      <c r="U224" s="401"/>
      <c r="V224" s="402"/>
      <c r="W224" s="47"/>
    </row>
    <row r="225" spans="1:23" ht="45">
      <c r="A225" s="423" t="s">
        <v>264</v>
      </c>
      <c r="B225" s="423">
        <v>234</v>
      </c>
      <c r="C225" s="423" t="s">
        <v>527</v>
      </c>
      <c r="D225" s="423" t="s">
        <v>167</v>
      </c>
      <c r="E225" s="432" t="s">
        <v>531</v>
      </c>
      <c r="F225" s="424" t="s">
        <v>523</v>
      </c>
      <c r="G225" s="424" t="s">
        <v>280</v>
      </c>
      <c r="H225" s="277" t="s">
        <v>532</v>
      </c>
      <c r="I225" s="78" t="s">
        <v>253</v>
      </c>
      <c r="J225" s="78"/>
      <c r="K225" s="426" t="s">
        <v>253</v>
      </c>
      <c r="L225" s="427" t="s">
        <v>47</v>
      </c>
      <c r="M225" s="427" t="s">
        <v>530</v>
      </c>
      <c r="N225" s="80" t="s">
        <v>253</v>
      </c>
      <c r="O225" s="217"/>
      <c r="P225" s="80"/>
      <c r="Q225" s="397"/>
      <c r="R225" s="398"/>
      <c r="S225" s="399"/>
      <c r="T225" s="400"/>
      <c r="U225" s="401"/>
      <c r="V225" s="402"/>
      <c r="W225" s="47"/>
    </row>
    <row r="226" spans="1:23" ht="45">
      <c r="A226" s="423" t="s">
        <v>264</v>
      </c>
      <c r="B226" s="423">
        <v>235</v>
      </c>
      <c r="C226" s="423" t="s">
        <v>527</v>
      </c>
      <c r="D226" s="423" t="s">
        <v>167</v>
      </c>
      <c r="E226" s="432" t="s">
        <v>533</v>
      </c>
      <c r="F226" s="424" t="s">
        <v>523</v>
      </c>
      <c r="G226" s="424" t="s">
        <v>280</v>
      </c>
      <c r="H226" s="277" t="s">
        <v>534</v>
      </c>
      <c r="I226" s="78" t="s">
        <v>253</v>
      </c>
      <c r="J226" s="78"/>
      <c r="K226" s="426" t="s">
        <v>253</v>
      </c>
      <c r="L226" s="427" t="s">
        <v>47</v>
      </c>
      <c r="M226" s="427" t="s">
        <v>530</v>
      </c>
      <c r="N226" s="80" t="s">
        <v>253</v>
      </c>
      <c r="O226" s="217"/>
      <c r="P226" s="80"/>
      <c r="Q226" s="397"/>
      <c r="R226" s="398"/>
      <c r="S226" s="399"/>
      <c r="T226" s="400"/>
      <c r="U226" s="401"/>
      <c r="V226" s="402"/>
      <c r="W226" s="47"/>
    </row>
    <row r="227" spans="1:23" ht="45">
      <c r="A227" s="423" t="s">
        <v>264</v>
      </c>
      <c r="B227" s="423">
        <v>236</v>
      </c>
      <c r="C227" s="423" t="s">
        <v>527</v>
      </c>
      <c r="D227" s="423" t="s">
        <v>167</v>
      </c>
      <c r="E227" s="432" t="s">
        <v>535</v>
      </c>
      <c r="F227" s="424" t="s">
        <v>523</v>
      </c>
      <c r="G227" s="424" t="s">
        <v>280</v>
      </c>
      <c r="H227" s="277" t="s">
        <v>536</v>
      </c>
      <c r="I227" s="78" t="s">
        <v>253</v>
      </c>
      <c r="J227" s="78"/>
      <c r="K227" s="426" t="s">
        <v>253</v>
      </c>
      <c r="L227" s="427" t="s">
        <v>47</v>
      </c>
      <c r="M227" s="427" t="s">
        <v>530</v>
      </c>
      <c r="N227" s="80" t="s">
        <v>253</v>
      </c>
      <c r="O227" s="217"/>
      <c r="P227" s="80"/>
      <c r="Q227" s="397"/>
      <c r="R227" s="398"/>
      <c r="S227" s="399"/>
      <c r="T227" s="400"/>
      <c r="U227" s="401"/>
      <c r="V227" s="402"/>
      <c r="W227" s="47"/>
    </row>
    <row r="228" spans="1:23" ht="45">
      <c r="A228" s="423" t="s">
        <v>264</v>
      </c>
      <c r="B228" s="423">
        <v>237</v>
      </c>
      <c r="C228" s="423" t="s">
        <v>527</v>
      </c>
      <c r="D228" s="423" t="s">
        <v>167</v>
      </c>
      <c r="E228" s="432" t="s">
        <v>537</v>
      </c>
      <c r="F228" s="424" t="s">
        <v>523</v>
      </c>
      <c r="G228" s="424" t="s">
        <v>280</v>
      </c>
      <c r="H228" s="277">
        <v>1081006</v>
      </c>
      <c r="I228" s="78" t="s">
        <v>253</v>
      </c>
      <c r="J228" s="78"/>
      <c r="K228" s="426" t="s">
        <v>253</v>
      </c>
      <c r="L228" s="427" t="s">
        <v>14</v>
      </c>
      <c r="M228" s="427" t="s">
        <v>530</v>
      </c>
      <c r="N228" s="80" t="s">
        <v>253</v>
      </c>
      <c r="O228" s="217"/>
      <c r="P228" s="80"/>
      <c r="Q228" s="397"/>
      <c r="R228" s="398"/>
      <c r="S228" s="399"/>
      <c r="T228" s="400"/>
      <c r="U228" s="401"/>
      <c r="V228" s="402"/>
      <c r="W228" s="47"/>
    </row>
    <row r="229" spans="1:23" ht="45">
      <c r="A229" s="423" t="s">
        <v>264</v>
      </c>
      <c r="B229" s="423">
        <v>238</v>
      </c>
      <c r="C229" s="423" t="s">
        <v>527</v>
      </c>
      <c r="D229" s="423" t="s">
        <v>167</v>
      </c>
      <c r="E229" s="432" t="s">
        <v>538</v>
      </c>
      <c r="F229" s="424" t="s">
        <v>523</v>
      </c>
      <c r="G229" s="424" t="s">
        <v>280</v>
      </c>
      <c r="H229" s="277"/>
      <c r="I229" s="78" t="s">
        <v>253</v>
      </c>
      <c r="J229" s="78"/>
      <c r="K229" s="426" t="s">
        <v>253</v>
      </c>
      <c r="L229" s="427"/>
      <c r="M229" s="427" t="s">
        <v>530</v>
      </c>
      <c r="N229" s="80" t="s">
        <v>253</v>
      </c>
      <c r="O229" s="217"/>
      <c r="P229" s="80"/>
      <c r="Q229" s="397"/>
      <c r="R229" s="398"/>
      <c r="S229" s="399"/>
      <c r="T229" s="400"/>
      <c r="U229" s="401"/>
      <c r="V229" s="402"/>
      <c r="W229" s="47"/>
    </row>
    <row r="230" spans="1:23" ht="45">
      <c r="A230" s="423" t="s">
        <v>264</v>
      </c>
      <c r="B230" s="423">
        <v>239</v>
      </c>
      <c r="C230" s="423" t="s">
        <v>527</v>
      </c>
      <c r="D230" s="423" t="s">
        <v>167</v>
      </c>
      <c r="E230" s="432" t="s">
        <v>539</v>
      </c>
      <c r="F230" s="424" t="s">
        <v>523</v>
      </c>
      <c r="G230" s="424" t="s">
        <v>280</v>
      </c>
      <c r="H230" s="277" t="s">
        <v>540</v>
      </c>
      <c r="I230" s="78" t="s">
        <v>253</v>
      </c>
      <c r="J230" s="78"/>
      <c r="K230" s="426" t="s">
        <v>253</v>
      </c>
      <c r="L230" s="427" t="s">
        <v>19</v>
      </c>
      <c r="M230" s="427" t="s">
        <v>530</v>
      </c>
      <c r="N230" s="80" t="s">
        <v>253</v>
      </c>
      <c r="O230" s="217"/>
      <c r="P230" s="80"/>
      <c r="Q230" s="397"/>
      <c r="R230" s="398"/>
      <c r="S230" s="399"/>
      <c r="T230" s="400"/>
      <c r="U230" s="401"/>
      <c r="V230" s="402"/>
      <c r="W230" s="47"/>
    </row>
    <row r="231" spans="1:23" ht="45">
      <c r="A231" s="423" t="s">
        <v>264</v>
      </c>
      <c r="B231" s="423">
        <v>240</v>
      </c>
      <c r="C231" s="423" t="s">
        <v>527</v>
      </c>
      <c r="D231" s="423" t="s">
        <v>167</v>
      </c>
      <c r="E231" s="432" t="s">
        <v>541</v>
      </c>
      <c r="F231" s="424" t="s">
        <v>523</v>
      </c>
      <c r="G231" s="424" t="s">
        <v>280</v>
      </c>
      <c r="H231" s="277" t="s">
        <v>542</v>
      </c>
      <c r="I231" s="78" t="s">
        <v>253</v>
      </c>
      <c r="J231" s="78"/>
      <c r="K231" s="426" t="s">
        <v>253</v>
      </c>
      <c r="L231" s="427" t="s">
        <v>543</v>
      </c>
      <c r="M231" s="427" t="s">
        <v>530</v>
      </c>
      <c r="N231" s="80" t="s">
        <v>253</v>
      </c>
      <c r="O231" s="217"/>
      <c r="P231" s="80"/>
      <c r="Q231" s="397"/>
      <c r="R231" s="398"/>
      <c r="S231" s="399"/>
      <c r="T231" s="400"/>
      <c r="U231" s="401"/>
      <c r="V231" s="402"/>
      <c r="W231" s="47"/>
    </row>
    <row r="232" spans="1:23" s="470" customFormat="1" ht="30" hidden="1">
      <c r="A232" s="467" t="s">
        <v>264</v>
      </c>
      <c r="B232" s="467">
        <v>241</v>
      </c>
      <c r="C232" s="467" t="s">
        <v>467</v>
      </c>
      <c r="D232" s="467" t="s">
        <v>167</v>
      </c>
      <c r="E232" s="468" t="s">
        <v>544</v>
      </c>
      <c r="F232" s="468" t="s">
        <v>523</v>
      </c>
      <c r="G232" s="468" t="s">
        <v>280</v>
      </c>
      <c r="H232" s="281"/>
      <c r="I232" s="425" t="s">
        <v>253</v>
      </c>
      <c r="J232" s="425"/>
      <c r="K232" s="467" t="s">
        <v>253</v>
      </c>
      <c r="L232" s="467"/>
      <c r="M232" s="467"/>
      <c r="N232" s="427" t="s">
        <v>253</v>
      </c>
      <c r="O232" s="428"/>
      <c r="P232" s="427"/>
      <c r="Q232" s="467"/>
      <c r="R232" s="467"/>
      <c r="S232" s="467"/>
      <c r="T232" s="467"/>
      <c r="U232" s="467"/>
      <c r="V232" s="467"/>
      <c r="W232" s="468"/>
    </row>
    <row r="233" spans="1:23" s="470" customFormat="1" ht="30" hidden="1">
      <c r="A233" s="467" t="s">
        <v>264</v>
      </c>
      <c r="B233" s="467">
        <v>242</v>
      </c>
      <c r="C233" s="467" t="s">
        <v>467</v>
      </c>
      <c r="D233" s="467" t="s">
        <v>167</v>
      </c>
      <c r="E233" s="468" t="s">
        <v>545</v>
      </c>
      <c r="F233" s="468" t="s">
        <v>523</v>
      </c>
      <c r="G233" s="468" t="s">
        <v>280</v>
      </c>
      <c r="H233" s="281" t="s">
        <v>546</v>
      </c>
      <c r="I233" s="425" t="s">
        <v>253</v>
      </c>
      <c r="J233" s="425"/>
      <c r="K233" s="467" t="s">
        <v>253</v>
      </c>
      <c r="L233" s="467" t="s">
        <v>14</v>
      </c>
      <c r="M233" s="467"/>
      <c r="N233" s="427" t="s">
        <v>253</v>
      </c>
      <c r="O233" s="428"/>
      <c r="P233" s="427"/>
      <c r="Q233" s="467"/>
      <c r="R233" s="467"/>
      <c r="S233" s="467"/>
      <c r="T233" s="467"/>
      <c r="U233" s="467"/>
      <c r="V233" s="467"/>
      <c r="W233" s="468"/>
    </row>
    <row r="234" spans="1:23" s="470" customFormat="1" ht="30" hidden="1">
      <c r="A234" s="467" t="s">
        <v>264</v>
      </c>
      <c r="B234" s="467">
        <v>243</v>
      </c>
      <c r="C234" s="467" t="s">
        <v>467</v>
      </c>
      <c r="D234" s="467" t="s">
        <v>167</v>
      </c>
      <c r="E234" s="468" t="s">
        <v>547</v>
      </c>
      <c r="F234" s="468" t="s">
        <v>523</v>
      </c>
      <c r="G234" s="468" t="s">
        <v>280</v>
      </c>
      <c r="H234" s="281"/>
      <c r="I234" s="425" t="s">
        <v>253</v>
      </c>
      <c r="J234" s="425"/>
      <c r="K234" s="467" t="s">
        <v>253</v>
      </c>
      <c r="L234" s="467"/>
      <c r="M234" s="467"/>
      <c r="N234" s="427" t="s">
        <v>253</v>
      </c>
      <c r="O234" s="428"/>
      <c r="P234" s="427"/>
      <c r="Q234" s="467"/>
      <c r="R234" s="467"/>
      <c r="S234" s="467"/>
      <c r="T234" s="467"/>
      <c r="U234" s="467"/>
      <c r="V234" s="467"/>
      <c r="W234" s="468"/>
    </row>
    <row r="235" spans="1:23" s="470" customFormat="1" ht="30" hidden="1">
      <c r="A235" s="467" t="s">
        <v>264</v>
      </c>
      <c r="B235" s="467">
        <v>244</v>
      </c>
      <c r="C235" s="467" t="s">
        <v>467</v>
      </c>
      <c r="D235" s="467" t="s">
        <v>167</v>
      </c>
      <c r="E235" s="468" t="s">
        <v>548</v>
      </c>
      <c r="F235" s="468" t="s">
        <v>523</v>
      </c>
      <c r="G235" s="468" t="s">
        <v>280</v>
      </c>
      <c r="H235" s="281"/>
      <c r="I235" s="425" t="s">
        <v>253</v>
      </c>
      <c r="J235" s="425"/>
      <c r="K235" s="467" t="s">
        <v>253</v>
      </c>
      <c r="L235" s="467" t="s">
        <v>19</v>
      </c>
      <c r="M235" s="467" t="s">
        <v>549</v>
      </c>
      <c r="N235" s="427" t="s">
        <v>253</v>
      </c>
      <c r="O235" s="428"/>
      <c r="P235" s="427"/>
      <c r="Q235" s="467"/>
      <c r="R235" s="467"/>
      <c r="S235" s="467"/>
      <c r="T235" s="467"/>
      <c r="U235" s="467"/>
      <c r="V235" s="467"/>
      <c r="W235" s="468"/>
    </row>
    <row r="236" spans="1:23" s="470" customFormat="1" ht="30" hidden="1">
      <c r="A236" s="467" t="s">
        <v>264</v>
      </c>
      <c r="B236" s="467">
        <v>245</v>
      </c>
      <c r="C236" s="467" t="s">
        <v>467</v>
      </c>
      <c r="D236" s="467" t="s">
        <v>167</v>
      </c>
      <c r="E236" s="468" t="s">
        <v>550</v>
      </c>
      <c r="F236" s="468" t="s">
        <v>523</v>
      </c>
      <c r="G236" s="468" t="s">
        <v>280</v>
      </c>
      <c r="H236" s="281" t="s">
        <v>551</v>
      </c>
      <c r="I236" s="425" t="s">
        <v>253</v>
      </c>
      <c r="J236" s="425"/>
      <c r="K236" s="467" t="s">
        <v>253</v>
      </c>
      <c r="L236" s="467" t="s">
        <v>47</v>
      </c>
      <c r="M236" s="467"/>
      <c r="N236" s="427" t="s">
        <v>253</v>
      </c>
      <c r="O236" s="428"/>
      <c r="P236" s="427"/>
      <c r="Q236" s="467"/>
      <c r="R236" s="467"/>
      <c r="S236" s="467"/>
      <c r="T236" s="467"/>
      <c r="U236" s="467"/>
      <c r="V236" s="467"/>
      <c r="W236" s="468"/>
    </row>
    <row r="237" spans="1:23" s="470" customFormat="1" ht="30" hidden="1">
      <c r="A237" s="467" t="s">
        <v>264</v>
      </c>
      <c r="B237" s="467">
        <v>246</v>
      </c>
      <c r="C237" s="467" t="s">
        <v>467</v>
      </c>
      <c r="D237" s="467" t="s">
        <v>167</v>
      </c>
      <c r="E237" s="468" t="s">
        <v>552</v>
      </c>
      <c r="F237" s="468" t="s">
        <v>523</v>
      </c>
      <c r="G237" s="468" t="s">
        <v>280</v>
      </c>
      <c r="H237" s="281" t="s">
        <v>553</v>
      </c>
      <c r="I237" s="425" t="s">
        <v>253</v>
      </c>
      <c r="J237" s="425"/>
      <c r="K237" s="467" t="s">
        <v>253</v>
      </c>
      <c r="L237" s="467" t="s">
        <v>47</v>
      </c>
      <c r="M237" s="467"/>
      <c r="N237" s="427" t="s">
        <v>253</v>
      </c>
      <c r="O237" s="428"/>
      <c r="P237" s="427"/>
      <c r="Q237" s="467"/>
      <c r="R237" s="467"/>
      <c r="S237" s="467"/>
      <c r="T237" s="467"/>
      <c r="U237" s="467"/>
      <c r="V237" s="467"/>
      <c r="W237" s="468"/>
    </row>
    <row r="238" spans="1:23" s="470" customFormat="1" ht="30" hidden="1">
      <c r="A238" s="467" t="s">
        <v>264</v>
      </c>
      <c r="B238" s="467">
        <v>247</v>
      </c>
      <c r="C238" s="467" t="s">
        <v>467</v>
      </c>
      <c r="D238" s="467" t="s">
        <v>167</v>
      </c>
      <c r="E238" s="468" t="s">
        <v>554</v>
      </c>
      <c r="F238" s="468" t="s">
        <v>523</v>
      </c>
      <c r="G238" s="468" t="s">
        <v>280</v>
      </c>
      <c r="H238" s="281"/>
      <c r="I238" s="425" t="s">
        <v>253</v>
      </c>
      <c r="J238" s="425"/>
      <c r="K238" s="467" t="s">
        <v>253</v>
      </c>
      <c r="L238" s="467"/>
      <c r="M238" s="467"/>
      <c r="N238" s="427" t="s">
        <v>253</v>
      </c>
      <c r="O238" s="428"/>
      <c r="P238" s="427"/>
      <c r="Q238" s="467"/>
      <c r="R238" s="467"/>
      <c r="S238" s="467"/>
      <c r="T238" s="467"/>
      <c r="U238" s="467"/>
      <c r="V238" s="467"/>
      <c r="W238" s="468"/>
    </row>
    <row r="239" spans="1:23" s="470" customFormat="1" ht="30" hidden="1">
      <c r="A239" s="467" t="s">
        <v>264</v>
      </c>
      <c r="B239" s="467">
        <v>248</v>
      </c>
      <c r="C239" s="467" t="s">
        <v>467</v>
      </c>
      <c r="D239" s="467" t="s">
        <v>167</v>
      </c>
      <c r="E239" s="468" t="s">
        <v>555</v>
      </c>
      <c r="F239" s="468" t="s">
        <v>523</v>
      </c>
      <c r="G239" s="468" t="s">
        <v>280</v>
      </c>
      <c r="H239" s="281"/>
      <c r="I239" s="425" t="s">
        <v>253</v>
      </c>
      <c r="J239" s="425"/>
      <c r="K239" s="467" t="s">
        <v>253</v>
      </c>
      <c r="L239" s="467"/>
      <c r="M239" s="467"/>
      <c r="N239" s="427" t="s">
        <v>253</v>
      </c>
      <c r="O239" s="428"/>
      <c r="P239" s="427"/>
      <c r="Q239" s="467"/>
      <c r="R239" s="467"/>
      <c r="S239" s="467"/>
      <c r="T239" s="467"/>
      <c r="U239" s="467"/>
      <c r="V239" s="467"/>
      <c r="W239" s="468"/>
    </row>
    <row r="240" spans="1:23" s="470" customFormat="1" ht="30" hidden="1">
      <c r="A240" s="467" t="s">
        <v>264</v>
      </c>
      <c r="B240" s="467">
        <v>249</v>
      </c>
      <c r="C240" s="467" t="s">
        <v>467</v>
      </c>
      <c r="D240" s="467" t="s">
        <v>167</v>
      </c>
      <c r="E240" s="468" t="s">
        <v>556</v>
      </c>
      <c r="F240" s="468" t="s">
        <v>523</v>
      </c>
      <c r="G240" s="468" t="s">
        <v>280</v>
      </c>
      <c r="H240" s="281" t="s">
        <v>557</v>
      </c>
      <c r="I240" s="425" t="s">
        <v>253</v>
      </c>
      <c r="J240" s="425"/>
      <c r="K240" s="467" t="s">
        <v>253</v>
      </c>
      <c r="L240" s="467" t="s">
        <v>543</v>
      </c>
      <c r="M240" s="467" t="s">
        <v>549</v>
      </c>
      <c r="N240" s="427" t="s">
        <v>253</v>
      </c>
      <c r="O240" s="428"/>
      <c r="P240" s="427"/>
      <c r="Q240" s="467"/>
      <c r="R240" s="467"/>
      <c r="S240" s="467"/>
      <c r="T240" s="467"/>
      <c r="U240" s="467"/>
      <c r="V240" s="467"/>
      <c r="W240" s="468"/>
    </row>
    <row r="241" spans="1:23" s="470" customFormat="1" ht="30" hidden="1">
      <c r="A241" s="467" t="s">
        <v>264</v>
      </c>
      <c r="B241" s="467">
        <v>250</v>
      </c>
      <c r="C241" s="467" t="s">
        <v>467</v>
      </c>
      <c r="D241" s="467" t="s">
        <v>167</v>
      </c>
      <c r="E241" s="468" t="s">
        <v>558</v>
      </c>
      <c r="F241" s="468" t="s">
        <v>523</v>
      </c>
      <c r="G241" s="468" t="s">
        <v>280</v>
      </c>
      <c r="H241" s="281" t="s">
        <v>559</v>
      </c>
      <c r="I241" s="425" t="s">
        <v>253</v>
      </c>
      <c r="J241" s="425"/>
      <c r="K241" s="467" t="s">
        <v>253</v>
      </c>
      <c r="L241" s="467" t="s">
        <v>19</v>
      </c>
      <c r="M241" s="467" t="s">
        <v>549</v>
      </c>
      <c r="N241" s="427" t="s">
        <v>253</v>
      </c>
      <c r="O241" s="428"/>
      <c r="P241" s="427"/>
      <c r="Q241" s="467"/>
      <c r="R241" s="467"/>
      <c r="S241" s="467"/>
      <c r="T241" s="467"/>
      <c r="U241" s="467"/>
      <c r="V241" s="467"/>
      <c r="W241" s="468"/>
    </row>
    <row r="242" spans="1:23" s="470" customFormat="1" ht="30" hidden="1">
      <c r="A242" s="467" t="s">
        <v>264</v>
      </c>
      <c r="B242" s="467">
        <v>251</v>
      </c>
      <c r="C242" s="467" t="s">
        <v>467</v>
      </c>
      <c r="D242" s="467" t="s">
        <v>167</v>
      </c>
      <c r="E242" s="468" t="s">
        <v>560</v>
      </c>
      <c r="F242" s="468" t="s">
        <v>523</v>
      </c>
      <c r="G242" s="468" t="s">
        <v>280</v>
      </c>
      <c r="H242" s="281" t="s">
        <v>561</v>
      </c>
      <c r="I242" s="425" t="s">
        <v>253</v>
      </c>
      <c r="J242" s="425"/>
      <c r="K242" s="467" t="s">
        <v>253</v>
      </c>
      <c r="L242" s="467" t="s">
        <v>543</v>
      </c>
      <c r="M242" s="467" t="s">
        <v>549</v>
      </c>
      <c r="N242" s="427" t="s">
        <v>253</v>
      </c>
      <c r="O242" s="428"/>
      <c r="P242" s="427"/>
      <c r="Q242" s="467"/>
      <c r="R242" s="467"/>
      <c r="S242" s="467"/>
      <c r="T242" s="467"/>
      <c r="U242" s="467"/>
      <c r="V242" s="467"/>
      <c r="W242" s="468"/>
    </row>
    <row r="243" spans="1:23" s="470" customFormat="1" ht="30" hidden="1">
      <c r="A243" s="467" t="s">
        <v>264</v>
      </c>
      <c r="B243" s="467">
        <v>252</v>
      </c>
      <c r="C243" s="467" t="s">
        <v>467</v>
      </c>
      <c r="D243" s="467" t="s">
        <v>167</v>
      </c>
      <c r="E243" s="468" t="s">
        <v>562</v>
      </c>
      <c r="F243" s="468" t="s">
        <v>523</v>
      </c>
      <c r="G243" s="468" t="s">
        <v>280</v>
      </c>
      <c r="H243" s="281"/>
      <c r="I243" s="425" t="s">
        <v>253</v>
      </c>
      <c r="J243" s="425"/>
      <c r="K243" s="467" t="s">
        <v>253</v>
      </c>
      <c r="L243" s="467"/>
      <c r="M243" s="467" t="s">
        <v>549</v>
      </c>
      <c r="N243" s="427" t="s">
        <v>563</v>
      </c>
      <c r="O243" s="428"/>
      <c r="P243" s="427"/>
      <c r="Q243" s="467"/>
      <c r="R243" s="467"/>
      <c r="S243" s="467"/>
      <c r="T243" s="467"/>
      <c r="U243" s="467"/>
      <c r="V243" s="467"/>
      <c r="W243" s="468"/>
    </row>
    <row r="244" spans="1:23" s="466" customFormat="1" ht="60" hidden="1">
      <c r="A244" s="464" t="s">
        <v>264</v>
      </c>
      <c r="B244" s="464">
        <v>253</v>
      </c>
      <c r="C244" s="464" t="s">
        <v>449</v>
      </c>
      <c r="D244" s="464"/>
      <c r="E244" s="465" t="s">
        <v>564</v>
      </c>
      <c r="F244" s="465" t="s">
        <v>565</v>
      </c>
      <c r="G244" s="465" t="s">
        <v>267</v>
      </c>
      <c r="H244" s="417"/>
      <c r="I244" s="412"/>
      <c r="J244" s="412"/>
      <c r="K244" s="464"/>
      <c r="L244" s="464"/>
      <c r="M244" s="464"/>
      <c r="N244" s="414"/>
      <c r="O244" s="415"/>
      <c r="P244" s="414"/>
      <c r="Q244" s="464"/>
      <c r="R244" s="464"/>
      <c r="S244" s="464"/>
      <c r="T244" s="464"/>
      <c r="U244" s="464"/>
      <c r="V244" s="464"/>
      <c r="W244" s="465" t="s">
        <v>566</v>
      </c>
    </row>
    <row r="245" spans="1:23" s="466" customFormat="1" ht="60" hidden="1">
      <c r="A245" s="464" t="s">
        <v>264</v>
      </c>
      <c r="B245" s="464">
        <v>254</v>
      </c>
      <c r="C245" s="464" t="s">
        <v>449</v>
      </c>
      <c r="D245" s="464"/>
      <c r="E245" s="465" t="s">
        <v>567</v>
      </c>
      <c r="F245" s="465" t="s">
        <v>565</v>
      </c>
      <c r="G245" s="465" t="s">
        <v>267</v>
      </c>
      <c r="H245" s="417"/>
      <c r="I245" s="412"/>
      <c r="J245" s="412"/>
      <c r="K245" s="464"/>
      <c r="L245" s="464"/>
      <c r="M245" s="464"/>
      <c r="N245" s="414"/>
      <c r="O245" s="415"/>
      <c r="P245" s="414"/>
      <c r="Q245" s="464"/>
      <c r="R245" s="464"/>
      <c r="S245" s="464"/>
      <c r="T245" s="464"/>
      <c r="U245" s="464"/>
      <c r="V245" s="464"/>
      <c r="W245" s="465" t="s">
        <v>568</v>
      </c>
    </row>
    <row r="246" spans="1:23" s="470" customFormat="1" ht="30" hidden="1">
      <c r="A246" s="467" t="s">
        <v>264</v>
      </c>
      <c r="B246" s="467">
        <v>255</v>
      </c>
      <c r="C246" s="467" t="s">
        <v>467</v>
      </c>
      <c r="D246" s="467"/>
      <c r="E246" s="468" t="s">
        <v>569</v>
      </c>
      <c r="F246" s="468" t="s">
        <v>570</v>
      </c>
      <c r="G246" s="468"/>
      <c r="H246" s="411"/>
      <c r="I246" s="412"/>
      <c r="J246" s="412"/>
      <c r="K246" s="467"/>
      <c r="L246" s="467"/>
      <c r="M246" s="467"/>
      <c r="N246" s="414"/>
      <c r="O246" s="415"/>
      <c r="P246" s="414"/>
      <c r="Q246" s="467"/>
      <c r="R246" s="467"/>
      <c r="S246" s="467"/>
      <c r="T246" s="467"/>
      <c r="U246" s="467"/>
      <c r="V246" s="467"/>
      <c r="W246" s="468"/>
    </row>
    <row r="247" spans="1:23" s="470" customFormat="1" ht="30" hidden="1">
      <c r="A247" s="467" t="s">
        <v>264</v>
      </c>
      <c r="B247" s="467">
        <v>256</v>
      </c>
      <c r="C247" s="467" t="s">
        <v>467</v>
      </c>
      <c r="D247" s="467"/>
      <c r="E247" s="468" t="s">
        <v>571</v>
      </c>
      <c r="F247" s="468" t="s">
        <v>570</v>
      </c>
      <c r="G247" s="468"/>
      <c r="H247" s="411"/>
      <c r="I247" s="412"/>
      <c r="J247" s="412"/>
      <c r="K247" s="467"/>
      <c r="L247" s="467"/>
      <c r="M247" s="467"/>
      <c r="N247" s="414"/>
      <c r="O247" s="415"/>
      <c r="P247" s="414"/>
      <c r="Q247" s="467"/>
      <c r="R247" s="467"/>
      <c r="S247" s="467"/>
      <c r="T247" s="467"/>
      <c r="U247" s="467"/>
      <c r="V247" s="467"/>
      <c r="W247" s="468"/>
    </row>
    <row r="248" spans="1:23" s="470" customFormat="1" ht="30" hidden="1">
      <c r="A248" s="467" t="s">
        <v>264</v>
      </c>
      <c r="B248" s="467">
        <v>257</v>
      </c>
      <c r="C248" s="467" t="s">
        <v>467</v>
      </c>
      <c r="D248" s="467"/>
      <c r="E248" s="468" t="s">
        <v>572</v>
      </c>
      <c r="F248" s="468"/>
      <c r="G248" s="468"/>
      <c r="H248" s="411"/>
      <c r="I248" s="412"/>
      <c r="J248" s="412"/>
      <c r="K248" s="467"/>
      <c r="L248" s="467"/>
      <c r="M248" s="467"/>
      <c r="N248" s="414"/>
      <c r="O248" s="415"/>
      <c r="P248" s="414"/>
      <c r="Q248" s="467"/>
      <c r="R248" s="467"/>
      <c r="S248" s="467"/>
      <c r="T248" s="467"/>
      <c r="U248" s="467"/>
      <c r="V248" s="467"/>
      <c r="W248" s="468"/>
    </row>
    <row r="249" spans="1:23" s="470" customFormat="1" ht="30" hidden="1">
      <c r="A249" s="467" t="s">
        <v>264</v>
      </c>
      <c r="B249" s="467">
        <v>258</v>
      </c>
      <c r="C249" s="467" t="s">
        <v>467</v>
      </c>
      <c r="D249" s="467"/>
      <c r="E249" s="468" t="s">
        <v>573</v>
      </c>
      <c r="F249" s="468"/>
      <c r="G249" s="468"/>
      <c r="H249" s="411"/>
      <c r="I249" s="412"/>
      <c r="J249" s="412"/>
      <c r="K249" s="467"/>
      <c r="L249" s="467"/>
      <c r="M249" s="467"/>
      <c r="N249" s="414"/>
      <c r="O249" s="415"/>
      <c r="P249" s="414"/>
      <c r="Q249" s="467"/>
      <c r="R249" s="467"/>
      <c r="S249" s="467"/>
      <c r="T249" s="467"/>
      <c r="U249" s="467"/>
      <c r="V249" s="467"/>
      <c r="W249" s="468"/>
    </row>
    <row r="250" spans="1:23" s="470" customFormat="1" ht="30" hidden="1">
      <c r="A250" s="467" t="s">
        <v>264</v>
      </c>
      <c r="B250" s="467">
        <v>259</v>
      </c>
      <c r="C250" s="467" t="s">
        <v>467</v>
      </c>
      <c r="D250" s="467"/>
      <c r="E250" s="468" t="s">
        <v>574</v>
      </c>
      <c r="F250" s="468"/>
      <c r="G250" s="468"/>
      <c r="H250" s="411"/>
      <c r="I250" s="412"/>
      <c r="J250" s="412"/>
      <c r="K250" s="467"/>
      <c r="L250" s="467"/>
      <c r="M250" s="467"/>
      <c r="N250" s="414"/>
      <c r="O250" s="415"/>
      <c r="P250" s="414"/>
      <c r="Q250" s="467"/>
      <c r="R250" s="467"/>
      <c r="S250" s="467"/>
      <c r="T250" s="467"/>
      <c r="U250" s="467"/>
      <c r="V250" s="467"/>
      <c r="W250" s="468"/>
    </row>
    <row r="251" spans="1:23" s="470" customFormat="1" ht="30" hidden="1">
      <c r="A251" s="467" t="s">
        <v>264</v>
      </c>
      <c r="B251" s="467">
        <v>260</v>
      </c>
      <c r="C251" s="467" t="s">
        <v>467</v>
      </c>
      <c r="D251" s="467"/>
      <c r="E251" s="468" t="s">
        <v>575</v>
      </c>
      <c r="F251" s="468"/>
      <c r="G251" s="468"/>
      <c r="H251" s="411"/>
      <c r="I251" s="412"/>
      <c r="J251" s="412"/>
      <c r="K251" s="467"/>
      <c r="L251" s="467"/>
      <c r="M251" s="467"/>
      <c r="N251" s="414"/>
      <c r="O251" s="415"/>
      <c r="P251" s="414"/>
      <c r="Q251" s="467"/>
      <c r="R251" s="467"/>
      <c r="S251" s="467"/>
      <c r="T251" s="467"/>
      <c r="U251" s="467"/>
      <c r="V251" s="467"/>
      <c r="W251" s="468"/>
    </row>
    <row r="252" spans="1:23" s="470" customFormat="1" ht="30" hidden="1">
      <c r="A252" s="467" t="s">
        <v>264</v>
      </c>
      <c r="B252" s="467">
        <v>261</v>
      </c>
      <c r="C252" s="467" t="s">
        <v>467</v>
      </c>
      <c r="D252" s="467"/>
      <c r="E252" s="468" t="s">
        <v>576</v>
      </c>
      <c r="F252" s="468"/>
      <c r="G252" s="468"/>
      <c r="H252" s="411"/>
      <c r="I252" s="412"/>
      <c r="J252" s="412"/>
      <c r="K252" s="467"/>
      <c r="L252" s="467"/>
      <c r="M252" s="467"/>
      <c r="N252" s="414"/>
      <c r="O252" s="415"/>
      <c r="P252" s="414"/>
      <c r="Q252" s="467"/>
      <c r="R252" s="467"/>
      <c r="S252" s="467"/>
      <c r="T252" s="467"/>
      <c r="U252" s="467"/>
      <c r="V252" s="467"/>
      <c r="W252" s="468"/>
    </row>
    <row r="253" spans="1:23" s="470" customFormat="1" ht="30" hidden="1">
      <c r="A253" s="467" t="s">
        <v>264</v>
      </c>
      <c r="B253" s="467">
        <v>262</v>
      </c>
      <c r="C253" s="467" t="s">
        <v>467</v>
      </c>
      <c r="D253" s="467"/>
      <c r="E253" s="468" t="s">
        <v>577</v>
      </c>
      <c r="F253" s="468"/>
      <c r="G253" s="468"/>
      <c r="H253" s="411"/>
      <c r="I253" s="412"/>
      <c r="J253" s="412"/>
      <c r="K253" s="467"/>
      <c r="L253" s="467"/>
      <c r="M253" s="467"/>
      <c r="N253" s="414"/>
      <c r="O253" s="415"/>
      <c r="P253" s="414"/>
      <c r="Q253" s="467"/>
      <c r="R253" s="467"/>
      <c r="S253" s="467"/>
      <c r="T253" s="467"/>
      <c r="U253" s="467"/>
      <c r="V253" s="467"/>
      <c r="W253" s="468"/>
    </row>
    <row r="254" spans="1:23" s="474" customFormat="1" hidden="1">
      <c r="A254" s="472" t="s">
        <v>264</v>
      </c>
      <c r="B254" s="472">
        <v>263</v>
      </c>
      <c r="C254" s="472" t="s">
        <v>578</v>
      </c>
      <c r="D254" s="472"/>
      <c r="E254" s="473" t="s">
        <v>579</v>
      </c>
      <c r="F254" s="473"/>
      <c r="G254" s="473"/>
      <c r="H254" s="411"/>
      <c r="I254" s="412"/>
      <c r="J254" s="412"/>
      <c r="K254" s="472"/>
      <c r="L254" s="472"/>
      <c r="M254" s="472"/>
      <c r="N254" s="414"/>
      <c r="O254" s="415"/>
      <c r="P254" s="414"/>
      <c r="Q254" s="472"/>
      <c r="R254" s="472"/>
      <c r="S254" s="472"/>
      <c r="T254" s="472"/>
      <c r="U254" s="472"/>
      <c r="V254" s="472" t="s">
        <v>15</v>
      </c>
      <c r="W254" s="473"/>
    </row>
    <row r="255" spans="1:23" s="474" customFormat="1" hidden="1">
      <c r="A255" s="472" t="s">
        <v>264</v>
      </c>
      <c r="B255" s="472">
        <v>264</v>
      </c>
      <c r="C255" s="472" t="s">
        <v>578</v>
      </c>
      <c r="D255" s="472"/>
      <c r="E255" s="473" t="s">
        <v>580</v>
      </c>
      <c r="F255" s="473"/>
      <c r="G255" s="473"/>
      <c r="H255" s="411"/>
      <c r="I255" s="412"/>
      <c r="J255" s="412"/>
      <c r="K255" s="472"/>
      <c r="L255" s="472"/>
      <c r="M255" s="472"/>
      <c r="N255" s="414"/>
      <c r="O255" s="415"/>
      <c r="P255" s="414"/>
      <c r="Q255" s="472"/>
      <c r="R255" s="472"/>
      <c r="S255" s="472"/>
      <c r="T255" s="472"/>
      <c r="U255" s="472"/>
      <c r="V255" s="472" t="s">
        <v>15</v>
      </c>
      <c r="W255" s="473"/>
    </row>
    <row r="256" spans="1:23" s="470" customFormat="1" ht="30" hidden="1">
      <c r="A256" s="467" t="s">
        <v>264</v>
      </c>
      <c r="B256" s="467">
        <v>265</v>
      </c>
      <c r="C256" s="467" t="s">
        <v>467</v>
      </c>
      <c r="D256" s="467"/>
      <c r="E256" s="468" t="s">
        <v>581</v>
      </c>
      <c r="F256" s="468"/>
      <c r="G256" s="468"/>
      <c r="H256" s="411"/>
      <c r="I256" s="412"/>
      <c r="J256" s="412"/>
      <c r="K256" s="467"/>
      <c r="L256" s="467"/>
      <c r="M256" s="467"/>
      <c r="N256" s="414"/>
      <c r="O256" s="415"/>
      <c r="P256" s="414"/>
      <c r="Q256" s="467"/>
      <c r="R256" s="467"/>
      <c r="S256" s="467"/>
      <c r="T256" s="467"/>
      <c r="U256" s="467"/>
      <c r="V256" s="467"/>
      <c r="W256" s="468"/>
    </row>
    <row r="257" spans="1:23" s="474" customFormat="1" hidden="1">
      <c r="A257" s="472" t="s">
        <v>264</v>
      </c>
      <c r="B257" s="472">
        <v>266</v>
      </c>
      <c r="C257" s="472" t="s">
        <v>578</v>
      </c>
      <c r="D257" s="472"/>
      <c r="E257" s="473" t="s">
        <v>582</v>
      </c>
      <c r="F257" s="473"/>
      <c r="G257" s="473"/>
      <c r="H257" s="411"/>
      <c r="I257" s="412"/>
      <c r="J257" s="412"/>
      <c r="K257" s="472"/>
      <c r="L257" s="472"/>
      <c r="M257" s="472"/>
      <c r="N257" s="414"/>
      <c r="O257" s="415"/>
      <c r="P257" s="414"/>
      <c r="Q257" s="472"/>
      <c r="R257" s="472"/>
      <c r="S257" s="472"/>
      <c r="T257" s="472"/>
      <c r="U257" s="472"/>
      <c r="V257" s="472" t="s">
        <v>15</v>
      </c>
      <c r="W257" s="473"/>
    </row>
    <row r="258" spans="1:23" s="474" customFormat="1" hidden="1">
      <c r="A258" s="472" t="s">
        <v>264</v>
      </c>
      <c r="B258" s="472">
        <v>267</v>
      </c>
      <c r="C258" s="472" t="s">
        <v>578</v>
      </c>
      <c r="D258" s="472"/>
      <c r="E258" s="473" t="s">
        <v>583</v>
      </c>
      <c r="F258" s="473"/>
      <c r="G258" s="473"/>
      <c r="H258" s="411"/>
      <c r="I258" s="412"/>
      <c r="J258" s="412"/>
      <c r="K258" s="472"/>
      <c r="L258" s="472"/>
      <c r="M258" s="472"/>
      <c r="N258" s="414"/>
      <c r="O258" s="415"/>
      <c r="P258" s="414"/>
      <c r="Q258" s="472"/>
      <c r="R258" s="472"/>
      <c r="S258" s="472"/>
      <c r="T258" s="472"/>
      <c r="U258" s="472"/>
      <c r="V258" s="472" t="s">
        <v>15</v>
      </c>
      <c r="W258" s="473"/>
    </row>
    <row r="259" spans="1:23" s="474" customFormat="1" hidden="1">
      <c r="A259" s="472" t="s">
        <v>264</v>
      </c>
      <c r="B259" s="472">
        <v>268</v>
      </c>
      <c r="C259" s="472" t="s">
        <v>578</v>
      </c>
      <c r="D259" s="472"/>
      <c r="E259" s="473" t="s">
        <v>584</v>
      </c>
      <c r="F259" s="473"/>
      <c r="G259" s="473"/>
      <c r="H259" s="411"/>
      <c r="I259" s="412"/>
      <c r="J259" s="412"/>
      <c r="K259" s="472"/>
      <c r="L259" s="472"/>
      <c r="M259" s="472"/>
      <c r="N259" s="414"/>
      <c r="O259" s="415"/>
      <c r="P259" s="414"/>
      <c r="Q259" s="472"/>
      <c r="R259" s="472"/>
      <c r="S259" s="472"/>
      <c r="T259" s="472"/>
      <c r="U259" s="472"/>
      <c r="V259" s="472" t="s">
        <v>15</v>
      </c>
      <c r="W259" s="473"/>
    </row>
    <row r="260" spans="1:23" s="474" customFormat="1" hidden="1">
      <c r="A260" s="472" t="s">
        <v>264</v>
      </c>
      <c r="B260" s="472">
        <v>269</v>
      </c>
      <c r="C260" s="472" t="s">
        <v>578</v>
      </c>
      <c r="D260" s="472"/>
      <c r="E260" s="473" t="s">
        <v>585</v>
      </c>
      <c r="F260" s="473"/>
      <c r="G260" s="473"/>
      <c r="H260" s="411"/>
      <c r="I260" s="412"/>
      <c r="J260" s="412"/>
      <c r="K260" s="472"/>
      <c r="L260" s="472"/>
      <c r="M260" s="472"/>
      <c r="N260" s="414"/>
      <c r="O260" s="415"/>
      <c r="P260" s="414"/>
      <c r="Q260" s="472"/>
      <c r="R260" s="472"/>
      <c r="S260" s="472"/>
      <c r="T260" s="472"/>
      <c r="U260" s="472"/>
      <c r="V260" s="472" t="s">
        <v>15</v>
      </c>
      <c r="W260" s="473"/>
    </row>
    <row r="261" spans="1:23" s="474" customFormat="1" hidden="1">
      <c r="A261" s="472" t="s">
        <v>264</v>
      </c>
      <c r="B261" s="472">
        <v>270</v>
      </c>
      <c r="C261" s="472" t="s">
        <v>578</v>
      </c>
      <c r="D261" s="472"/>
      <c r="E261" s="473" t="s">
        <v>586</v>
      </c>
      <c r="F261" s="473"/>
      <c r="G261" s="473"/>
      <c r="H261" s="411"/>
      <c r="I261" s="412"/>
      <c r="J261" s="412"/>
      <c r="K261" s="472"/>
      <c r="L261" s="472"/>
      <c r="M261" s="472"/>
      <c r="N261" s="414"/>
      <c r="O261" s="415"/>
      <c r="P261" s="414"/>
      <c r="Q261" s="472"/>
      <c r="R261" s="472"/>
      <c r="S261" s="472"/>
      <c r="T261" s="472"/>
      <c r="U261" s="472"/>
      <c r="V261" s="472" t="s">
        <v>15</v>
      </c>
      <c r="W261" s="473"/>
    </row>
    <row r="262" spans="1:23" s="474" customFormat="1" hidden="1">
      <c r="A262" s="472" t="s">
        <v>264</v>
      </c>
      <c r="B262" s="472">
        <v>271</v>
      </c>
      <c r="C262" s="472" t="s">
        <v>578</v>
      </c>
      <c r="D262" s="472"/>
      <c r="E262" s="473" t="s">
        <v>587</v>
      </c>
      <c r="F262" s="473"/>
      <c r="G262" s="473"/>
      <c r="H262" s="411"/>
      <c r="I262" s="412"/>
      <c r="J262" s="412"/>
      <c r="K262" s="472"/>
      <c r="L262" s="472"/>
      <c r="M262" s="472"/>
      <c r="N262" s="414"/>
      <c r="O262" s="415"/>
      <c r="P262" s="414"/>
      <c r="Q262" s="472"/>
      <c r="R262" s="472"/>
      <c r="S262" s="472"/>
      <c r="T262" s="472"/>
      <c r="U262" s="472"/>
      <c r="V262" s="472" t="s">
        <v>15</v>
      </c>
      <c r="W262" s="473"/>
    </row>
    <row r="263" spans="1:23" s="474" customFormat="1" hidden="1">
      <c r="A263" s="472" t="s">
        <v>264</v>
      </c>
      <c r="B263" s="472">
        <v>272</v>
      </c>
      <c r="C263" s="472" t="s">
        <v>578</v>
      </c>
      <c r="D263" s="472"/>
      <c r="E263" s="473" t="s">
        <v>588</v>
      </c>
      <c r="F263" s="473"/>
      <c r="G263" s="473"/>
      <c r="H263" s="411"/>
      <c r="I263" s="412"/>
      <c r="J263" s="412"/>
      <c r="K263" s="472"/>
      <c r="L263" s="472"/>
      <c r="M263" s="472"/>
      <c r="N263" s="414"/>
      <c r="O263" s="415"/>
      <c r="P263" s="414"/>
      <c r="Q263" s="472"/>
      <c r="R263" s="472"/>
      <c r="S263" s="472"/>
      <c r="T263" s="472"/>
      <c r="U263" s="472"/>
      <c r="V263" s="472" t="s">
        <v>15</v>
      </c>
      <c r="W263" s="473"/>
    </row>
    <row r="264" spans="1:23" s="474" customFormat="1" hidden="1">
      <c r="A264" s="472" t="s">
        <v>264</v>
      </c>
      <c r="B264" s="472">
        <v>273</v>
      </c>
      <c r="C264" s="472" t="s">
        <v>578</v>
      </c>
      <c r="D264" s="472"/>
      <c r="E264" s="473" t="s">
        <v>589</v>
      </c>
      <c r="F264" s="473"/>
      <c r="G264" s="473"/>
      <c r="H264" s="411"/>
      <c r="I264" s="412"/>
      <c r="J264" s="412"/>
      <c r="K264" s="472"/>
      <c r="L264" s="472"/>
      <c r="M264" s="472"/>
      <c r="N264" s="414"/>
      <c r="O264" s="415"/>
      <c r="P264" s="414"/>
      <c r="Q264" s="472"/>
      <c r="R264" s="472"/>
      <c r="S264" s="472"/>
      <c r="T264" s="472"/>
      <c r="U264" s="472"/>
      <c r="V264" s="472" t="s">
        <v>15</v>
      </c>
      <c r="W264" s="473"/>
    </row>
    <row r="265" spans="1:23" s="474" customFormat="1" hidden="1">
      <c r="A265" s="472" t="s">
        <v>264</v>
      </c>
      <c r="B265" s="472">
        <v>274</v>
      </c>
      <c r="C265" s="472" t="s">
        <v>578</v>
      </c>
      <c r="D265" s="472"/>
      <c r="E265" s="473" t="s">
        <v>590</v>
      </c>
      <c r="F265" s="473"/>
      <c r="G265" s="473"/>
      <c r="H265" s="411"/>
      <c r="I265" s="412"/>
      <c r="J265" s="412"/>
      <c r="K265" s="472"/>
      <c r="L265" s="472"/>
      <c r="M265" s="472"/>
      <c r="N265" s="414"/>
      <c r="O265" s="415"/>
      <c r="P265" s="414"/>
      <c r="Q265" s="472"/>
      <c r="R265" s="472"/>
      <c r="S265" s="472"/>
      <c r="T265" s="472"/>
      <c r="U265" s="472"/>
      <c r="V265" s="472" t="s">
        <v>15</v>
      </c>
      <c r="W265" s="473"/>
    </row>
    <row r="266" spans="1:23" s="474" customFormat="1" hidden="1">
      <c r="A266" s="472" t="s">
        <v>264</v>
      </c>
      <c r="B266" s="472">
        <v>275</v>
      </c>
      <c r="C266" s="472" t="s">
        <v>578</v>
      </c>
      <c r="D266" s="472"/>
      <c r="E266" s="473" t="s">
        <v>591</v>
      </c>
      <c r="F266" s="473"/>
      <c r="G266" s="473"/>
      <c r="H266" s="411"/>
      <c r="I266" s="412"/>
      <c r="J266" s="412"/>
      <c r="K266" s="472"/>
      <c r="L266" s="472"/>
      <c r="M266" s="472"/>
      <c r="N266" s="414"/>
      <c r="O266" s="415"/>
      <c r="P266" s="414"/>
      <c r="Q266" s="472"/>
      <c r="R266" s="472"/>
      <c r="S266" s="472"/>
      <c r="T266" s="472"/>
      <c r="U266" s="472"/>
      <c r="V266" s="472" t="s">
        <v>15</v>
      </c>
      <c r="W266" s="473"/>
    </row>
    <row r="267" spans="1:23" s="474" customFormat="1" hidden="1">
      <c r="A267" s="472" t="s">
        <v>264</v>
      </c>
      <c r="B267" s="472">
        <v>276</v>
      </c>
      <c r="C267" s="472" t="s">
        <v>578</v>
      </c>
      <c r="D267" s="472"/>
      <c r="E267" s="473" t="s">
        <v>592</v>
      </c>
      <c r="F267" s="473"/>
      <c r="G267" s="473"/>
      <c r="H267" s="411"/>
      <c r="I267" s="412"/>
      <c r="J267" s="412"/>
      <c r="K267" s="472"/>
      <c r="L267" s="472"/>
      <c r="M267" s="472"/>
      <c r="N267" s="414"/>
      <c r="O267" s="415"/>
      <c r="P267" s="414"/>
      <c r="Q267" s="472"/>
      <c r="R267" s="472"/>
      <c r="S267" s="472"/>
      <c r="T267" s="472"/>
      <c r="U267" s="472"/>
      <c r="V267" s="472" t="s">
        <v>15</v>
      </c>
      <c r="W267" s="473"/>
    </row>
    <row r="268" spans="1:23" s="474" customFormat="1" hidden="1">
      <c r="A268" s="472" t="s">
        <v>264</v>
      </c>
      <c r="B268" s="472">
        <v>277</v>
      </c>
      <c r="C268" s="472" t="s">
        <v>578</v>
      </c>
      <c r="D268" s="472"/>
      <c r="E268" s="473" t="s">
        <v>593</v>
      </c>
      <c r="F268" s="473"/>
      <c r="G268" s="473"/>
      <c r="H268" s="411"/>
      <c r="I268" s="412"/>
      <c r="J268" s="412"/>
      <c r="K268" s="472"/>
      <c r="L268" s="472"/>
      <c r="M268" s="472"/>
      <c r="N268" s="414"/>
      <c r="O268" s="415"/>
      <c r="P268" s="414"/>
      <c r="Q268" s="472"/>
      <c r="R268" s="472"/>
      <c r="S268" s="472"/>
      <c r="T268" s="472"/>
      <c r="U268" s="472"/>
      <c r="V268" s="472" t="s">
        <v>15</v>
      </c>
      <c r="W268" s="473"/>
    </row>
    <row r="269" spans="1:23" s="474" customFormat="1" hidden="1">
      <c r="A269" s="472" t="s">
        <v>264</v>
      </c>
      <c r="B269" s="472">
        <v>278</v>
      </c>
      <c r="C269" s="472" t="s">
        <v>578</v>
      </c>
      <c r="D269" s="472"/>
      <c r="E269" s="473" t="s">
        <v>594</v>
      </c>
      <c r="F269" s="473"/>
      <c r="G269" s="473"/>
      <c r="H269" s="411"/>
      <c r="I269" s="412"/>
      <c r="J269" s="412"/>
      <c r="K269" s="472"/>
      <c r="L269" s="472"/>
      <c r="M269" s="472"/>
      <c r="N269" s="414"/>
      <c r="O269" s="415"/>
      <c r="P269" s="414"/>
      <c r="Q269" s="472"/>
      <c r="R269" s="472"/>
      <c r="S269" s="472"/>
      <c r="T269" s="472"/>
      <c r="U269" s="472"/>
      <c r="V269" s="472" t="s">
        <v>15</v>
      </c>
      <c r="W269" s="473"/>
    </row>
    <row r="270" spans="1:23" s="474" customFormat="1" hidden="1">
      <c r="A270" s="472" t="s">
        <v>264</v>
      </c>
      <c r="B270" s="472">
        <v>279</v>
      </c>
      <c r="C270" s="472" t="s">
        <v>578</v>
      </c>
      <c r="D270" s="472"/>
      <c r="E270" s="473" t="s">
        <v>595</v>
      </c>
      <c r="F270" s="473"/>
      <c r="G270" s="473"/>
      <c r="H270" s="411"/>
      <c r="I270" s="412"/>
      <c r="J270" s="412"/>
      <c r="K270" s="472"/>
      <c r="L270" s="472"/>
      <c r="M270" s="472"/>
      <c r="N270" s="414"/>
      <c r="O270" s="415"/>
      <c r="P270" s="414"/>
      <c r="Q270" s="472"/>
      <c r="R270" s="472"/>
      <c r="S270" s="472"/>
      <c r="T270" s="472"/>
      <c r="U270" s="472"/>
      <c r="V270" s="472" t="s">
        <v>15</v>
      </c>
      <c r="W270" s="473"/>
    </row>
    <row r="271" spans="1:23" s="474" customFormat="1" hidden="1">
      <c r="A271" s="472" t="s">
        <v>264</v>
      </c>
      <c r="B271" s="472">
        <v>280</v>
      </c>
      <c r="C271" s="472" t="s">
        <v>578</v>
      </c>
      <c r="D271" s="472"/>
      <c r="E271" s="473" t="s">
        <v>596</v>
      </c>
      <c r="F271" s="473"/>
      <c r="G271" s="473"/>
      <c r="H271" s="411"/>
      <c r="I271" s="412"/>
      <c r="J271" s="412"/>
      <c r="K271" s="472"/>
      <c r="L271" s="472"/>
      <c r="M271" s="472"/>
      <c r="N271" s="414"/>
      <c r="O271" s="415"/>
      <c r="P271" s="414"/>
      <c r="Q271" s="472"/>
      <c r="R271" s="472"/>
      <c r="S271" s="472"/>
      <c r="T271" s="472"/>
      <c r="U271" s="472"/>
      <c r="V271" s="472" t="s">
        <v>15</v>
      </c>
      <c r="W271" s="473"/>
    </row>
    <row r="272" spans="1:23" s="470" customFormat="1" ht="30" hidden="1">
      <c r="A272" s="467" t="s">
        <v>264</v>
      </c>
      <c r="B272" s="467">
        <v>281</v>
      </c>
      <c r="C272" s="467" t="s">
        <v>467</v>
      </c>
      <c r="D272" s="467"/>
      <c r="E272" s="468" t="s">
        <v>597</v>
      </c>
      <c r="F272" s="468"/>
      <c r="G272" s="468"/>
      <c r="H272" s="411"/>
      <c r="I272" s="412"/>
      <c r="J272" s="412"/>
      <c r="K272" s="467"/>
      <c r="L272" s="467"/>
      <c r="M272" s="467"/>
      <c r="N272" s="414"/>
      <c r="O272" s="415"/>
      <c r="P272" s="414"/>
      <c r="Q272" s="467"/>
      <c r="R272" s="467"/>
      <c r="S272" s="467"/>
      <c r="T272" s="467"/>
      <c r="U272" s="467"/>
      <c r="V272" s="467"/>
      <c r="W272" s="468"/>
    </row>
    <row r="273" spans="1:23" s="470" customFormat="1" ht="30" hidden="1">
      <c r="A273" s="467" t="s">
        <v>264</v>
      </c>
      <c r="B273" s="467">
        <v>282</v>
      </c>
      <c r="C273" s="467" t="s">
        <v>467</v>
      </c>
      <c r="D273" s="467"/>
      <c r="E273" s="468" t="s">
        <v>598</v>
      </c>
      <c r="F273" s="468"/>
      <c r="G273" s="468"/>
      <c r="H273" s="411"/>
      <c r="I273" s="412"/>
      <c r="J273" s="412"/>
      <c r="K273" s="467"/>
      <c r="L273" s="467"/>
      <c r="M273" s="467"/>
      <c r="N273" s="414"/>
      <c r="O273" s="415"/>
      <c r="P273" s="414"/>
      <c r="Q273" s="467"/>
      <c r="R273" s="467"/>
      <c r="S273" s="467"/>
      <c r="T273" s="467"/>
      <c r="U273" s="467"/>
      <c r="V273" s="467"/>
      <c r="W273" s="468"/>
    </row>
    <row r="274" spans="1:23" s="470" customFormat="1" ht="30" hidden="1">
      <c r="A274" s="467" t="s">
        <v>264</v>
      </c>
      <c r="B274" s="467">
        <v>283</v>
      </c>
      <c r="C274" s="467" t="s">
        <v>467</v>
      </c>
      <c r="D274" s="467"/>
      <c r="E274" s="468" t="s">
        <v>599</v>
      </c>
      <c r="F274" s="468"/>
      <c r="G274" s="468"/>
      <c r="H274" s="411"/>
      <c r="I274" s="412"/>
      <c r="J274" s="412"/>
      <c r="K274" s="467"/>
      <c r="L274" s="467"/>
      <c r="M274" s="467"/>
      <c r="N274" s="414"/>
      <c r="O274" s="415"/>
      <c r="P274" s="414"/>
      <c r="Q274" s="467"/>
      <c r="R274" s="467"/>
      <c r="S274" s="467"/>
      <c r="T274" s="467"/>
      <c r="U274" s="467"/>
      <c r="V274" s="467"/>
      <c r="W274" s="468"/>
    </row>
    <row r="275" spans="1:23" s="470" customFormat="1" ht="30" hidden="1">
      <c r="A275" s="467" t="s">
        <v>264</v>
      </c>
      <c r="B275" s="467">
        <v>284</v>
      </c>
      <c r="C275" s="467" t="s">
        <v>467</v>
      </c>
      <c r="D275" s="467"/>
      <c r="E275" s="468" t="s">
        <v>600</v>
      </c>
      <c r="F275" s="468"/>
      <c r="G275" s="468"/>
      <c r="H275" s="411"/>
      <c r="I275" s="412"/>
      <c r="J275" s="412"/>
      <c r="K275" s="467"/>
      <c r="L275" s="467"/>
      <c r="M275" s="467"/>
      <c r="N275" s="414"/>
      <c r="O275" s="415"/>
      <c r="P275" s="414"/>
      <c r="Q275" s="467"/>
      <c r="R275" s="467"/>
      <c r="S275" s="467"/>
      <c r="T275" s="467"/>
      <c r="U275" s="467"/>
      <c r="V275" s="467"/>
      <c r="W275" s="468"/>
    </row>
    <row r="276" spans="1:23" s="470" customFormat="1" ht="30" hidden="1">
      <c r="A276" s="467" t="s">
        <v>264</v>
      </c>
      <c r="B276" s="467">
        <v>285</v>
      </c>
      <c r="C276" s="467" t="s">
        <v>467</v>
      </c>
      <c r="D276" s="467"/>
      <c r="E276" s="468" t="s">
        <v>601</v>
      </c>
      <c r="F276" s="468"/>
      <c r="G276" s="468"/>
      <c r="H276" s="411"/>
      <c r="I276" s="412"/>
      <c r="J276" s="412"/>
      <c r="K276" s="467"/>
      <c r="L276" s="467"/>
      <c r="M276" s="467"/>
      <c r="N276" s="414"/>
      <c r="O276" s="415"/>
      <c r="P276" s="414"/>
      <c r="Q276" s="467"/>
      <c r="R276" s="467"/>
      <c r="S276" s="467"/>
      <c r="T276" s="467"/>
      <c r="U276" s="467"/>
      <c r="V276" s="467"/>
      <c r="W276" s="468"/>
    </row>
    <row r="277" spans="1:23" s="474" customFormat="1" hidden="1">
      <c r="A277" s="472" t="s">
        <v>264</v>
      </c>
      <c r="B277" s="472">
        <v>286</v>
      </c>
      <c r="C277" s="472" t="s">
        <v>578</v>
      </c>
      <c r="D277" s="472"/>
      <c r="E277" s="473" t="s">
        <v>602</v>
      </c>
      <c r="F277" s="473"/>
      <c r="G277" s="473"/>
      <c r="H277" s="411"/>
      <c r="I277" s="412"/>
      <c r="J277" s="412"/>
      <c r="K277" s="472"/>
      <c r="L277" s="472"/>
      <c r="M277" s="472"/>
      <c r="N277" s="414"/>
      <c r="O277" s="415"/>
      <c r="P277" s="414"/>
      <c r="Q277" s="472"/>
      <c r="R277" s="472"/>
      <c r="S277" s="472"/>
      <c r="T277" s="472"/>
      <c r="U277" s="472"/>
      <c r="V277" s="472" t="s">
        <v>15</v>
      </c>
      <c r="W277" s="473"/>
    </row>
    <row r="278" spans="1:23" s="430" customFormat="1" hidden="1">
      <c r="A278" s="397" t="s">
        <v>264</v>
      </c>
      <c r="B278" s="397">
        <v>287</v>
      </c>
      <c r="C278" s="397" t="s">
        <v>135</v>
      </c>
      <c r="D278" s="397" t="s">
        <v>277</v>
      </c>
      <c r="E278" s="390" t="s">
        <v>603</v>
      </c>
      <c r="F278" s="390"/>
      <c r="G278" s="390"/>
      <c r="H278" s="281"/>
      <c r="I278" s="425"/>
      <c r="J278" s="425"/>
      <c r="K278" s="397"/>
      <c r="L278" s="397"/>
      <c r="M278" s="397"/>
      <c r="N278" s="427"/>
      <c r="O278" s="428"/>
      <c r="P278" s="427"/>
      <c r="Q278" s="397"/>
      <c r="R278" s="397"/>
      <c r="S278" s="397"/>
      <c r="T278" s="397"/>
      <c r="U278" s="397"/>
      <c r="V278" s="397"/>
      <c r="W278" s="390"/>
    </row>
    <row r="279" spans="1:23" s="430" customFormat="1" hidden="1">
      <c r="A279" s="397" t="s">
        <v>264</v>
      </c>
      <c r="B279" s="397">
        <v>288</v>
      </c>
      <c r="C279" s="397" t="s">
        <v>135</v>
      </c>
      <c r="D279" s="397" t="s">
        <v>277</v>
      </c>
      <c r="E279" s="390" t="s">
        <v>604</v>
      </c>
      <c r="F279" s="390"/>
      <c r="G279" s="390"/>
      <c r="H279" s="281"/>
      <c r="I279" s="425"/>
      <c r="J279" s="425"/>
      <c r="K279" s="397"/>
      <c r="L279" s="397"/>
      <c r="M279" s="397"/>
      <c r="N279" s="427"/>
      <c r="O279" s="428"/>
      <c r="P279" s="427"/>
      <c r="Q279" s="397"/>
      <c r="R279" s="397"/>
      <c r="S279" s="397"/>
      <c r="T279" s="397"/>
      <c r="U279" s="397"/>
      <c r="V279" s="397"/>
      <c r="W279" s="390"/>
    </row>
    <row r="280" spans="1:23" hidden="1">
      <c r="A280" s="423" t="s">
        <v>264</v>
      </c>
      <c r="B280" s="423">
        <v>289</v>
      </c>
      <c r="C280" s="423" t="s">
        <v>135</v>
      </c>
      <c r="D280" s="423" t="s">
        <v>277</v>
      </c>
      <c r="E280" s="424" t="s">
        <v>605</v>
      </c>
      <c r="F280" s="424"/>
      <c r="G280" s="424"/>
      <c r="H280" s="281"/>
      <c r="I280" s="425"/>
      <c r="J280" s="425"/>
      <c r="K280" s="426"/>
      <c r="L280" s="427"/>
      <c r="M280" s="427"/>
      <c r="N280" s="427"/>
      <c r="O280" s="428"/>
      <c r="P280" s="427"/>
      <c r="Q280" s="397"/>
      <c r="R280" s="398"/>
      <c r="S280" s="399" t="s">
        <v>15</v>
      </c>
      <c r="T280" s="400"/>
      <c r="U280" s="401"/>
      <c r="V280" s="402"/>
      <c r="W280" s="47"/>
    </row>
    <row r="281" spans="1:23" hidden="1">
      <c r="A281" s="423" t="s">
        <v>264</v>
      </c>
      <c r="B281" s="423">
        <v>290</v>
      </c>
      <c r="C281" s="423" t="s">
        <v>135</v>
      </c>
      <c r="D281" s="423" t="s">
        <v>277</v>
      </c>
      <c r="E281" s="424" t="s">
        <v>606</v>
      </c>
      <c r="F281" s="424"/>
      <c r="G281" s="424"/>
      <c r="H281" s="281"/>
      <c r="I281" s="425"/>
      <c r="J281" s="425"/>
      <c r="K281" s="426"/>
      <c r="L281" s="427"/>
      <c r="M281" s="427"/>
      <c r="N281" s="427"/>
      <c r="O281" s="428"/>
      <c r="P281" s="427"/>
      <c r="Q281" s="397"/>
      <c r="R281" s="398"/>
      <c r="S281" s="399" t="s">
        <v>15</v>
      </c>
      <c r="T281" s="400"/>
      <c r="U281" s="401"/>
      <c r="V281" s="402"/>
      <c r="W281" s="47"/>
    </row>
    <row r="282" spans="1:23" hidden="1">
      <c r="A282" s="423" t="s">
        <v>264</v>
      </c>
      <c r="B282" s="423">
        <v>291</v>
      </c>
      <c r="C282" s="423" t="s">
        <v>135</v>
      </c>
      <c r="D282" s="423" t="s">
        <v>277</v>
      </c>
      <c r="E282" s="424" t="s">
        <v>607</v>
      </c>
      <c r="F282" s="424"/>
      <c r="G282" s="424"/>
      <c r="H282" s="281"/>
      <c r="I282" s="425"/>
      <c r="J282" s="425"/>
      <c r="K282" s="426"/>
      <c r="L282" s="427"/>
      <c r="M282" s="427"/>
      <c r="N282" s="427"/>
      <c r="O282" s="428"/>
      <c r="P282" s="427"/>
      <c r="Q282" s="397"/>
      <c r="R282" s="398"/>
      <c r="S282" s="399" t="s">
        <v>15</v>
      </c>
      <c r="T282" s="400"/>
      <c r="U282" s="401"/>
      <c r="V282" s="402"/>
      <c r="W282" s="47"/>
    </row>
    <row r="283" spans="1:23" ht="30" hidden="1">
      <c r="A283" s="423" t="s">
        <v>264</v>
      </c>
      <c r="B283" s="423">
        <v>292</v>
      </c>
      <c r="C283" s="423" t="s">
        <v>135</v>
      </c>
      <c r="D283" s="423" t="s">
        <v>277</v>
      </c>
      <c r="E283" s="424" t="s">
        <v>608</v>
      </c>
      <c r="F283" s="424"/>
      <c r="G283" s="424"/>
      <c r="H283" s="281"/>
      <c r="I283" s="425"/>
      <c r="J283" s="425"/>
      <c r="K283" s="426"/>
      <c r="L283" s="427"/>
      <c r="M283" s="427"/>
      <c r="N283" s="427"/>
      <c r="O283" s="428"/>
      <c r="P283" s="427"/>
      <c r="Q283" s="397"/>
      <c r="R283" s="398"/>
      <c r="S283" s="399"/>
      <c r="T283" s="400"/>
      <c r="U283" s="401"/>
      <c r="V283" s="402" t="s">
        <v>15</v>
      </c>
      <c r="W283" s="47"/>
    </row>
    <row r="284" spans="1:23" hidden="1">
      <c r="A284" s="423" t="s">
        <v>264</v>
      </c>
      <c r="B284" s="423">
        <v>293</v>
      </c>
      <c r="C284" s="423" t="s">
        <v>135</v>
      </c>
      <c r="D284" s="423" t="s">
        <v>277</v>
      </c>
      <c r="E284" s="424" t="s">
        <v>609</v>
      </c>
      <c r="F284" s="424"/>
      <c r="G284" s="424"/>
      <c r="H284" s="281"/>
      <c r="I284" s="425"/>
      <c r="J284" s="425"/>
      <c r="K284" s="426"/>
      <c r="L284" s="427"/>
      <c r="M284" s="427"/>
      <c r="N284" s="427"/>
      <c r="O284" s="428"/>
      <c r="P284" s="427"/>
      <c r="Q284" s="397"/>
      <c r="R284" s="398"/>
      <c r="S284" s="399"/>
      <c r="T284" s="400"/>
      <c r="U284" s="401"/>
      <c r="V284" s="402" t="s">
        <v>15</v>
      </c>
      <c r="W284" s="47"/>
    </row>
    <row r="285" spans="1:23" hidden="1">
      <c r="A285" s="423" t="s">
        <v>264</v>
      </c>
      <c r="B285" s="423">
        <v>294</v>
      </c>
      <c r="C285" s="423" t="s">
        <v>135</v>
      </c>
      <c r="D285" s="423" t="s">
        <v>277</v>
      </c>
      <c r="E285" s="424" t="s">
        <v>610</v>
      </c>
      <c r="F285" s="424"/>
      <c r="G285" s="424"/>
      <c r="H285" s="281"/>
      <c r="I285" s="425"/>
      <c r="J285" s="425"/>
      <c r="K285" s="426"/>
      <c r="L285" s="427"/>
      <c r="M285" s="427"/>
      <c r="N285" s="427"/>
      <c r="O285" s="428"/>
      <c r="P285" s="427"/>
      <c r="Q285" s="397"/>
      <c r="R285" s="398"/>
      <c r="S285" s="399"/>
      <c r="T285" s="400"/>
      <c r="U285" s="401"/>
      <c r="V285" s="402" t="s">
        <v>15</v>
      </c>
      <c r="W285" s="47"/>
    </row>
    <row r="286" spans="1:23" hidden="1">
      <c r="A286" s="423" t="s">
        <v>264</v>
      </c>
      <c r="B286" s="423">
        <v>295</v>
      </c>
      <c r="C286" s="423" t="s">
        <v>135</v>
      </c>
      <c r="D286" s="423" t="s">
        <v>272</v>
      </c>
      <c r="E286" s="424" t="s">
        <v>611</v>
      </c>
      <c r="F286" s="424"/>
      <c r="G286" s="424"/>
      <c r="H286" s="281"/>
      <c r="I286" s="425"/>
      <c r="J286" s="425"/>
      <c r="K286" s="426"/>
      <c r="L286" s="427"/>
      <c r="M286" s="427"/>
      <c r="N286" s="427"/>
      <c r="O286" s="428"/>
      <c r="P286" s="427"/>
      <c r="Q286" s="397"/>
      <c r="R286" s="398"/>
      <c r="S286" s="399"/>
      <c r="T286" s="400"/>
      <c r="U286" s="401"/>
      <c r="V286" s="402" t="s">
        <v>15</v>
      </c>
      <c r="W286" s="47"/>
    </row>
    <row r="287" spans="1:23" hidden="1">
      <c r="A287" s="423" t="s">
        <v>264</v>
      </c>
      <c r="B287" s="423">
        <v>296</v>
      </c>
      <c r="C287" s="423" t="s">
        <v>135</v>
      </c>
      <c r="D287" s="423" t="s">
        <v>277</v>
      </c>
      <c r="E287" s="424" t="s">
        <v>612</v>
      </c>
      <c r="F287" s="424"/>
      <c r="G287" s="424"/>
      <c r="H287" s="281"/>
      <c r="I287" s="425"/>
      <c r="J287" s="425"/>
      <c r="K287" s="426"/>
      <c r="L287" s="427"/>
      <c r="M287" s="427"/>
      <c r="N287" s="427"/>
      <c r="O287" s="428"/>
      <c r="P287" s="427"/>
      <c r="Q287" s="397"/>
      <c r="R287" s="398"/>
      <c r="S287" s="399"/>
      <c r="T287" s="400"/>
      <c r="U287" s="401"/>
      <c r="V287" s="402"/>
      <c r="W287" s="47"/>
    </row>
    <row r="288" spans="1:23" s="430" customFormat="1" hidden="1">
      <c r="A288" s="397" t="s">
        <v>264</v>
      </c>
      <c r="B288" s="397">
        <v>297</v>
      </c>
      <c r="C288" s="397" t="s">
        <v>135</v>
      </c>
      <c r="D288" s="397" t="s">
        <v>390</v>
      </c>
      <c r="E288" s="390" t="s">
        <v>613</v>
      </c>
      <c r="F288" s="390"/>
      <c r="G288" s="390"/>
      <c r="H288" s="281"/>
      <c r="I288" s="425"/>
      <c r="J288" s="425"/>
      <c r="K288" s="397"/>
      <c r="L288" s="397"/>
      <c r="M288" s="397"/>
      <c r="N288" s="427"/>
      <c r="O288" s="428"/>
      <c r="P288" s="427"/>
      <c r="Q288" s="397"/>
      <c r="R288" s="397"/>
      <c r="S288" s="397"/>
      <c r="T288" s="397"/>
      <c r="U288" s="397"/>
      <c r="V288" s="397"/>
      <c r="W288" s="390"/>
    </row>
    <row r="289" spans="1:23" s="430" customFormat="1" hidden="1">
      <c r="A289" s="397" t="s">
        <v>264</v>
      </c>
      <c r="B289" s="397">
        <v>298</v>
      </c>
      <c r="C289" s="397" t="s">
        <v>135</v>
      </c>
      <c r="D289" s="397" t="s">
        <v>272</v>
      </c>
      <c r="E289" s="390" t="s">
        <v>614</v>
      </c>
      <c r="F289" s="390"/>
      <c r="G289" s="390"/>
      <c r="H289" s="281"/>
      <c r="I289" s="425"/>
      <c r="J289" s="425"/>
      <c r="K289" s="397"/>
      <c r="L289" s="397"/>
      <c r="M289" s="397"/>
      <c r="N289" s="427"/>
      <c r="O289" s="428"/>
      <c r="P289" s="427"/>
      <c r="Q289" s="397"/>
      <c r="R289" s="397"/>
      <c r="S289" s="397"/>
      <c r="T289" s="397"/>
      <c r="U289" s="397"/>
      <c r="V289" s="397"/>
      <c r="W289" s="390"/>
    </row>
    <row r="290" spans="1:23" s="430" customFormat="1" hidden="1">
      <c r="A290" s="397" t="s">
        <v>264</v>
      </c>
      <c r="B290" s="397">
        <v>299</v>
      </c>
      <c r="C290" s="397" t="s">
        <v>135</v>
      </c>
      <c r="D290" s="397" t="s">
        <v>272</v>
      </c>
      <c r="E290" s="390" t="s">
        <v>615</v>
      </c>
      <c r="F290" s="390"/>
      <c r="G290" s="390"/>
      <c r="H290" s="281"/>
      <c r="I290" s="425"/>
      <c r="J290" s="425"/>
      <c r="K290" s="397"/>
      <c r="L290" s="397"/>
      <c r="M290" s="397"/>
      <c r="N290" s="427"/>
      <c r="O290" s="428"/>
      <c r="P290" s="427"/>
      <c r="Q290" s="397"/>
      <c r="R290" s="397"/>
      <c r="S290" s="397"/>
      <c r="T290" s="397"/>
      <c r="U290" s="397"/>
      <c r="V290" s="397"/>
      <c r="W290" s="390"/>
    </row>
    <row r="291" spans="1:23" hidden="1">
      <c r="A291" s="423" t="s">
        <v>264</v>
      </c>
      <c r="B291" s="423">
        <v>300</v>
      </c>
      <c r="C291" s="423" t="s">
        <v>135</v>
      </c>
      <c r="D291" s="423" t="s">
        <v>277</v>
      </c>
      <c r="E291" s="424" t="s">
        <v>616</v>
      </c>
      <c r="F291" s="424"/>
      <c r="G291" s="424"/>
      <c r="H291" s="281"/>
      <c r="I291" s="425"/>
      <c r="J291" s="425"/>
      <c r="K291" s="426"/>
      <c r="L291" s="427"/>
      <c r="M291" s="427"/>
      <c r="N291" s="427"/>
      <c r="O291" s="428"/>
      <c r="P291" s="427"/>
      <c r="Q291" s="397"/>
      <c r="R291" s="398"/>
      <c r="S291" s="399"/>
      <c r="T291" s="400"/>
      <c r="U291" s="401"/>
      <c r="V291" s="402"/>
      <c r="W291" s="47"/>
    </row>
    <row r="292" spans="1:23" hidden="1">
      <c r="A292" s="423" t="s">
        <v>264</v>
      </c>
      <c r="B292" s="423">
        <v>301</v>
      </c>
      <c r="C292" s="423" t="s">
        <v>135</v>
      </c>
      <c r="D292" s="423" t="s">
        <v>277</v>
      </c>
      <c r="E292" s="424" t="s">
        <v>617</v>
      </c>
      <c r="F292" s="424"/>
      <c r="G292" s="424"/>
      <c r="H292" s="281"/>
      <c r="I292" s="425"/>
      <c r="J292" s="425"/>
      <c r="K292" s="426"/>
      <c r="L292" s="427"/>
      <c r="M292" s="427"/>
      <c r="N292" s="427"/>
      <c r="O292" s="428"/>
      <c r="P292" s="427"/>
      <c r="Q292" s="397"/>
      <c r="R292" s="398"/>
      <c r="S292" s="399"/>
      <c r="T292" s="400"/>
      <c r="U292" s="401"/>
      <c r="V292" s="402"/>
      <c r="W292" s="47"/>
    </row>
    <row r="293" spans="1:23" hidden="1">
      <c r="A293" s="423" t="s">
        <v>264</v>
      </c>
      <c r="B293" s="423">
        <v>302</v>
      </c>
      <c r="C293" s="423" t="s">
        <v>135</v>
      </c>
      <c r="D293" s="423" t="s">
        <v>277</v>
      </c>
      <c r="E293" s="424" t="s">
        <v>618</v>
      </c>
      <c r="F293" s="424"/>
      <c r="G293" s="424"/>
      <c r="H293" s="281"/>
      <c r="I293" s="425"/>
      <c r="J293" s="425"/>
      <c r="K293" s="426"/>
      <c r="L293" s="427"/>
      <c r="M293" s="427"/>
      <c r="N293" s="427"/>
      <c r="O293" s="428"/>
      <c r="P293" s="427"/>
      <c r="Q293" s="397"/>
      <c r="R293" s="398"/>
      <c r="S293" s="399"/>
      <c r="T293" s="400"/>
      <c r="U293" s="401"/>
      <c r="V293" s="402"/>
      <c r="W293" s="47"/>
    </row>
    <row r="294" spans="1:23" s="430" customFormat="1" hidden="1">
      <c r="A294" s="397" t="s">
        <v>264</v>
      </c>
      <c r="B294" s="397">
        <v>303</v>
      </c>
      <c r="C294" s="397" t="s">
        <v>135</v>
      </c>
      <c r="D294" s="397" t="s">
        <v>277</v>
      </c>
      <c r="E294" s="390" t="s">
        <v>619</v>
      </c>
      <c r="F294" s="390"/>
      <c r="G294" s="390"/>
      <c r="H294" s="281"/>
      <c r="I294" s="425"/>
      <c r="J294" s="425"/>
      <c r="K294" s="397"/>
      <c r="L294" s="397"/>
      <c r="M294" s="397"/>
      <c r="N294" s="427"/>
      <c r="O294" s="428"/>
      <c r="P294" s="427"/>
      <c r="Q294" s="397"/>
      <c r="R294" s="397"/>
      <c r="S294" s="397"/>
      <c r="T294" s="397"/>
      <c r="U294" s="397"/>
      <c r="V294" s="397"/>
      <c r="W294" s="390"/>
    </row>
    <row r="295" spans="1:23" hidden="1">
      <c r="A295" s="423" t="s">
        <v>264</v>
      </c>
      <c r="B295" s="423">
        <v>304</v>
      </c>
      <c r="C295" s="423" t="s">
        <v>135</v>
      </c>
      <c r="D295" s="423" t="s">
        <v>277</v>
      </c>
      <c r="E295" s="424" t="s">
        <v>620</v>
      </c>
      <c r="F295" s="424"/>
      <c r="G295" s="424"/>
      <c r="H295" s="281"/>
      <c r="I295" s="425"/>
      <c r="J295" s="425"/>
      <c r="K295" s="426"/>
      <c r="L295" s="427"/>
      <c r="M295" s="427"/>
      <c r="N295" s="427"/>
      <c r="O295" s="428"/>
      <c r="P295" s="427"/>
      <c r="Q295" s="397"/>
      <c r="R295" s="398"/>
      <c r="S295" s="399"/>
      <c r="T295" s="400"/>
      <c r="U295" s="401"/>
      <c r="V295" s="402"/>
      <c r="W295" s="47"/>
    </row>
    <row r="296" spans="1:23" hidden="1">
      <c r="A296" s="423" t="s">
        <v>264</v>
      </c>
      <c r="B296" s="423"/>
      <c r="C296" s="423" t="s">
        <v>135</v>
      </c>
      <c r="D296" s="423" t="s">
        <v>277</v>
      </c>
      <c r="E296" s="424" t="s">
        <v>621</v>
      </c>
      <c r="F296" s="424"/>
      <c r="G296" s="424"/>
      <c r="H296" s="281"/>
      <c r="I296" s="425"/>
      <c r="J296" s="425"/>
      <c r="K296" s="426"/>
      <c r="L296" s="427"/>
      <c r="M296" s="427"/>
      <c r="N296" s="427"/>
      <c r="O296" s="428"/>
      <c r="P296" s="427"/>
      <c r="Q296" s="397"/>
      <c r="R296" s="398"/>
      <c r="S296" s="399"/>
      <c r="T296" s="400"/>
      <c r="U296" s="401"/>
      <c r="V296" s="402" t="s">
        <v>15</v>
      </c>
      <c r="W296" s="47"/>
    </row>
    <row r="297" spans="1:23" hidden="1">
      <c r="A297" s="423" t="s">
        <v>264</v>
      </c>
      <c r="B297" s="423">
        <v>305</v>
      </c>
      <c r="C297" s="423" t="s">
        <v>135</v>
      </c>
      <c r="D297" s="423" t="s">
        <v>277</v>
      </c>
      <c r="E297" s="424" t="s">
        <v>622</v>
      </c>
      <c r="F297" s="424"/>
      <c r="G297" s="424"/>
      <c r="H297" s="281"/>
      <c r="I297" s="425"/>
      <c r="J297" s="425"/>
      <c r="K297" s="426"/>
      <c r="L297" s="427"/>
      <c r="M297" s="427"/>
      <c r="N297" s="427"/>
      <c r="O297" s="428"/>
      <c r="P297" s="427"/>
      <c r="Q297" s="397"/>
      <c r="R297" s="398"/>
      <c r="S297" s="399"/>
      <c r="T297" s="400"/>
      <c r="U297" s="401"/>
      <c r="V297" s="402"/>
      <c r="W297" s="47"/>
    </row>
    <row r="298" spans="1:23" ht="45" hidden="1">
      <c r="A298" s="423" t="s">
        <v>264</v>
      </c>
      <c r="B298" s="423">
        <v>306</v>
      </c>
      <c r="C298" s="423" t="s">
        <v>449</v>
      </c>
      <c r="D298" s="423"/>
      <c r="E298" s="424" t="s">
        <v>623</v>
      </c>
      <c r="F298" s="424" t="s">
        <v>624</v>
      </c>
      <c r="G298" s="424" t="s">
        <v>267</v>
      </c>
      <c r="H298" s="281" t="s">
        <v>625</v>
      </c>
      <c r="I298" s="425">
        <v>172</v>
      </c>
      <c r="J298" s="425"/>
      <c r="K298" s="426" t="s">
        <v>268</v>
      </c>
      <c r="L298" s="427" t="s">
        <v>82</v>
      </c>
      <c r="M298" s="427" t="s">
        <v>115</v>
      </c>
      <c r="N298" s="427" t="s">
        <v>269</v>
      </c>
      <c r="O298" s="428" t="s">
        <v>253</v>
      </c>
      <c r="P298" s="427">
        <v>2025</v>
      </c>
      <c r="Q298" s="397" t="s">
        <v>15</v>
      </c>
      <c r="R298" s="398"/>
      <c r="S298" s="399"/>
      <c r="T298" s="400"/>
      <c r="U298" s="401"/>
      <c r="V298" s="402"/>
      <c r="W298" s="47"/>
    </row>
    <row r="299" spans="1:23" ht="45" hidden="1">
      <c r="A299" s="423" t="s">
        <v>264</v>
      </c>
      <c r="B299" s="423">
        <v>307</v>
      </c>
      <c r="C299" s="423" t="s">
        <v>449</v>
      </c>
      <c r="D299" s="423"/>
      <c r="E299" s="424" t="s">
        <v>626</v>
      </c>
      <c r="F299" s="424" t="s">
        <v>624</v>
      </c>
      <c r="G299" s="424" t="s">
        <v>267</v>
      </c>
      <c r="H299" s="281" t="s">
        <v>627</v>
      </c>
      <c r="I299" s="425">
        <v>797</v>
      </c>
      <c r="J299" s="425"/>
      <c r="K299" s="426" t="s">
        <v>268</v>
      </c>
      <c r="L299" s="427" t="s">
        <v>82</v>
      </c>
      <c r="M299" s="427" t="s">
        <v>115</v>
      </c>
      <c r="N299" s="427" t="s">
        <v>269</v>
      </c>
      <c r="O299" s="428" t="s">
        <v>253</v>
      </c>
      <c r="P299" s="427">
        <v>2020</v>
      </c>
      <c r="Q299" s="397" t="s">
        <v>15</v>
      </c>
      <c r="R299" s="398"/>
      <c r="S299" s="399"/>
      <c r="T299" s="400"/>
      <c r="U299" s="401"/>
      <c r="V299" s="402"/>
      <c r="W299" s="47"/>
    </row>
    <row r="300" spans="1:23" ht="45" hidden="1">
      <c r="A300" s="423" t="s">
        <v>264</v>
      </c>
      <c r="B300" s="423">
        <v>308</v>
      </c>
      <c r="C300" s="423" t="s">
        <v>449</v>
      </c>
      <c r="D300" s="423"/>
      <c r="E300" s="424" t="s">
        <v>628</v>
      </c>
      <c r="F300" s="424" t="s">
        <v>624</v>
      </c>
      <c r="G300" s="424" t="s">
        <v>267</v>
      </c>
      <c r="H300" s="281" t="s">
        <v>629</v>
      </c>
      <c r="I300" s="425">
        <v>798</v>
      </c>
      <c r="J300" s="425"/>
      <c r="K300" s="426" t="s">
        <v>268</v>
      </c>
      <c r="L300" s="427" t="s">
        <v>82</v>
      </c>
      <c r="M300" s="427" t="s">
        <v>115</v>
      </c>
      <c r="N300" s="427" t="s">
        <v>269</v>
      </c>
      <c r="O300" s="428" t="s">
        <v>253</v>
      </c>
      <c r="P300" s="427">
        <v>2021</v>
      </c>
      <c r="Q300" s="397" t="s">
        <v>15</v>
      </c>
      <c r="R300" s="398"/>
      <c r="S300" s="399"/>
      <c r="T300" s="400"/>
      <c r="U300" s="401"/>
      <c r="V300" s="402"/>
      <c r="W300" s="47"/>
    </row>
    <row r="301" spans="1:23" ht="45" hidden="1">
      <c r="A301" s="423" t="s">
        <v>264</v>
      </c>
      <c r="B301" s="423">
        <v>309</v>
      </c>
      <c r="C301" s="423" t="s">
        <v>449</v>
      </c>
      <c r="D301" s="423"/>
      <c r="E301" s="424" t="s">
        <v>630</v>
      </c>
      <c r="F301" s="424" t="s">
        <v>631</v>
      </c>
      <c r="G301" s="424" t="s">
        <v>267</v>
      </c>
      <c r="H301" s="277" t="s">
        <v>632</v>
      </c>
      <c r="I301" s="78">
        <v>1079</v>
      </c>
      <c r="J301" s="78"/>
      <c r="K301" s="426" t="s">
        <v>268</v>
      </c>
      <c r="L301" s="427" t="s">
        <v>268</v>
      </c>
      <c r="M301" s="427" t="s">
        <v>134</v>
      </c>
      <c r="N301" s="80" t="s">
        <v>269</v>
      </c>
      <c r="O301" s="217" t="s">
        <v>253</v>
      </c>
      <c r="P301" s="80">
        <v>2018</v>
      </c>
      <c r="Q301" s="397"/>
      <c r="R301" s="398"/>
      <c r="S301" s="399"/>
      <c r="T301" s="400"/>
      <c r="U301" s="401"/>
      <c r="V301" s="402"/>
      <c r="W301" s="47"/>
    </row>
    <row r="302" spans="1:23" ht="45" hidden="1">
      <c r="A302" s="423" t="s">
        <v>264</v>
      </c>
      <c r="B302" s="423">
        <v>310</v>
      </c>
      <c r="C302" s="423" t="s">
        <v>449</v>
      </c>
      <c r="D302" s="423"/>
      <c r="E302" s="424" t="s">
        <v>633</v>
      </c>
      <c r="F302" s="424" t="s">
        <v>634</v>
      </c>
      <c r="G302" s="424" t="s">
        <v>267</v>
      </c>
      <c r="H302" s="281" t="s">
        <v>268</v>
      </c>
      <c r="I302" s="425">
        <v>926</v>
      </c>
      <c r="J302" s="425"/>
      <c r="K302" s="426" t="s">
        <v>268</v>
      </c>
      <c r="L302" s="427" t="s">
        <v>80</v>
      </c>
      <c r="M302" s="427" t="s">
        <v>115</v>
      </c>
      <c r="N302" s="427" t="s">
        <v>269</v>
      </c>
      <c r="O302" s="428" t="s">
        <v>253</v>
      </c>
      <c r="P302" s="427">
        <v>2024</v>
      </c>
      <c r="Q302" s="397" t="s">
        <v>15</v>
      </c>
      <c r="R302" s="398"/>
      <c r="S302" s="399"/>
      <c r="T302" s="400"/>
      <c r="U302" s="401"/>
      <c r="V302" s="402"/>
      <c r="W302" s="47"/>
    </row>
    <row r="303" spans="1:23" ht="45" hidden="1">
      <c r="A303" s="423" t="s">
        <v>264</v>
      </c>
      <c r="B303" s="423">
        <v>311</v>
      </c>
      <c r="C303" s="423" t="s">
        <v>449</v>
      </c>
      <c r="D303" s="423"/>
      <c r="E303" s="424" t="s">
        <v>635</v>
      </c>
      <c r="F303" s="424" t="s">
        <v>634</v>
      </c>
      <c r="G303" s="424" t="s">
        <v>267</v>
      </c>
      <c r="H303" s="281" t="s">
        <v>268</v>
      </c>
      <c r="I303" s="425">
        <v>925</v>
      </c>
      <c r="J303" s="425"/>
      <c r="K303" s="426" t="s">
        <v>268</v>
      </c>
      <c r="L303" s="427" t="s">
        <v>80</v>
      </c>
      <c r="M303" s="427" t="s">
        <v>115</v>
      </c>
      <c r="N303" s="427" t="s">
        <v>269</v>
      </c>
      <c r="O303" s="428" t="s">
        <v>253</v>
      </c>
      <c r="P303" s="427">
        <v>2022</v>
      </c>
      <c r="Q303" s="397" t="s">
        <v>15</v>
      </c>
      <c r="R303" s="398"/>
      <c r="S303" s="399"/>
      <c r="T303" s="400"/>
      <c r="U303" s="401"/>
      <c r="V303" s="402"/>
      <c r="W303" s="47"/>
    </row>
    <row r="304" spans="1:23" ht="45" hidden="1">
      <c r="A304" s="423" t="s">
        <v>264</v>
      </c>
      <c r="B304" s="423">
        <v>312</v>
      </c>
      <c r="C304" s="423" t="s">
        <v>449</v>
      </c>
      <c r="D304" s="423"/>
      <c r="E304" s="424" t="s">
        <v>636</v>
      </c>
      <c r="F304" s="424" t="s">
        <v>637</v>
      </c>
      <c r="G304" s="424" t="s">
        <v>267</v>
      </c>
      <c r="H304" s="281">
        <v>4059809</v>
      </c>
      <c r="I304" s="425">
        <v>103</v>
      </c>
      <c r="J304" s="425"/>
      <c r="K304" s="426" t="s">
        <v>268</v>
      </c>
      <c r="L304" s="427" t="s">
        <v>82</v>
      </c>
      <c r="M304" s="427" t="s">
        <v>115</v>
      </c>
      <c r="N304" s="427" t="s">
        <v>269</v>
      </c>
      <c r="O304" s="428" t="s">
        <v>253</v>
      </c>
      <c r="P304" s="427">
        <v>2019</v>
      </c>
      <c r="Q304" s="397" t="s">
        <v>15</v>
      </c>
      <c r="R304" s="398"/>
      <c r="S304" s="399"/>
      <c r="T304" s="400"/>
      <c r="U304" s="401"/>
      <c r="V304" s="402"/>
      <c r="W304" s="47"/>
    </row>
    <row r="305" spans="1:23" ht="45" hidden="1">
      <c r="A305" s="423" t="s">
        <v>264</v>
      </c>
      <c r="B305" s="423">
        <v>313</v>
      </c>
      <c r="C305" s="423" t="s">
        <v>449</v>
      </c>
      <c r="D305" s="423"/>
      <c r="E305" s="424" t="s">
        <v>638</v>
      </c>
      <c r="F305" s="424" t="s">
        <v>637</v>
      </c>
      <c r="G305" s="424" t="s">
        <v>267</v>
      </c>
      <c r="H305" s="281">
        <v>4061909</v>
      </c>
      <c r="I305" s="425">
        <v>104</v>
      </c>
      <c r="J305" s="425"/>
      <c r="K305" s="426" t="s">
        <v>268</v>
      </c>
      <c r="L305" s="427" t="s">
        <v>82</v>
      </c>
      <c r="M305" s="427" t="s">
        <v>115</v>
      </c>
      <c r="N305" s="427" t="s">
        <v>269</v>
      </c>
      <c r="O305" s="428" t="s">
        <v>253</v>
      </c>
      <c r="P305" s="427">
        <v>2018</v>
      </c>
      <c r="Q305" s="397" t="s">
        <v>15</v>
      </c>
      <c r="R305" s="398"/>
      <c r="S305" s="399"/>
      <c r="T305" s="400"/>
      <c r="U305" s="401"/>
      <c r="V305" s="402"/>
      <c r="W305" s="47"/>
    </row>
    <row r="306" spans="1:23" s="430" customFormat="1" ht="45" hidden="1">
      <c r="A306" s="397" t="s">
        <v>264</v>
      </c>
      <c r="B306" s="397">
        <v>314</v>
      </c>
      <c r="C306" s="397" t="s">
        <v>449</v>
      </c>
      <c r="D306" s="397"/>
      <c r="E306" s="390" t="s">
        <v>639</v>
      </c>
      <c r="F306" s="390" t="s">
        <v>637</v>
      </c>
      <c r="G306" s="390" t="s">
        <v>452</v>
      </c>
      <c r="H306" s="277" t="s">
        <v>268</v>
      </c>
      <c r="I306" s="78">
        <v>18</v>
      </c>
      <c r="J306" s="78"/>
      <c r="K306" s="462">
        <v>35961</v>
      </c>
      <c r="L306" s="397" t="s">
        <v>253</v>
      </c>
      <c r="M306" s="397" t="s">
        <v>457</v>
      </c>
      <c r="N306" s="80">
        <v>2023</v>
      </c>
      <c r="O306" s="217" t="s">
        <v>253</v>
      </c>
      <c r="P306" s="80">
        <v>2023</v>
      </c>
      <c r="Q306" s="397" t="s">
        <v>15</v>
      </c>
      <c r="R306" s="397"/>
      <c r="S306" s="397"/>
      <c r="T306" s="397"/>
      <c r="U306" s="397"/>
      <c r="V306" s="397"/>
      <c r="W306" s="390"/>
    </row>
    <row r="307" spans="1:23" ht="45" hidden="1">
      <c r="A307" s="423" t="s">
        <v>264</v>
      </c>
      <c r="B307" s="423">
        <v>315</v>
      </c>
      <c r="C307" s="423" t="s">
        <v>449</v>
      </c>
      <c r="D307" s="423"/>
      <c r="E307" s="424" t="s">
        <v>640</v>
      </c>
      <c r="F307" s="424" t="s">
        <v>637</v>
      </c>
      <c r="G307" s="424" t="s">
        <v>267</v>
      </c>
      <c r="H307" s="281" t="s">
        <v>268</v>
      </c>
      <c r="I307" s="425">
        <v>1337</v>
      </c>
      <c r="J307" s="425"/>
      <c r="K307" s="426" t="s">
        <v>253</v>
      </c>
      <c r="L307" s="427" t="s">
        <v>14</v>
      </c>
      <c r="M307" s="427" t="s">
        <v>115</v>
      </c>
      <c r="N307" s="444" t="s">
        <v>269</v>
      </c>
      <c r="O307" s="428" t="s">
        <v>253</v>
      </c>
      <c r="P307" s="427">
        <v>2017</v>
      </c>
      <c r="Q307" s="397" t="s">
        <v>15</v>
      </c>
      <c r="R307" s="398"/>
      <c r="S307" s="399"/>
      <c r="T307" s="400"/>
      <c r="U307" s="401"/>
      <c r="V307" s="402"/>
      <c r="W307" s="47"/>
    </row>
    <row r="308" spans="1:23" s="430" customFormat="1" ht="45" hidden="1">
      <c r="A308" s="397" t="s">
        <v>264</v>
      </c>
      <c r="B308" s="397">
        <v>316</v>
      </c>
      <c r="C308" s="397" t="s">
        <v>449</v>
      </c>
      <c r="D308" s="397"/>
      <c r="E308" s="390" t="s">
        <v>641</v>
      </c>
      <c r="F308" s="390" t="s">
        <v>253</v>
      </c>
      <c r="G308" s="390" t="s">
        <v>452</v>
      </c>
      <c r="H308" s="277" t="s">
        <v>268</v>
      </c>
      <c r="I308" s="78">
        <v>16</v>
      </c>
      <c r="J308" s="78"/>
      <c r="K308" s="397" t="s">
        <v>253</v>
      </c>
      <c r="L308" s="397" t="s">
        <v>253</v>
      </c>
      <c r="M308" s="397" t="s">
        <v>530</v>
      </c>
      <c r="N308" s="283" t="s">
        <v>269</v>
      </c>
      <c r="O308" s="217" t="s">
        <v>253</v>
      </c>
      <c r="P308" s="283">
        <v>2016</v>
      </c>
      <c r="Q308" s="397"/>
      <c r="R308" s="397"/>
      <c r="S308" s="397"/>
      <c r="T308" s="397"/>
      <c r="U308" s="397"/>
      <c r="V308" s="397"/>
      <c r="W308" s="390"/>
    </row>
    <row r="309" spans="1:23" ht="45" hidden="1">
      <c r="A309" s="423" t="s">
        <v>264</v>
      </c>
      <c r="B309" s="423">
        <v>317</v>
      </c>
      <c r="C309" s="423" t="s">
        <v>449</v>
      </c>
      <c r="D309" s="423"/>
      <c r="E309" s="424" t="s">
        <v>642</v>
      </c>
      <c r="F309" s="424" t="s">
        <v>643</v>
      </c>
      <c r="G309" s="424" t="s">
        <v>452</v>
      </c>
      <c r="H309" s="281" t="s">
        <v>268</v>
      </c>
      <c r="I309" s="425">
        <v>1359</v>
      </c>
      <c r="J309" s="425"/>
      <c r="K309" s="276">
        <v>42387</v>
      </c>
      <c r="L309" s="427" t="s">
        <v>47</v>
      </c>
      <c r="M309" s="427" t="s">
        <v>115</v>
      </c>
      <c r="N309" s="427" t="s">
        <v>269</v>
      </c>
      <c r="O309" s="428" t="s">
        <v>253</v>
      </c>
      <c r="P309" s="427">
        <v>2026</v>
      </c>
      <c r="Q309" s="397" t="s">
        <v>15</v>
      </c>
      <c r="R309" s="398"/>
      <c r="S309" s="399"/>
      <c r="T309" s="400"/>
      <c r="U309" s="401"/>
      <c r="V309" s="402"/>
      <c r="W309" s="47"/>
    </row>
    <row r="310" spans="1:23" s="430" customFormat="1" ht="45" hidden="1">
      <c r="A310" s="397" t="s">
        <v>264</v>
      </c>
      <c r="B310" s="397">
        <v>318</v>
      </c>
      <c r="C310" s="397" t="s">
        <v>449</v>
      </c>
      <c r="D310" s="397"/>
      <c r="E310" s="390" t="s">
        <v>644</v>
      </c>
      <c r="F310" s="390" t="s">
        <v>645</v>
      </c>
      <c r="G310" s="390" t="s">
        <v>267</v>
      </c>
      <c r="H310" s="277">
        <v>43889</v>
      </c>
      <c r="I310" s="78">
        <v>124</v>
      </c>
      <c r="J310" s="78"/>
      <c r="K310" s="397" t="s">
        <v>268</v>
      </c>
      <c r="L310" s="397" t="s">
        <v>268</v>
      </c>
      <c r="M310" s="397" t="s">
        <v>134</v>
      </c>
      <c r="N310" s="80" t="s">
        <v>269</v>
      </c>
      <c r="O310" s="217" t="s">
        <v>253</v>
      </c>
      <c r="P310" s="80">
        <v>2017</v>
      </c>
      <c r="Q310" s="397" t="s">
        <v>15</v>
      </c>
      <c r="R310" s="397"/>
      <c r="S310" s="397"/>
      <c r="T310" s="397"/>
      <c r="U310" s="397"/>
      <c r="V310" s="397"/>
      <c r="W310" s="390"/>
    </row>
    <row r="311" spans="1:23" ht="45" hidden="1">
      <c r="A311" s="423" t="s">
        <v>264</v>
      </c>
      <c r="B311" s="423">
        <v>319</v>
      </c>
      <c r="C311" s="423" t="s">
        <v>449</v>
      </c>
      <c r="D311" s="423"/>
      <c r="E311" s="424" t="s">
        <v>646</v>
      </c>
      <c r="F311" s="424" t="s">
        <v>647</v>
      </c>
      <c r="G311" s="424" t="s">
        <v>267</v>
      </c>
      <c r="H311" s="281" t="s">
        <v>648</v>
      </c>
      <c r="I311" s="425">
        <v>802</v>
      </c>
      <c r="J311" s="425"/>
      <c r="K311" s="426" t="s">
        <v>268</v>
      </c>
      <c r="L311" s="427" t="s">
        <v>80</v>
      </c>
      <c r="M311" s="427" t="s">
        <v>115</v>
      </c>
      <c r="N311" s="427" t="s">
        <v>269</v>
      </c>
      <c r="O311" s="428" t="s">
        <v>253</v>
      </c>
      <c r="P311" s="427">
        <v>2017</v>
      </c>
      <c r="Q311" s="397" t="s">
        <v>15</v>
      </c>
      <c r="R311" s="398"/>
      <c r="S311" s="399"/>
      <c r="T311" s="400"/>
      <c r="U311" s="401"/>
      <c r="V311" s="402"/>
      <c r="W311" s="47"/>
    </row>
    <row r="312" spans="1:23" s="430" customFormat="1" ht="45" hidden="1">
      <c r="A312" s="397" t="s">
        <v>264</v>
      </c>
      <c r="B312" s="397">
        <v>320</v>
      </c>
      <c r="C312" s="397" t="s">
        <v>449</v>
      </c>
      <c r="D312" s="397"/>
      <c r="E312" s="390" t="s">
        <v>649</v>
      </c>
      <c r="F312" s="390" t="s">
        <v>268</v>
      </c>
      <c r="G312" s="390" t="s">
        <v>267</v>
      </c>
      <c r="H312" s="277" t="s">
        <v>268</v>
      </c>
      <c r="I312" s="78">
        <v>174</v>
      </c>
      <c r="J312" s="78"/>
      <c r="K312" s="397" t="s">
        <v>268</v>
      </c>
      <c r="L312" s="397" t="s">
        <v>268</v>
      </c>
      <c r="M312" s="397" t="s">
        <v>134</v>
      </c>
      <c r="N312" s="80" t="s">
        <v>269</v>
      </c>
      <c r="O312" s="217" t="s">
        <v>253</v>
      </c>
      <c r="P312" s="80">
        <v>2018</v>
      </c>
      <c r="Q312" s="397"/>
      <c r="R312" s="397"/>
      <c r="S312" s="397"/>
      <c r="T312" s="397"/>
      <c r="U312" s="397"/>
      <c r="V312" s="397"/>
      <c r="W312" s="390"/>
    </row>
    <row r="313" spans="1:23" ht="45" hidden="1">
      <c r="A313" s="423" t="s">
        <v>264</v>
      </c>
      <c r="B313" s="423">
        <v>321</v>
      </c>
      <c r="C313" s="423" t="s">
        <v>449</v>
      </c>
      <c r="D313" s="423"/>
      <c r="E313" s="424" t="s">
        <v>650</v>
      </c>
      <c r="F313" s="424" t="s">
        <v>651</v>
      </c>
      <c r="G313" s="424" t="s">
        <v>267</v>
      </c>
      <c r="H313" s="281" t="s">
        <v>268</v>
      </c>
      <c r="I313" s="425">
        <v>1208</v>
      </c>
      <c r="J313" s="425"/>
      <c r="K313" s="426" t="s">
        <v>253</v>
      </c>
      <c r="L313" s="427" t="s">
        <v>47</v>
      </c>
      <c r="M313" s="427" t="s">
        <v>115</v>
      </c>
      <c r="N313" s="427" t="s">
        <v>269</v>
      </c>
      <c r="O313" s="428" t="s">
        <v>253</v>
      </c>
      <c r="P313" s="427">
        <v>2020</v>
      </c>
      <c r="Q313" s="397" t="s">
        <v>15</v>
      </c>
      <c r="R313" s="398"/>
      <c r="S313" s="399"/>
      <c r="T313" s="400"/>
      <c r="U313" s="401"/>
      <c r="V313" s="402"/>
      <c r="W313" s="47"/>
    </row>
    <row r="314" spans="1:23" s="474" customFormat="1" ht="45" hidden="1">
      <c r="A314" s="475" t="s">
        <v>264</v>
      </c>
      <c r="B314" s="475">
        <v>322</v>
      </c>
      <c r="C314" s="475" t="s">
        <v>449</v>
      </c>
      <c r="D314" s="475"/>
      <c r="E314" s="451" t="s">
        <v>652</v>
      </c>
      <c r="F314" s="451" t="s">
        <v>653</v>
      </c>
      <c r="G314" s="451" t="s">
        <v>267</v>
      </c>
      <c r="H314" s="411" t="s">
        <v>268</v>
      </c>
      <c r="I314" s="412">
        <v>1209</v>
      </c>
      <c r="J314" s="412"/>
      <c r="K314" s="476" t="s">
        <v>76</v>
      </c>
      <c r="L314" s="477" t="s">
        <v>47</v>
      </c>
      <c r="M314" s="477" t="s">
        <v>115</v>
      </c>
      <c r="N314" s="414" t="s">
        <v>269</v>
      </c>
      <c r="O314" s="415" t="s">
        <v>253</v>
      </c>
      <c r="P314" s="414" t="s">
        <v>76</v>
      </c>
      <c r="Q314" s="464"/>
      <c r="R314" s="478"/>
      <c r="S314" s="479"/>
      <c r="T314" s="480"/>
      <c r="U314" s="481"/>
      <c r="V314" s="482"/>
      <c r="W314" s="473" t="s">
        <v>654</v>
      </c>
    </row>
    <row r="315" spans="1:23" ht="45" hidden="1">
      <c r="A315" s="423" t="s">
        <v>264</v>
      </c>
      <c r="B315" s="423">
        <v>323</v>
      </c>
      <c r="C315" s="423" t="s">
        <v>449</v>
      </c>
      <c r="D315" s="423"/>
      <c r="E315" s="424" t="s">
        <v>655</v>
      </c>
      <c r="F315" s="424" t="s">
        <v>651</v>
      </c>
      <c r="G315" s="424" t="s">
        <v>280</v>
      </c>
      <c r="H315" s="281" t="s">
        <v>268</v>
      </c>
      <c r="I315" s="445">
        <v>143</v>
      </c>
      <c r="J315" s="446"/>
      <c r="K315" s="426" t="s">
        <v>76</v>
      </c>
      <c r="L315" s="427" t="s">
        <v>14</v>
      </c>
      <c r="M315" s="427" t="s">
        <v>115</v>
      </c>
      <c r="N315" s="427" t="s">
        <v>269</v>
      </c>
      <c r="O315" s="428" t="s">
        <v>253</v>
      </c>
      <c r="P315" s="427">
        <v>2025</v>
      </c>
      <c r="Q315" s="397" t="s">
        <v>15</v>
      </c>
      <c r="R315" s="398"/>
      <c r="S315" s="399"/>
      <c r="T315" s="400"/>
      <c r="U315" s="401"/>
      <c r="V315" s="402"/>
      <c r="W315" s="280" t="s">
        <v>654</v>
      </c>
    </row>
    <row r="316" spans="1:23" s="474" customFormat="1" ht="45" hidden="1">
      <c r="A316" s="475" t="s">
        <v>264</v>
      </c>
      <c r="B316" s="475">
        <v>324</v>
      </c>
      <c r="C316" s="475" t="s">
        <v>449</v>
      </c>
      <c r="D316" s="475"/>
      <c r="E316" s="451" t="s">
        <v>656</v>
      </c>
      <c r="F316" s="451" t="s">
        <v>653</v>
      </c>
      <c r="G316" s="451" t="s">
        <v>280</v>
      </c>
      <c r="H316" s="411" t="s">
        <v>268</v>
      </c>
      <c r="I316" s="447">
        <v>142</v>
      </c>
      <c r="J316" s="448"/>
      <c r="K316" s="476">
        <v>2024</v>
      </c>
      <c r="L316" s="477" t="s">
        <v>19</v>
      </c>
      <c r="M316" s="477" t="s">
        <v>115</v>
      </c>
      <c r="N316" s="414" t="s">
        <v>269</v>
      </c>
      <c r="O316" s="415" t="s">
        <v>253</v>
      </c>
      <c r="P316" s="414" t="s">
        <v>268</v>
      </c>
      <c r="Q316" s="464"/>
      <c r="R316" s="478" t="s">
        <v>15</v>
      </c>
      <c r="S316" s="479"/>
      <c r="T316" s="480"/>
      <c r="U316" s="481"/>
      <c r="V316" s="482"/>
      <c r="W316" s="473" t="s">
        <v>654</v>
      </c>
    </row>
    <row r="317" spans="1:23" ht="45" hidden="1">
      <c r="A317" s="423" t="s">
        <v>264</v>
      </c>
      <c r="B317" s="423">
        <v>325</v>
      </c>
      <c r="C317" s="423" t="s">
        <v>449</v>
      </c>
      <c r="D317" s="423"/>
      <c r="E317" s="424" t="s">
        <v>657</v>
      </c>
      <c r="F317" s="424" t="s">
        <v>651</v>
      </c>
      <c r="G317" s="424" t="s">
        <v>452</v>
      </c>
      <c r="H317" s="281" t="s">
        <v>268</v>
      </c>
      <c r="I317" s="445">
        <v>14</v>
      </c>
      <c r="J317" s="446"/>
      <c r="K317" s="276">
        <v>35200</v>
      </c>
      <c r="L317" s="427" t="s">
        <v>47</v>
      </c>
      <c r="M317" s="427" t="s">
        <v>115</v>
      </c>
      <c r="N317" s="427" t="s">
        <v>658</v>
      </c>
      <c r="O317" s="428" t="s">
        <v>253</v>
      </c>
      <c r="P317" s="427">
        <v>2020</v>
      </c>
      <c r="Q317" s="397" t="s">
        <v>15</v>
      </c>
      <c r="R317" s="398"/>
      <c r="S317" s="399"/>
      <c r="T317" s="400"/>
      <c r="U317" s="401"/>
      <c r="V317" s="402"/>
      <c r="W317" s="280" t="s">
        <v>654</v>
      </c>
    </row>
    <row r="318" spans="1:23" ht="45" hidden="1">
      <c r="A318" s="423" t="s">
        <v>264</v>
      </c>
      <c r="B318" s="423">
        <v>326</v>
      </c>
      <c r="C318" s="423" t="s">
        <v>449</v>
      </c>
      <c r="D318" s="423"/>
      <c r="E318" s="424" t="s">
        <v>659</v>
      </c>
      <c r="F318" s="424" t="s">
        <v>653</v>
      </c>
      <c r="G318" s="424" t="s">
        <v>303</v>
      </c>
      <c r="H318" s="281" t="s">
        <v>268</v>
      </c>
      <c r="I318" s="445">
        <v>67</v>
      </c>
      <c r="J318" s="446"/>
      <c r="K318" s="276">
        <v>37438</v>
      </c>
      <c r="L318" s="427" t="s">
        <v>47</v>
      </c>
      <c r="M318" s="427" t="s">
        <v>115</v>
      </c>
      <c r="N318" s="427" t="s">
        <v>660</v>
      </c>
      <c r="O318" s="428" t="s">
        <v>253</v>
      </c>
      <c r="P318" s="427">
        <v>2022</v>
      </c>
      <c r="Q318" s="397" t="s">
        <v>15</v>
      </c>
      <c r="R318" s="398"/>
      <c r="S318" s="399"/>
      <c r="T318" s="400"/>
      <c r="U318" s="401"/>
      <c r="V318" s="402"/>
      <c r="W318" s="280" t="s">
        <v>654</v>
      </c>
    </row>
    <row r="319" spans="1:23" ht="45" hidden="1">
      <c r="A319" s="423" t="s">
        <v>264</v>
      </c>
      <c r="B319" s="423">
        <v>327</v>
      </c>
      <c r="C319" s="423" t="s">
        <v>449</v>
      </c>
      <c r="D319" s="423"/>
      <c r="E319" s="424" t="s">
        <v>661</v>
      </c>
      <c r="F319" s="424" t="s">
        <v>662</v>
      </c>
      <c r="G319" s="424" t="s">
        <v>267</v>
      </c>
      <c r="H319" s="281">
        <v>89775</v>
      </c>
      <c r="I319" s="445">
        <v>833</v>
      </c>
      <c r="J319" s="446"/>
      <c r="K319" s="426" t="s">
        <v>268</v>
      </c>
      <c r="L319" s="427" t="s">
        <v>80</v>
      </c>
      <c r="M319" s="427" t="s">
        <v>115</v>
      </c>
      <c r="N319" s="427" t="s">
        <v>269</v>
      </c>
      <c r="O319" s="428" t="s">
        <v>253</v>
      </c>
      <c r="P319" s="427">
        <v>2016</v>
      </c>
      <c r="Q319" s="397" t="s">
        <v>15</v>
      </c>
      <c r="R319" s="398"/>
      <c r="S319" s="399"/>
      <c r="T319" s="400"/>
      <c r="U319" s="401"/>
      <c r="V319" s="402"/>
      <c r="W319" s="47"/>
    </row>
    <row r="320" spans="1:23" s="474" customFormat="1" ht="45" hidden="1">
      <c r="A320" s="475" t="s">
        <v>264</v>
      </c>
      <c r="B320" s="475">
        <v>328</v>
      </c>
      <c r="C320" s="475" t="s">
        <v>449</v>
      </c>
      <c r="D320" s="475"/>
      <c r="E320" s="451" t="s">
        <v>663</v>
      </c>
      <c r="F320" s="483" t="s">
        <v>268</v>
      </c>
      <c r="G320" s="451" t="s">
        <v>267</v>
      </c>
      <c r="H320" s="411" t="s">
        <v>268</v>
      </c>
      <c r="I320" s="447">
        <v>162</v>
      </c>
      <c r="J320" s="448" t="s">
        <v>268</v>
      </c>
      <c r="K320" s="476" t="s">
        <v>268</v>
      </c>
      <c r="L320" s="477" t="s">
        <v>268</v>
      </c>
      <c r="M320" s="477" t="s">
        <v>268</v>
      </c>
      <c r="N320" s="414" t="s">
        <v>268</v>
      </c>
      <c r="O320" s="415" t="s">
        <v>253</v>
      </c>
      <c r="P320" s="414" t="s">
        <v>268</v>
      </c>
      <c r="Q320" s="464"/>
      <c r="R320" s="478"/>
      <c r="S320" s="479"/>
      <c r="T320" s="480"/>
      <c r="U320" s="481"/>
      <c r="V320" s="482"/>
      <c r="W320" s="473" t="s">
        <v>248</v>
      </c>
    </row>
    <row r="321" spans="1:23" s="474" customFormat="1" ht="45" hidden="1">
      <c r="A321" s="475" t="s">
        <v>264</v>
      </c>
      <c r="B321" s="475">
        <v>329</v>
      </c>
      <c r="C321" s="475" t="s">
        <v>449</v>
      </c>
      <c r="D321" s="475"/>
      <c r="E321" s="451" t="s">
        <v>664</v>
      </c>
      <c r="F321" s="483" t="s">
        <v>268</v>
      </c>
      <c r="G321" s="451" t="s">
        <v>452</v>
      </c>
      <c r="H321" s="411" t="s">
        <v>268</v>
      </c>
      <c r="I321" s="447">
        <v>1504</v>
      </c>
      <c r="J321" s="448"/>
      <c r="K321" s="484">
        <v>42737</v>
      </c>
      <c r="L321" s="477" t="s">
        <v>82</v>
      </c>
      <c r="M321" s="477" t="s">
        <v>115</v>
      </c>
      <c r="N321" s="414" t="s">
        <v>269</v>
      </c>
      <c r="O321" s="415" t="s">
        <v>253</v>
      </c>
      <c r="P321" s="414">
        <v>2027</v>
      </c>
      <c r="Q321" s="464"/>
      <c r="R321" s="478"/>
      <c r="S321" s="479"/>
      <c r="T321" s="480"/>
      <c r="U321" s="481"/>
      <c r="V321" s="482"/>
      <c r="W321" s="473" t="s">
        <v>248</v>
      </c>
    </row>
    <row r="322" spans="1:23" s="474" customFormat="1" ht="45" hidden="1">
      <c r="A322" s="475" t="s">
        <v>264</v>
      </c>
      <c r="B322" s="475">
        <v>330</v>
      </c>
      <c r="C322" s="475" t="s">
        <v>449</v>
      </c>
      <c r="D322" s="475"/>
      <c r="E322" s="451" t="s">
        <v>665</v>
      </c>
      <c r="F322" s="483" t="s">
        <v>268</v>
      </c>
      <c r="G322" s="451" t="s">
        <v>303</v>
      </c>
      <c r="H322" s="411" t="s">
        <v>268</v>
      </c>
      <c r="I322" s="447" t="s">
        <v>666</v>
      </c>
      <c r="J322" s="448"/>
      <c r="K322" s="476" t="s">
        <v>268</v>
      </c>
      <c r="L322" s="477"/>
      <c r="M322" s="477" t="s">
        <v>115</v>
      </c>
      <c r="N322" s="414" t="s">
        <v>269</v>
      </c>
      <c r="O322" s="415" t="s">
        <v>253</v>
      </c>
      <c r="P322" s="414" t="s">
        <v>268</v>
      </c>
      <c r="Q322" s="464"/>
      <c r="R322" s="478"/>
      <c r="S322" s="479"/>
      <c r="T322" s="480"/>
      <c r="U322" s="481"/>
      <c r="V322" s="482"/>
      <c r="W322" s="473" t="s">
        <v>248</v>
      </c>
    </row>
    <row r="323" spans="1:23" ht="45" hidden="1">
      <c r="A323" s="423" t="s">
        <v>264</v>
      </c>
      <c r="B323" s="423">
        <v>331</v>
      </c>
      <c r="C323" s="423" t="s">
        <v>449</v>
      </c>
      <c r="D323" s="423"/>
      <c r="E323" s="424" t="s">
        <v>667</v>
      </c>
      <c r="F323" s="424" t="s">
        <v>268</v>
      </c>
      <c r="G323" s="424" t="s">
        <v>452</v>
      </c>
      <c r="H323" s="277" t="s">
        <v>268</v>
      </c>
      <c r="I323" s="389" t="s">
        <v>668</v>
      </c>
      <c r="J323" s="78"/>
      <c r="K323" s="426" t="s">
        <v>268</v>
      </c>
      <c r="L323" s="427"/>
      <c r="M323" s="427" t="s">
        <v>134</v>
      </c>
      <c r="N323" s="80" t="s">
        <v>269</v>
      </c>
      <c r="O323" s="217" t="s">
        <v>253</v>
      </c>
      <c r="P323" s="80" t="s">
        <v>268</v>
      </c>
      <c r="Q323" s="397"/>
      <c r="R323" s="398"/>
      <c r="S323" s="399"/>
      <c r="T323" s="400"/>
      <c r="U323" s="401"/>
      <c r="V323" s="402"/>
      <c r="W323" s="47"/>
    </row>
    <row r="324" spans="1:23" ht="45" hidden="1">
      <c r="A324" s="423" t="s">
        <v>264</v>
      </c>
      <c r="B324" s="423">
        <v>332</v>
      </c>
      <c r="C324" s="423" t="s">
        <v>449</v>
      </c>
      <c r="D324" s="423"/>
      <c r="E324" s="424" t="s">
        <v>669</v>
      </c>
      <c r="F324" s="424" t="s">
        <v>670</v>
      </c>
      <c r="G324" s="424" t="s">
        <v>452</v>
      </c>
      <c r="H324" s="277" t="s">
        <v>268</v>
      </c>
      <c r="I324" s="389" t="s">
        <v>671</v>
      </c>
      <c r="J324" s="78"/>
      <c r="K324" s="426" t="s">
        <v>268</v>
      </c>
      <c r="L324" s="427"/>
      <c r="M324" s="427" t="s">
        <v>134</v>
      </c>
      <c r="N324" s="80" t="s">
        <v>269</v>
      </c>
      <c r="O324" s="217" t="s">
        <v>253</v>
      </c>
      <c r="P324" s="80" t="s">
        <v>268</v>
      </c>
      <c r="Q324" s="397"/>
      <c r="R324" s="398"/>
      <c r="S324" s="399"/>
      <c r="T324" s="400"/>
      <c r="U324" s="401"/>
      <c r="V324" s="402"/>
      <c r="W324" s="47"/>
    </row>
    <row r="325" spans="1:23" ht="45" hidden="1">
      <c r="A325" s="423" t="s">
        <v>264</v>
      </c>
      <c r="B325" s="423">
        <v>333</v>
      </c>
      <c r="C325" s="423" t="s">
        <v>449</v>
      </c>
      <c r="D325" s="423"/>
      <c r="E325" s="424" t="s">
        <v>672</v>
      </c>
      <c r="F325" s="424" t="s">
        <v>624</v>
      </c>
      <c r="G325" s="424" t="s">
        <v>452</v>
      </c>
      <c r="H325" s="281" t="s">
        <v>268</v>
      </c>
      <c r="I325" s="445">
        <v>2079</v>
      </c>
      <c r="J325" s="425"/>
      <c r="K325" s="426" t="s">
        <v>268</v>
      </c>
      <c r="L325" s="427" t="s">
        <v>80</v>
      </c>
      <c r="M325" s="427" t="s">
        <v>115</v>
      </c>
      <c r="N325" s="427" t="s">
        <v>269</v>
      </c>
      <c r="O325" s="428" t="s">
        <v>253</v>
      </c>
      <c r="P325" s="427">
        <v>2029</v>
      </c>
      <c r="Q325" s="397"/>
      <c r="R325" s="398"/>
      <c r="S325" s="399"/>
      <c r="T325" s="400" t="s">
        <v>15</v>
      </c>
      <c r="U325" s="401"/>
      <c r="V325" s="402"/>
      <c r="W325" s="47"/>
    </row>
    <row r="326" spans="1:23" ht="45" hidden="1">
      <c r="A326" s="423" t="s">
        <v>264</v>
      </c>
      <c r="B326" s="423">
        <v>334</v>
      </c>
      <c r="C326" s="423" t="s">
        <v>449</v>
      </c>
      <c r="D326" s="423"/>
      <c r="E326" s="424" t="s">
        <v>673</v>
      </c>
      <c r="F326" s="424" t="s">
        <v>624</v>
      </c>
      <c r="G326" s="424" t="s">
        <v>267</v>
      </c>
      <c r="H326" s="281" t="s">
        <v>268</v>
      </c>
      <c r="I326" s="425">
        <v>1410</v>
      </c>
      <c r="J326" s="425"/>
      <c r="K326" s="276">
        <v>42552</v>
      </c>
      <c r="L326" s="427" t="s">
        <v>86</v>
      </c>
      <c r="M326" s="427" t="s">
        <v>115</v>
      </c>
      <c r="N326" s="427" t="s">
        <v>269</v>
      </c>
      <c r="O326" s="428" t="s">
        <v>253</v>
      </c>
      <c r="P326" s="427">
        <v>2026</v>
      </c>
      <c r="Q326" s="397" t="s">
        <v>15</v>
      </c>
      <c r="R326" s="398"/>
      <c r="S326" s="399"/>
      <c r="T326" s="400"/>
      <c r="U326" s="401"/>
      <c r="V326" s="402"/>
      <c r="W326" s="47"/>
    </row>
    <row r="327" spans="1:23" ht="45" hidden="1">
      <c r="A327" s="423" t="s">
        <v>264</v>
      </c>
      <c r="B327" s="423">
        <v>335</v>
      </c>
      <c r="C327" s="423" t="s">
        <v>449</v>
      </c>
      <c r="D327" s="423"/>
      <c r="E327" s="424" t="s">
        <v>674</v>
      </c>
      <c r="F327" s="424" t="s">
        <v>624</v>
      </c>
      <c r="G327" s="424" t="s">
        <v>267</v>
      </c>
      <c r="H327" s="281" t="s">
        <v>268</v>
      </c>
      <c r="I327" s="425">
        <v>1408</v>
      </c>
      <c r="J327" s="425"/>
      <c r="K327" s="426" t="s">
        <v>268</v>
      </c>
      <c r="L327" s="427" t="s">
        <v>86</v>
      </c>
      <c r="M327" s="427" t="s">
        <v>115</v>
      </c>
      <c r="N327" s="427" t="s">
        <v>269</v>
      </c>
      <c r="O327" s="428" t="s">
        <v>253</v>
      </c>
      <c r="P327" s="427">
        <v>2026</v>
      </c>
      <c r="Q327" s="397" t="s">
        <v>15</v>
      </c>
      <c r="R327" s="398"/>
      <c r="S327" s="399"/>
      <c r="T327" s="400"/>
      <c r="U327" s="401"/>
      <c r="V327" s="402"/>
      <c r="W327" s="47"/>
    </row>
    <row r="328" spans="1:23" ht="45" hidden="1">
      <c r="A328" s="423" t="s">
        <v>264</v>
      </c>
      <c r="B328" s="423">
        <v>336</v>
      </c>
      <c r="C328" s="423" t="s">
        <v>449</v>
      </c>
      <c r="D328" s="423"/>
      <c r="E328" s="424" t="s">
        <v>675</v>
      </c>
      <c r="F328" s="424" t="s">
        <v>676</v>
      </c>
      <c r="G328" s="424" t="s">
        <v>267</v>
      </c>
      <c r="H328" s="281" t="s">
        <v>268</v>
      </c>
      <c r="I328" s="425">
        <v>148</v>
      </c>
      <c r="J328" s="425"/>
      <c r="K328" s="426" t="s">
        <v>268</v>
      </c>
      <c r="L328" s="427" t="s">
        <v>80</v>
      </c>
      <c r="M328" s="427" t="s">
        <v>115</v>
      </c>
      <c r="N328" s="427" t="s">
        <v>269</v>
      </c>
      <c r="O328" s="428" t="s">
        <v>253</v>
      </c>
      <c r="P328" s="427">
        <v>2016</v>
      </c>
      <c r="Q328" s="397" t="s">
        <v>15</v>
      </c>
      <c r="R328" s="398"/>
      <c r="S328" s="399"/>
      <c r="T328" s="400"/>
      <c r="U328" s="401"/>
      <c r="V328" s="402"/>
      <c r="W328" s="47"/>
    </row>
    <row r="329" spans="1:23" ht="45" hidden="1">
      <c r="A329" s="423" t="s">
        <v>264</v>
      </c>
      <c r="B329" s="423">
        <v>337</v>
      </c>
      <c r="C329" s="423" t="s">
        <v>449</v>
      </c>
      <c r="D329" s="423"/>
      <c r="E329" s="424" t="s">
        <v>677</v>
      </c>
      <c r="F329" s="424" t="s">
        <v>676</v>
      </c>
      <c r="G329" s="424" t="s">
        <v>267</v>
      </c>
      <c r="H329" s="281" t="s">
        <v>268</v>
      </c>
      <c r="I329" s="425">
        <v>1061</v>
      </c>
      <c r="J329" s="425"/>
      <c r="K329" s="426" t="s">
        <v>268</v>
      </c>
      <c r="L329" s="427" t="s">
        <v>80</v>
      </c>
      <c r="M329" s="427" t="s">
        <v>115</v>
      </c>
      <c r="N329" s="427" t="s">
        <v>269</v>
      </c>
      <c r="O329" s="428" t="s">
        <v>253</v>
      </c>
      <c r="P329" s="427">
        <v>2024</v>
      </c>
      <c r="Q329" s="397" t="s">
        <v>15</v>
      </c>
      <c r="R329" s="398"/>
      <c r="S329" s="399"/>
      <c r="T329" s="400"/>
      <c r="U329" s="401"/>
      <c r="V329" s="402"/>
      <c r="W329" s="47"/>
    </row>
    <row r="330" spans="1:23" s="422" customFormat="1" ht="45" hidden="1">
      <c r="A330" s="408" t="s">
        <v>264</v>
      </c>
      <c r="B330" s="408">
        <v>338</v>
      </c>
      <c r="C330" s="408" t="s">
        <v>449</v>
      </c>
      <c r="D330" s="408"/>
      <c r="E330" s="410" t="s">
        <v>678</v>
      </c>
      <c r="F330" s="410" t="s">
        <v>676</v>
      </c>
      <c r="G330" s="410" t="s">
        <v>267</v>
      </c>
      <c r="H330" s="411" t="s">
        <v>268</v>
      </c>
      <c r="I330" s="412">
        <v>1789</v>
      </c>
      <c r="J330" s="412"/>
      <c r="K330" s="413" t="s">
        <v>268</v>
      </c>
      <c r="L330" s="414" t="s">
        <v>80</v>
      </c>
      <c r="M330" s="414" t="s">
        <v>115</v>
      </c>
      <c r="N330" s="414" t="s">
        <v>269</v>
      </c>
      <c r="O330" s="415" t="s">
        <v>253</v>
      </c>
      <c r="P330" s="414" t="s">
        <v>268</v>
      </c>
      <c r="Q330" s="397"/>
      <c r="R330" s="398" t="s">
        <v>117</v>
      </c>
      <c r="S330" s="399"/>
      <c r="T330" s="400"/>
      <c r="U330" s="401"/>
      <c r="V330" s="402"/>
      <c r="W330" s="280"/>
    </row>
    <row r="331" spans="1:23" ht="45" hidden="1">
      <c r="A331" s="423" t="s">
        <v>264</v>
      </c>
      <c r="B331" s="423">
        <v>339</v>
      </c>
      <c r="C331" s="423" t="s">
        <v>449</v>
      </c>
      <c r="D331" s="423"/>
      <c r="E331" s="424" t="s">
        <v>679</v>
      </c>
      <c r="F331" s="424" t="s">
        <v>676</v>
      </c>
      <c r="G331" s="424" t="s">
        <v>452</v>
      </c>
      <c r="H331" s="281" t="s">
        <v>268</v>
      </c>
      <c r="I331" s="425">
        <v>17</v>
      </c>
      <c r="J331" s="425"/>
      <c r="K331" s="426" t="s">
        <v>268</v>
      </c>
      <c r="L331" s="427" t="s">
        <v>82</v>
      </c>
      <c r="M331" s="427" t="s">
        <v>115</v>
      </c>
      <c r="N331" s="427" t="s">
        <v>269</v>
      </c>
      <c r="O331" s="428" t="s">
        <v>253</v>
      </c>
      <c r="P331" s="427">
        <v>2017</v>
      </c>
      <c r="Q331" s="397" t="s">
        <v>15</v>
      </c>
      <c r="R331" s="398"/>
      <c r="S331" s="399"/>
      <c r="T331" s="400"/>
      <c r="U331" s="401"/>
      <c r="V331" s="402"/>
      <c r="W331" s="47"/>
    </row>
    <row r="332" spans="1:23" s="430" customFormat="1" ht="45" hidden="1">
      <c r="A332" s="397" t="s">
        <v>264</v>
      </c>
      <c r="B332" s="397">
        <v>340</v>
      </c>
      <c r="C332" s="397" t="s">
        <v>449</v>
      </c>
      <c r="D332" s="397"/>
      <c r="E332" s="390" t="s">
        <v>680</v>
      </c>
      <c r="F332" s="390" t="s">
        <v>670</v>
      </c>
      <c r="G332" s="390" t="s">
        <v>267</v>
      </c>
      <c r="H332" s="277" t="s">
        <v>268</v>
      </c>
      <c r="I332" s="78">
        <v>1687</v>
      </c>
      <c r="J332" s="78"/>
      <c r="K332" s="397" t="s">
        <v>253</v>
      </c>
      <c r="L332" s="397" t="s">
        <v>253</v>
      </c>
      <c r="M332" s="397" t="s">
        <v>134</v>
      </c>
      <c r="N332" s="80" t="s">
        <v>269</v>
      </c>
      <c r="O332" s="217" t="s">
        <v>253</v>
      </c>
      <c r="P332" s="80">
        <v>2028</v>
      </c>
      <c r="Q332" s="397"/>
      <c r="R332" s="397"/>
      <c r="S332" s="397"/>
      <c r="T332" s="397"/>
      <c r="U332" s="397"/>
      <c r="V332" s="397"/>
      <c r="W332" s="390"/>
    </row>
    <row r="333" spans="1:23" ht="45" hidden="1">
      <c r="A333" s="423" t="s">
        <v>264</v>
      </c>
      <c r="B333" s="423">
        <v>341</v>
      </c>
      <c r="C333" s="423" t="s">
        <v>449</v>
      </c>
      <c r="D333" s="423"/>
      <c r="E333" s="424" t="s">
        <v>681</v>
      </c>
      <c r="F333" s="424" t="s">
        <v>634</v>
      </c>
      <c r="G333" s="424" t="s">
        <v>452</v>
      </c>
      <c r="H333" s="281" t="s">
        <v>268</v>
      </c>
      <c r="I333" s="425">
        <v>773</v>
      </c>
      <c r="J333" s="425"/>
      <c r="K333" s="426" t="s">
        <v>268</v>
      </c>
      <c r="L333" s="427" t="s">
        <v>82</v>
      </c>
      <c r="M333" s="427" t="s">
        <v>115</v>
      </c>
      <c r="N333" s="427" t="s">
        <v>269</v>
      </c>
      <c r="O333" s="428" t="s">
        <v>253</v>
      </c>
      <c r="P333" s="427">
        <v>2018</v>
      </c>
      <c r="Q333" s="397" t="s">
        <v>15</v>
      </c>
      <c r="R333" s="398"/>
      <c r="S333" s="399"/>
      <c r="T333" s="400"/>
      <c r="U333" s="401"/>
      <c r="V333" s="402"/>
      <c r="W333" s="47"/>
    </row>
    <row r="334" spans="1:23" ht="45" hidden="1">
      <c r="A334" s="423" t="s">
        <v>264</v>
      </c>
      <c r="B334" s="423">
        <v>342</v>
      </c>
      <c r="C334" s="423" t="s">
        <v>449</v>
      </c>
      <c r="D334" s="423"/>
      <c r="E334" s="424" t="s">
        <v>682</v>
      </c>
      <c r="F334" s="424" t="s">
        <v>651</v>
      </c>
      <c r="G334" s="424" t="s">
        <v>452</v>
      </c>
      <c r="H334" s="281" t="s">
        <v>268</v>
      </c>
      <c r="I334" s="425">
        <v>100</v>
      </c>
      <c r="J334" s="425"/>
      <c r="K334" s="276">
        <v>38384</v>
      </c>
      <c r="L334" s="427" t="s">
        <v>14</v>
      </c>
      <c r="M334" s="427" t="s">
        <v>115</v>
      </c>
      <c r="N334" s="427" t="s">
        <v>683</v>
      </c>
      <c r="O334" s="428" t="s">
        <v>253</v>
      </c>
      <c r="P334" s="427">
        <v>2019</v>
      </c>
      <c r="Q334" s="397" t="s">
        <v>15</v>
      </c>
      <c r="R334" s="398"/>
      <c r="S334" s="399"/>
      <c r="T334" s="400"/>
      <c r="U334" s="401"/>
      <c r="V334" s="402"/>
      <c r="W334" s="47"/>
    </row>
    <row r="335" spans="1:23" s="430" customFormat="1" ht="45" hidden="1">
      <c r="A335" s="397" t="s">
        <v>264</v>
      </c>
      <c r="B335" s="397">
        <v>343</v>
      </c>
      <c r="C335" s="397" t="s">
        <v>449</v>
      </c>
      <c r="D335" s="397"/>
      <c r="E335" s="390" t="s">
        <v>684</v>
      </c>
      <c r="F335" s="390" t="s">
        <v>670</v>
      </c>
      <c r="G335" s="390" t="s">
        <v>452</v>
      </c>
      <c r="H335" s="277" t="s">
        <v>268</v>
      </c>
      <c r="I335" s="78" t="s">
        <v>685</v>
      </c>
      <c r="J335" s="78"/>
      <c r="K335" s="462">
        <v>42948</v>
      </c>
      <c r="L335" s="397" t="s">
        <v>268</v>
      </c>
      <c r="M335" s="397" t="s">
        <v>134</v>
      </c>
      <c r="N335" s="80" t="s">
        <v>269</v>
      </c>
      <c r="O335" s="217" t="s">
        <v>253</v>
      </c>
      <c r="P335" s="80">
        <v>2027</v>
      </c>
      <c r="Q335" s="397"/>
      <c r="R335" s="397"/>
      <c r="S335" s="397"/>
      <c r="T335" s="397"/>
      <c r="U335" s="397"/>
      <c r="V335" s="397"/>
      <c r="W335" s="390"/>
    </row>
    <row r="336" spans="1:23" s="422" customFormat="1" ht="45" hidden="1">
      <c r="A336" s="408" t="s">
        <v>264</v>
      </c>
      <c r="B336" s="408">
        <v>344</v>
      </c>
      <c r="C336" s="408" t="s">
        <v>449</v>
      </c>
      <c r="D336" s="408"/>
      <c r="E336" s="410" t="s">
        <v>686</v>
      </c>
      <c r="F336" s="410" t="s">
        <v>624</v>
      </c>
      <c r="G336" s="410" t="s">
        <v>452</v>
      </c>
      <c r="H336" s="411" t="s">
        <v>268</v>
      </c>
      <c r="I336" s="447">
        <v>794</v>
      </c>
      <c r="J336" s="412"/>
      <c r="K336" s="413" t="s">
        <v>268</v>
      </c>
      <c r="L336" s="414" t="s">
        <v>268</v>
      </c>
      <c r="M336" s="414" t="s">
        <v>268</v>
      </c>
      <c r="N336" s="414" t="s">
        <v>269</v>
      </c>
      <c r="O336" s="415" t="s">
        <v>253</v>
      </c>
      <c r="P336" s="414" t="s">
        <v>268</v>
      </c>
      <c r="Q336" s="397"/>
      <c r="R336" s="398"/>
      <c r="S336" s="399" t="s">
        <v>117</v>
      </c>
      <c r="T336" s="400"/>
      <c r="U336" s="401"/>
      <c r="V336" s="402"/>
      <c r="W336" s="280"/>
    </row>
    <row r="337" spans="1:23" s="430" customFormat="1" ht="45" hidden="1">
      <c r="A337" s="397" t="s">
        <v>264</v>
      </c>
      <c r="B337" s="397">
        <v>345</v>
      </c>
      <c r="C337" s="397" t="s">
        <v>449</v>
      </c>
      <c r="D337" s="397"/>
      <c r="E337" s="390" t="s">
        <v>687</v>
      </c>
      <c r="F337" s="390" t="s">
        <v>670</v>
      </c>
      <c r="G337" s="390" t="s">
        <v>452</v>
      </c>
      <c r="H337" s="277" t="s">
        <v>268</v>
      </c>
      <c r="I337" s="78">
        <v>1846</v>
      </c>
      <c r="J337" s="78"/>
      <c r="K337" s="397" t="s">
        <v>268</v>
      </c>
      <c r="L337" s="397" t="s">
        <v>268</v>
      </c>
      <c r="M337" s="397" t="s">
        <v>134</v>
      </c>
      <c r="N337" s="80" t="s">
        <v>269</v>
      </c>
      <c r="O337" s="217" t="s">
        <v>253</v>
      </c>
      <c r="P337" s="80">
        <v>2025</v>
      </c>
      <c r="Q337" s="397"/>
      <c r="R337" s="397"/>
      <c r="S337" s="397"/>
      <c r="T337" s="397"/>
      <c r="U337" s="397"/>
      <c r="V337" s="397"/>
      <c r="W337" s="390"/>
    </row>
    <row r="338" spans="1:23" ht="45" hidden="1">
      <c r="A338" s="423" t="s">
        <v>264</v>
      </c>
      <c r="B338" s="423">
        <v>346</v>
      </c>
      <c r="C338" s="423" t="s">
        <v>449</v>
      </c>
      <c r="D338" s="423"/>
      <c r="E338" s="424" t="s">
        <v>688</v>
      </c>
      <c r="F338" s="424" t="s">
        <v>651</v>
      </c>
      <c r="G338" s="424" t="s">
        <v>303</v>
      </c>
      <c r="H338" s="281" t="s">
        <v>268</v>
      </c>
      <c r="I338" s="425">
        <v>10823</v>
      </c>
      <c r="J338" s="425"/>
      <c r="K338" s="276">
        <v>38281</v>
      </c>
      <c r="L338" s="427" t="s">
        <v>47</v>
      </c>
      <c r="M338" s="427" t="s">
        <v>115</v>
      </c>
      <c r="N338" s="427" t="s">
        <v>689</v>
      </c>
      <c r="O338" s="428" t="s">
        <v>253</v>
      </c>
      <c r="P338" s="427">
        <v>2019</v>
      </c>
      <c r="Q338" s="397"/>
      <c r="R338" s="398" t="s">
        <v>15</v>
      </c>
      <c r="S338" s="399"/>
      <c r="T338" s="400"/>
      <c r="U338" s="401"/>
      <c r="V338" s="402"/>
      <c r="W338" s="47"/>
    </row>
    <row r="339" spans="1:23" ht="45" hidden="1">
      <c r="A339" s="423" t="s">
        <v>264</v>
      </c>
      <c r="B339" s="423">
        <v>347</v>
      </c>
      <c r="C339" s="423" t="s">
        <v>449</v>
      </c>
      <c r="D339" s="423"/>
      <c r="E339" s="424" t="s">
        <v>690</v>
      </c>
      <c r="F339" s="424" t="s">
        <v>653</v>
      </c>
      <c r="G339" s="424" t="s">
        <v>303</v>
      </c>
      <c r="H339" s="281" t="s">
        <v>268</v>
      </c>
      <c r="I339" s="425">
        <v>8415</v>
      </c>
      <c r="J339" s="425"/>
      <c r="K339" s="276">
        <v>39014</v>
      </c>
      <c r="L339" s="427" t="s">
        <v>47</v>
      </c>
      <c r="M339" s="427" t="s">
        <v>115</v>
      </c>
      <c r="N339" s="427" t="s">
        <v>691</v>
      </c>
      <c r="O339" s="428" t="s">
        <v>253</v>
      </c>
      <c r="P339" s="427">
        <v>2020</v>
      </c>
      <c r="Q339" s="397"/>
      <c r="R339" s="398" t="s">
        <v>15</v>
      </c>
      <c r="S339" s="399"/>
      <c r="T339" s="400"/>
      <c r="U339" s="401"/>
      <c r="V339" s="402"/>
      <c r="W339" s="47"/>
    </row>
    <row r="340" spans="1:23" ht="45" hidden="1">
      <c r="A340" s="423" t="s">
        <v>264</v>
      </c>
      <c r="B340" s="423">
        <v>348</v>
      </c>
      <c r="C340" s="423" t="s">
        <v>449</v>
      </c>
      <c r="D340" s="423"/>
      <c r="E340" s="424" t="s">
        <v>692</v>
      </c>
      <c r="F340" s="424" t="s">
        <v>653</v>
      </c>
      <c r="G340" s="424" t="s">
        <v>452</v>
      </c>
      <c r="H340" s="281" t="s">
        <v>268</v>
      </c>
      <c r="I340" s="425">
        <v>765</v>
      </c>
      <c r="J340" s="425"/>
      <c r="K340" s="276">
        <v>41609</v>
      </c>
      <c r="L340" s="427" t="s">
        <v>19</v>
      </c>
      <c r="M340" s="427" t="s">
        <v>115</v>
      </c>
      <c r="N340" s="427">
        <v>2013</v>
      </c>
      <c r="O340" s="428" t="s">
        <v>253</v>
      </c>
      <c r="P340" s="427">
        <v>2023</v>
      </c>
      <c r="Q340" s="397" t="s">
        <v>15</v>
      </c>
      <c r="R340" s="398"/>
      <c r="S340" s="399"/>
      <c r="T340" s="400"/>
      <c r="U340" s="401"/>
      <c r="V340" s="402"/>
      <c r="W340" s="47"/>
    </row>
    <row r="341" spans="1:23" ht="45" hidden="1">
      <c r="A341" s="423" t="s">
        <v>264</v>
      </c>
      <c r="B341" s="423">
        <v>349</v>
      </c>
      <c r="C341" s="423" t="s">
        <v>449</v>
      </c>
      <c r="D341" s="423"/>
      <c r="E341" s="424" t="s">
        <v>693</v>
      </c>
      <c r="F341" s="424" t="s">
        <v>651</v>
      </c>
      <c r="G341" s="424" t="s">
        <v>267</v>
      </c>
      <c r="H341" s="281" t="s">
        <v>268</v>
      </c>
      <c r="I341" s="425">
        <v>1373</v>
      </c>
      <c r="J341" s="425"/>
      <c r="K341" s="426" t="s">
        <v>268</v>
      </c>
      <c r="L341" s="427" t="s">
        <v>86</v>
      </c>
      <c r="M341" s="427" t="s">
        <v>115</v>
      </c>
      <c r="N341" s="427" t="s">
        <v>269</v>
      </c>
      <c r="O341" s="428" t="s">
        <v>253</v>
      </c>
      <c r="P341" s="427">
        <v>2026</v>
      </c>
      <c r="Q341" s="397" t="s">
        <v>15</v>
      </c>
      <c r="R341" s="398"/>
      <c r="S341" s="399"/>
      <c r="T341" s="400"/>
      <c r="U341" s="401"/>
      <c r="V341" s="402"/>
      <c r="W341" s="47"/>
    </row>
    <row r="342" spans="1:23" s="430" customFormat="1" ht="45" hidden="1">
      <c r="A342" s="397" t="s">
        <v>264</v>
      </c>
      <c r="B342" s="397">
        <v>350</v>
      </c>
      <c r="C342" s="397" t="s">
        <v>449</v>
      </c>
      <c r="D342" s="397"/>
      <c r="E342" s="390" t="s">
        <v>694</v>
      </c>
      <c r="F342" s="390" t="s">
        <v>651</v>
      </c>
      <c r="G342" s="390" t="s">
        <v>267</v>
      </c>
      <c r="H342" s="277" t="s">
        <v>268</v>
      </c>
      <c r="I342" s="78">
        <v>1394</v>
      </c>
      <c r="J342" s="78"/>
      <c r="K342" s="397" t="s">
        <v>268</v>
      </c>
      <c r="L342" s="397" t="s">
        <v>268</v>
      </c>
      <c r="M342" s="397" t="s">
        <v>134</v>
      </c>
      <c r="N342" s="80" t="s">
        <v>269</v>
      </c>
      <c r="O342" s="217" t="s">
        <v>253</v>
      </c>
      <c r="P342" s="80" t="s">
        <v>268</v>
      </c>
      <c r="Q342" s="397"/>
      <c r="R342" s="397"/>
      <c r="S342" s="397"/>
      <c r="T342" s="397"/>
      <c r="U342" s="397"/>
      <c r="V342" s="397"/>
      <c r="W342" s="390"/>
    </row>
    <row r="343" spans="1:23" ht="45" hidden="1">
      <c r="A343" s="423" t="s">
        <v>264</v>
      </c>
      <c r="B343" s="423">
        <v>351</v>
      </c>
      <c r="C343" s="423" t="s">
        <v>449</v>
      </c>
      <c r="D343" s="423"/>
      <c r="E343" s="424" t="s">
        <v>695</v>
      </c>
      <c r="F343" s="424" t="s">
        <v>653</v>
      </c>
      <c r="G343" s="424" t="s">
        <v>303</v>
      </c>
      <c r="H343" s="281" t="s">
        <v>268</v>
      </c>
      <c r="I343" s="425">
        <v>11644</v>
      </c>
      <c r="J343" s="425"/>
      <c r="K343" s="276">
        <v>43361</v>
      </c>
      <c r="L343" s="427" t="s">
        <v>14</v>
      </c>
      <c r="M343" s="427" t="s">
        <v>115</v>
      </c>
      <c r="N343" s="427" t="s">
        <v>696</v>
      </c>
      <c r="O343" s="428" t="s">
        <v>253</v>
      </c>
      <c r="P343" s="427">
        <v>2028</v>
      </c>
      <c r="Q343" s="397"/>
      <c r="R343" s="398" t="s">
        <v>15</v>
      </c>
      <c r="S343" s="399"/>
      <c r="T343" s="400"/>
      <c r="U343" s="401"/>
      <c r="V343" s="402"/>
      <c r="W343" s="47"/>
    </row>
    <row r="344" spans="1:23" ht="45" hidden="1">
      <c r="A344" s="423" t="s">
        <v>264</v>
      </c>
      <c r="B344" s="423">
        <v>352</v>
      </c>
      <c r="C344" s="423" t="s">
        <v>449</v>
      </c>
      <c r="D344" s="423"/>
      <c r="E344" s="424" t="s">
        <v>697</v>
      </c>
      <c r="F344" s="424" t="s">
        <v>653</v>
      </c>
      <c r="G344" s="424" t="s">
        <v>267</v>
      </c>
      <c r="H344" s="281" t="s">
        <v>268</v>
      </c>
      <c r="I344" s="425">
        <v>1387</v>
      </c>
      <c r="J344" s="425"/>
      <c r="K344" s="276">
        <v>42447</v>
      </c>
      <c r="L344" s="427" t="s">
        <v>86</v>
      </c>
      <c r="M344" s="427" t="s">
        <v>115</v>
      </c>
      <c r="N344" s="427" t="s">
        <v>698</v>
      </c>
      <c r="O344" s="428" t="s">
        <v>253</v>
      </c>
      <c r="P344" s="427">
        <v>2026</v>
      </c>
      <c r="Q344" s="397" t="s">
        <v>15</v>
      </c>
      <c r="R344" s="398"/>
      <c r="S344" s="399"/>
      <c r="T344" s="400"/>
      <c r="U344" s="401"/>
      <c r="V344" s="402"/>
      <c r="W344" s="47"/>
    </row>
    <row r="345" spans="1:23" s="430" customFormat="1" ht="45" hidden="1">
      <c r="A345" s="397" t="s">
        <v>264</v>
      </c>
      <c r="B345" s="397">
        <v>353</v>
      </c>
      <c r="C345" s="397" t="s">
        <v>449</v>
      </c>
      <c r="D345" s="397"/>
      <c r="E345" s="390" t="s">
        <v>699</v>
      </c>
      <c r="F345" s="390" t="s">
        <v>653</v>
      </c>
      <c r="G345" s="390" t="s">
        <v>267</v>
      </c>
      <c r="H345" s="277" t="s">
        <v>268</v>
      </c>
      <c r="I345" s="78">
        <v>1395</v>
      </c>
      <c r="J345" s="78"/>
      <c r="K345" s="397" t="s">
        <v>268</v>
      </c>
      <c r="L345" s="397" t="s">
        <v>268</v>
      </c>
      <c r="M345" s="397" t="s">
        <v>134</v>
      </c>
      <c r="N345" s="80" t="s">
        <v>269</v>
      </c>
      <c r="O345" s="217" t="s">
        <v>253</v>
      </c>
      <c r="P345" s="80" t="s">
        <v>268</v>
      </c>
      <c r="Q345" s="397"/>
      <c r="R345" s="397"/>
      <c r="S345" s="397"/>
      <c r="T345" s="397"/>
      <c r="U345" s="397"/>
      <c r="V345" s="397"/>
      <c r="W345" s="390"/>
    </row>
    <row r="346" spans="1:23" ht="45" hidden="1">
      <c r="A346" s="423" t="s">
        <v>264</v>
      </c>
      <c r="B346" s="423">
        <v>354</v>
      </c>
      <c r="C346" s="423" t="s">
        <v>449</v>
      </c>
      <c r="D346" s="423"/>
      <c r="E346" s="424" t="s">
        <v>700</v>
      </c>
      <c r="F346" s="424" t="s">
        <v>701</v>
      </c>
      <c r="G346" s="424" t="s">
        <v>267</v>
      </c>
      <c r="H346" s="281" t="s">
        <v>268</v>
      </c>
      <c r="I346" s="425">
        <v>1377</v>
      </c>
      <c r="J346" s="425"/>
      <c r="K346" s="276">
        <v>42465</v>
      </c>
      <c r="L346" s="427" t="s">
        <v>86</v>
      </c>
      <c r="M346" s="427" t="s">
        <v>115</v>
      </c>
      <c r="N346" s="427" t="s">
        <v>702</v>
      </c>
      <c r="O346" s="428" t="s">
        <v>253</v>
      </c>
      <c r="P346" s="427">
        <v>2026</v>
      </c>
      <c r="Q346" s="397" t="s">
        <v>15</v>
      </c>
      <c r="R346" s="398"/>
      <c r="S346" s="399"/>
      <c r="T346" s="400"/>
      <c r="U346" s="401"/>
      <c r="V346" s="402"/>
      <c r="W346" s="47"/>
    </row>
    <row r="347" spans="1:23" s="430" customFormat="1" ht="45" hidden="1">
      <c r="A347" s="397" t="s">
        <v>264</v>
      </c>
      <c r="B347" s="397">
        <v>355</v>
      </c>
      <c r="C347" s="397" t="s">
        <v>449</v>
      </c>
      <c r="D347" s="397"/>
      <c r="E347" s="390" t="s">
        <v>703</v>
      </c>
      <c r="F347" s="390" t="s">
        <v>253</v>
      </c>
      <c r="G347" s="390" t="s">
        <v>452</v>
      </c>
      <c r="H347" s="277" t="s">
        <v>268</v>
      </c>
      <c r="I347" s="78">
        <v>1391</v>
      </c>
      <c r="J347" s="78"/>
      <c r="K347" s="397" t="s">
        <v>268</v>
      </c>
      <c r="L347" s="397" t="s">
        <v>268</v>
      </c>
      <c r="M347" s="397" t="s">
        <v>134</v>
      </c>
      <c r="N347" s="80" t="s">
        <v>269</v>
      </c>
      <c r="O347" s="217" t="s">
        <v>253</v>
      </c>
      <c r="P347" s="80">
        <v>2026</v>
      </c>
      <c r="Q347" s="397"/>
      <c r="R347" s="397"/>
      <c r="S347" s="397"/>
      <c r="T347" s="397"/>
      <c r="U347" s="397"/>
      <c r="V347" s="397"/>
      <c r="W347" s="390"/>
    </row>
    <row r="348" spans="1:23" ht="45" hidden="1">
      <c r="A348" s="423" t="s">
        <v>264</v>
      </c>
      <c r="B348" s="423">
        <v>356</v>
      </c>
      <c r="C348" s="423" t="s">
        <v>449</v>
      </c>
      <c r="D348" s="423"/>
      <c r="E348" s="424" t="s">
        <v>704</v>
      </c>
      <c r="F348" s="424" t="s">
        <v>705</v>
      </c>
      <c r="G348" s="424" t="s">
        <v>267</v>
      </c>
      <c r="H348" s="281" t="s">
        <v>268</v>
      </c>
      <c r="I348" s="425">
        <v>1367</v>
      </c>
      <c r="J348" s="425"/>
      <c r="K348" s="276">
        <v>42422</v>
      </c>
      <c r="L348" s="427" t="s">
        <v>80</v>
      </c>
      <c r="M348" s="427" t="s">
        <v>115</v>
      </c>
      <c r="N348" s="427" t="s">
        <v>706</v>
      </c>
      <c r="O348" s="428" t="s">
        <v>253</v>
      </c>
      <c r="P348" s="427">
        <v>2026</v>
      </c>
      <c r="Q348" s="397" t="s">
        <v>15</v>
      </c>
      <c r="R348" s="398"/>
      <c r="S348" s="399"/>
      <c r="T348" s="400"/>
      <c r="U348" s="401"/>
      <c r="V348" s="402"/>
      <c r="W348" s="47"/>
    </row>
    <row r="349" spans="1:23" s="422" customFormat="1" ht="45" hidden="1">
      <c r="A349" s="408" t="s">
        <v>264</v>
      </c>
      <c r="B349" s="408">
        <v>357</v>
      </c>
      <c r="C349" s="408" t="s">
        <v>449</v>
      </c>
      <c r="D349" s="408"/>
      <c r="E349" s="410" t="s">
        <v>707</v>
      </c>
      <c r="F349" s="409" t="s">
        <v>253</v>
      </c>
      <c r="G349" s="410" t="s">
        <v>267</v>
      </c>
      <c r="H349" s="411" t="s">
        <v>268</v>
      </c>
      <c r="I349" s="412">
        <v>1454</v>
      </c>
      <c r="J349" s="412"/>
      <c r="K349" s="413" t="s">
        <v>268</v>
      </c>
      <c r="L349" s="414" t="s">
        <v>80</v>
      </c>
      <c r="M349" s="414" t="s">
        <v>115</v>
      </c>
      <c r="N349" s="414" t="s">
        <v>269</v>
      </c>
      <c r="O349" s="415" t="s">
        <v>253</v>
      </c>
      <c r="P349" s="414">
        <v>2027</v>
      </c>
      <c r="Q349" s="397"/>
      <c r="R349" s="398"/>
      <c r="S349" s="399" t="s">
        <v>117</v>
      </c>
      <c r="T349" s="400"/>
      <c r="U349" s="401"/>
      <c r="V349" s="402"/>
      <c r="W349" s="280"/>
    </row>
    <row r="350" spans="1:23" ht="45" hidden="1">
      <c r="A350" s="423" t="s">
        <v>264</v>
      </c>
      <c r="B350" s="423">
        <v>358</v>
      </c>
      <c r="C350" s="423" t="s">
        <v>449</v>
      </c>
      <c r="D350" s="423"/>
      <c r="E350" s="424" t="s">
        <v>708</v>
      </c>
      <c r="F350" s="424" t="s">
        <v>701</v>
      </c>
      <c r="G350" s="424" t="s">
        <v>267</v>
      </c>
      <c r="H350" s="281">
        <v>1601250005</v>
      </c>
      <c r="I350" s="425">
        <v>1370</v>
      </c>
      <c r="J350" s="425"/>
      <c r="K350" s="276">
        <v>42398</v>
      </c>
      <c r="L350" s="427" t="s">
        <v>80</v>
      </c>
      <c r="M350" s="427" t="s">
        <v>115</v>
      </c>
      <c r="N350" s="444" t="s">
        <v>709</v>
      </c>
      <c r="O350" s="428" t="s">
        <v>253</v>
      </c>
      <c r="P350" s="427">
        <v>2026</v>
      </c>
      <c r="Q350" s="397" t="s">
        <v>15</v>
      </c>
      <c r="R350" s="398"/>
      <c r="S350" s="399"/>
      <c r="T350" s="400"/>
      <c r="U350" s="401"/>
      <c r="V350" s="402"/>
      <c r="W350" s="47"/>
    </row>
    <row r="351" spans="1:23" ht="45" hidden="1">
      <c r="A351" s="423" t="s">
        <v>264</v>
      </c>
      <c r="B351" s="423">
        <v>359</v>
      </c>
      <c r="C351" s="423" t="s">
        <v>449</v>
      </c>
      <c r="D351" s="423"/>
      <c r="E351" s="424" t="s">
        <v>710</v>
      </c>
      <c r="F351" s="424" t="s">
        <v>705</v>
      </c>
      <c r="G351" s="424" t="s">
        <v>267</v>
      </c>
      <c r="H351" s="281" t="s">
        <v>268</v>
      </c>
      <c r="I351" s="425">
        <v>1368</v>
      </c>
      <c r="J351" s="425"/>
      <c r="K351" s="426" t="s">
        <v>268</v>
      </c>
      <c r="L351" s="427" t="s">
        <v>80</v>
      </c>
      <c r="M351" s="427" t="s">
        <v>115</v>
      </c>
      <c r="N351" s="427" t="s">
        <v>269</v>
      </c>
      <c r="O351" s="428" t="s">
        <v>253</v>
      </c>
      <c r="P351" s="427">
        <v>2020</v>
      </c>
      <c r="Q351" s="397" t="s">
        <v>15</v>
      </c>
      <c r="R351" s="398"/>
      <c r="S351" s="399"/>
      <c r="T351" s="400"/>
      <c r="U351" s="401"/>
      <c r="V351" s="402"/>
      <c r="W351" s="47"/>
    </row>
    <row r="352" spans="1:23" ht="45" hidden="1">
      <c r="A352" s="423" t="s">
        <v>264</v>
      </c>
      <c r="B352" s="423">
        <v>360</v>
      </c>
      <c r="C352" s="423" t="s">
        <v>449</v>
      </c>
      <c r="D352" s="423"/>
      <c r="E352" s="424" t="s">
        <v>711</v>
      </c>
      <c r="F352" s="424" t="s">
        <v>705</v>
      </c>
      <c r="G352" s="424" t="s">
        <v>267</v>
      </c>
      <c r="H352" s="281" t="s">
        <v>268</v>
      </c>
      <c r="I352" s="425">
        <v>1366</v>
      </c>
      <c r="J352" s="425"/>
      <c r="K352" s="276">
        <v>42415</v>
      </c>
      <c r="L352" s="427" t="s">
        <v>86</v>
      </c>
      <c r="M352" s="427" t="s">
        <v>115</v>
      </c>
      <c r="N352" s="427" t="s">
        <v>706</v>
      </c>
      <c r="O352" s="428" t="s">
        <v>253</v>
      </c>
      <c r="P352" s="427">
        <v>2026</v>
      </c>
      <c r="Q352" s="397" t="s">
        <v>15</v>
      </c>
      <c r="R352" s="398"/>
      <c r="S352" s="399"/>
      <c r="T352" s="400"/>
      <c r="U352" s="401"/>
      <c r="V352" s="402"/>
      <c r="W352" s="47"/>
    </row>
    <row r="353" spans="1:16378" ht="45" hidden="1">
      <c r="A353" s="423" t="s">
        <v>264</v>
      </c>
      <c r="B353" s="423">
        <v>361</v>
      </c>
      <c r="C353" s="423" t="s">
        <v>449</v>
      </c>
      <c r="D353" s="423"/>
      <c r="E353" s="424" t="s">
        <v>712</v>
      </c>
      <c r="F353" s="424" t="s">
        <v>624</v>
      </c>
      <c r="G353" s="424" t="s">
        <v>267</v>
      </c>
      <c r="H353" s="281" t="s">
        <v>268</v>
      </c>
      <c r="I353" s="425">
        <v>1924</v>
      </c>
      <c r="J353" s="425"/>
      <c r="K353" s="276">
        <v>43578</v>
      </c>
      <c r="L353" s="427" t="s">
        <v>86</v>
      </c>
      <c r="M353" s="427" t="s">
        <v>115</v>
      </c>
      <c r="N353" s="427" t="s">
        <v>713</v>
      </c>
      <c r="O353" s="428" t="s">
        <v>253</v>
      </c>
      <c r="P353" s="427">
        <v>2029</v>
      </c>
      <c r="Q353" s="397"/>
      <c r="R353" s="398"/>
      <c r="S353" s="399"/>
      <c r="T353" s="400" t="s">
        <v>15</v>
      </c>
      <c r="U353" s="401"/>
      <c r="V353" s="402"/>
      <c r="W353" s="47"/>
    </row>
    <row r="354" spans="1:16378" s="422" customFormat="1" ht="45" hidden="1">
      <c r="A354" s="408" t="s">
        <v>264</v>
      </c>
      <c r="B354" s="408">
        <v>362</v>
      </c>
      <c r="C354" s="408" t="s">
        <v>449</v>
      </c>
      <c r="D354" s="408"/>
      <c r="E354" s="410" t="s">
        <v>714</v>
      </c>
      <c r="F354" s="409" t="s">
        <v>253</v>
      </c>
      <c r="G354" s="410" t="s">
        <v>267</v>
      </c>
      <c r="H354" s="411" t="s">
        <v>268</v>
      </c>
      <c r="I354" s="412" t="s">
        <v>715</v>
      </c>
      <c r="J354" s="412"/>
      <c r="K354" s="413" t="s">
        <v>268</v>
      </c>
      <c r="L354" s="450" t="s">
        <v>268</v>
      </c>
      <c r="M354" s="450" t="s">
        <v>268</v>
      </c>
      <c r="N354" s="450" t="s">
        <v>268</v>
      </c>
      <c r="O354" s="415" t="s">
        <v>253</v>
      </c>
      <c r="P354" s="450" t="s">
        <v>268</v>
      </c>
      <c r="Q354" s="397"/>
      <c r="R354" s="398"/>
      <c r="S354" s="399"/>
      <c r="T354" s="400"/>
      <c r="U354" s="401"/>
      <c r="V354" s="402"/>
      <c r="W354" s="280" t="s">
        <v>248</v>
      </c>
    </row>
    <row r="355" spans="1:16378" s="422" customFormat="1" ht="45" hidden="1">
      <c r="A355" s="408" t="s">
        <v>264</v>
      </c>
      <c r="B355" s="408">
        <v>363</v>
      </c>
      <c r="C355" s="408" t="s">
        <v>449</v>
      </c>
      <c r="D355" s="408"/>
      <c r="E355" s="410" t="s">
        <v>716</v>
      </c>
      <c r="F355" s="409" t="s">
        <v>670</v>
      </c>
      <c r="G355" s="410" t="s">
        <v>267</v>
      </c>
      <c r="H355" s="411" t="s">
        <v>268</v>
      </c>
      <c r="I355" s="412" t="s">
        <v>717</v>
      </c>
      <c r="J355" s="412"/>
      <c r="K355" s="413" t="s">
        <v>268</v>
      </c>
      <c r="L355" s="450" t="s">
        <v>268</v>
      </c>
      <c r="M355" s="450" t="s">
        <v>268</v>
      </c>
      <c r="N355" s="450" t="s">
        <v>268</v>
      </c>
      <c r="O355" s="415" t="s">
        <v>253</v>
      </c>
      <c r="P355" s="450" t="s">
        <v>268</v>
      </c>
      <c r="Q355" s="397"/>
      <c r="R355" s="398"/>
      <c r="S355" s="399"/>
      <c r="T355" s="400"/>
      <c r="U355" s="401"/>
      <c r="V355" s="402"/>
      <c r="W355" s="280" t="s">
        <v>248</v>
      </c>
    </row>
    <row r="356" spans="1:16378" s="430" customFormat="1" ht="45" hidden="1">
      <c r="A356" s="397" t="s">
        <v>264</v>
      </c>
      <c r="B356" s="397">
        <v>364</v>
      </c>
      <c r="C356" s="397" t="s">
        <v>449</v>
      </c>
      <c r="D356" s="397"/>
      <c r="E356" s="390" t="s">
        <v>718</v>
      </c>
      <c r="F356" s="390" t="s">
        <v>253</v>
      </c>
      <c r="G356" s="390" t="s">
        <v>452</v>
      </c>
      <c r="H356" s="277" t="s">
        <v>268</v>
      </c>
      <c r="I356" s="78" t="s">
        <v>719</v>
      </c>
      <c r="J356" s="78"/>
      <c r="K356" s="462">
        <v>39507</v>
      </c>
      <c r="L356" s="397" t="s">
        <v>253</v>
      </c>
      <c r="M356" s="397" t="s">
        <v>134</v>
      </c>
      <c r="N356" s="80" t="s">
        <v>269</v>
      </c>
      <c r="O356" s="217" t="s">
        <v>253</v>
      </c>
      <c r="P356" s="80">
        <v>2018</v>
      </c>
      <c r="Q356" s="397"/>
      <c r="R356" s="397"/>
      <c r="S356" s="397"/>
      <c r="T356" s="397"/>
      <c r="U356" s="397"/>
      <c r="V356" s="397"/>
      <c r="W356" s="390"/>
    </row>
    <row r="357" spans="1:16378" s="430" customFormat="1" hidden="1">
      <c r="A357" s="423"/>
      <c r="B357" s="423"/>
      <c r="C357" s="423"/>
      <c r="D357" s="423"/>
      <c r="E357" s="424" t="s">
        <v>720</v>
      </c>
      <c r="F357" s="424"/>
      <c r="G357" s="424"/>
      <c r="H357" s="276"/>
      <c r="I357" s="427"/>
      <c r="J357" s="427"/>
      <c r="K357" s="397"/>
      <c r="L357" s="398"/>
      <c r="M357" s="399"/>
      <c r="N357" s="400"/>
      <c r="O357" s="401"/>
      <c r="P357" s="402"/>
      <c r="Q357" s="47"/>
      <c r="R357" s="92"/>
      <c r="S357" s="92"/>
      <c r="T357" s="92"/>
      <c r="U357" s="92"/>
      <c r="V357" s="92"/>
      <c r="W357" s="92"/>
      <c r="X357" s="92"/>
      <c r="Y357" s="92"/>
      <c r="Z357" s="92"/>
      <c r="AA357" s="92"/>
      <c r="AB357" s="92"/>
      <c r="AC357" s="92"/>
      <c r="AD357" s="92"/>
      <c r="AE357" s="92"/>
      <c r="AF357" s="92"/>
      <c r="AG357" s="92"/>
      <c r="AH357" s="92"/>
      <c r="AI357" s="92"/>
      <c r="AJ357" s="92"/>
      <c r="AK357" s="92"/>
      <c r="AL357" s="92"/>
      <c r="AM357" s="92"/>
      <c r="AN357" s="92"/>
      <c r="AO357" s="92"/>
      <c r="AP357" s="92"/>
      <c r="AQ357" s="92"/>
      <c r="AR357" s="92"/>
      <c r="AS357" s="92"/>
      <c r="AT357" s="92"/>
      <c r="AU357" s="92"/>
      <c r="AV357" s="92"/>
      <c r="AW357" s="92"/>
      <c r="AX357" s="92"/>
      <c r="AY357" s="92"/>
      <c r="AZ357" s="92"/>
      <c r="BA357" s="92"/>
      <c r="BB357" s="92"/>
      <c r="BC357" s="92"/>
      <c r="BD357" s="92"/>
      <c r="BE357" s="92"/>
      <c r="BF357" s="92"/>
      <c r="BG357" s="92"/>
      <c r="BH357" s="92"/>
      <c r="BI357" s="92"/>
      <c r="BJ357" s="92"/>
      <c r="BK357" s="92"/>
      <c r="BL357" s="92"/>
      <c r="BM357" s="92"/>
      <c r="BN357" s="92"/>
      <c r="BO357" s="92"/>
      <c r="BP357" s="92"/>
      <c r="BQ357" s="92"/>
      <c r="BR357" s="92"/>
      <c r="BS357" s="92"/>
      <c r="BT357" s="92"/>
      <c r="BU357" s="92"/>
      <c r="BV357" s="92"/>
      <c r="BW357" s="92"/>
      <c r="BX357" s="92"/>
      <c r="BY357" s="92"/>
      <c r="BZ357" s="92"/>
      <c r="CA357" s="92"/>
      <c r="CB357" s="92"/>
      <c r="CC357" s="92"/>
      <c r="CD357" s="92"/>
      <c r="CE357" s="92"/>
      <c r="CF357" s="92"/>
      <c r="CG357" s="92"/>
      <c r="CH357" s="92"/>
      <c r="CI357" s="92"/>
      <c r="CJ357" s="92"/>
      <c r="CK357" s="92"/>
      <c r="CL357" s="92"/>
      <c r="CM357" s="92"/>
      <c r="CN357" s="92"/>
      <c r="CO357" s="92"/>
      <c r="CP357" s="92"/>
      <c r="CQ357" s="92"/>
      <c r="CR357" s="92"/>
      <c r="CS357" s="92"/>
      <c r="CT357" s="92"/>
      <c r="CU357" s="92"/>
      <c r="CV357" s="92"/>
      <c r="CW357" s="92"/>
      <c r="CX357" s="92"/>
      <c r="CY357" s="92"/>
      <c r="CZ357" s="92"/>
      <c r="DA357" s="92"/>
      <c r="DB357" s="92"/>
      <c r="DC357" s="92"/>
      <c r="DD357" s="92"/>
      <c r="DE357" s="92"/>
      <c r="DF357" s="92"/>
      <c r="DG357" s="92"/>
      <c r="DH357" s="92"/>
      <c r="DI357" s="92"/>
      <c r="DJ357" s="92"/>
      <c r="DK357" s="92"/>
      <c r="DL357" s="92"/>
      <c r="DM357" s="92"/>
      <c r="DN357" s="92"/>
      <c r="DO357" s="92"/>
      <c r="DP357" s="92"/>
      <c r="DQ357" s="92"/>
      <c r="DR357" s="92"/>
      <c r="DS357" s="92"/>
      <c r="DT357" s="92"/>
      <c r="DU357" s="92"/>
      <c r="DV357" s="92"/>
      <c r="DW357" s="92"/>
      <c r="DX357" s="92"/>
      <c r="DY357" s="92"/>
      <c r="DZ357" s="92"/>
      <c r="EA357" s="92"/>
      <c r="EB357" s="92"/>
      <c r="EC357" s="92"/>
      <c r="ED357" s="92"/>
      <c r="EE357" s="92"/>
      <c r="EF357" s="92"/>
      <c r="EG357" s="92"/>
      <c r="EH357" s="92"/>
      <c r="EI357" s="92"/>
      <c r="EJ357" s="92"/>
      <c r="EK357" s="92"/>
      <c r="EL357" s="92"/>
      <c r="EM357" s="92"/>
      <c r="EN357" s="92"/>
      <c r="EO357" s="92"/>
      <c r="EP357" s="92"/>
      <c r="EQ357" s="92"/>
      <c r="ER357" s="92"/>
      <c r="ES357" s="92"/>
      <c r="ET357" s="92"/>
      <c r="EU357" s="92"/>
      <c r="EV357" s="92"/>
      <c r="EW357" s="92"/>
      <c r="EX357" s="92"/>
      <c r="EY357" s="92"/>
      <c r="EZ357" s="92"/>
      <c r="FA357" s="92"/>
      <c r="FB357" s="92"/>
      <c r="FC357" s="92"/>
      <c r="FD357" s="92"/>
      <c r="FE357" s="92"/>
      <c r="FF357" s="92"/>
      <c r="FG357" s="92"/>
      <c r="FH357" s="92"/>
      <c r="FI357" s="92"/>
      <c r="FJ357" s="92"/>
      <c r="FK357" s="92"/>
      <c r="FL357" s="92"/>
      <c r="FM357" s="92"/>
      <c r="FN357" s="92"/>
      <c r="FO357" s="92"/>
      <c r="FP357" s="92"/>
      <c r="FQ357" s="92"/>
      <c r="FR357" s="92"/>
      <c r="FS357" s="92"/>
      <c r="FT357" s="92"/>
      <c r="FU357" s="92"/>
      <c r="FV357" s="92"/>
      <c r="FW357" s="92"/>
      <c r="FX357" s="92"/>
      <c r="FY357" s="92"/>
      <c r="FZ357" s="92"/>
      <c r="GA357" s="92"/>
      <c r="GB357" s="92"/>
      <c r="GC357" s="92"/>
      <c r="GD357" s="92"/>
      <c r="GE357" s="92"/>
      <c r="GF357" s="92"/>
      <c r="GG357" s="92"/>
      <c r="GH357" s="92"/>
      <c r="GI357" s="92"/>
      <c r="GJ357" s="92"/>
      <c r="GK357" s="92"/>
      <c r="GL357" s="92"/>
      <c r="GM357" s="92"/>
      <c r="GN357" s="92"/>
      <c r="GO357" s="92"/>
      <c r="GP357" s="92"/>
      <c r="GQ357" s="92"/>
      <c r="GR357" s="92"/>
      <c r="GS357" s="92"/>
      <c r="GT357" s="92"/>
      <c r="GU357" s="92"/>
      <c r="GV357" s="92"/>
      <c r="GW357" s="92"/>
      <c r="GX357" s="92"/>
      <c r="GY357" s="92"/>
      <c r="GZ357" s="92"/>
      <c r="HA357" s="92"/>
      <c r="HB357" s="92"/>
      <c r="HC357" s="92"/>
      <c r="HD357" s="92"/>
      <c r="HE357" s="92"/>
      <c r="HF357" s="92"/>
      <c r="HG357" s="92"/>
      <c r="HH357" s="92"/>
      <c r="HI357" s="92"/>
      <c r="HJ357" s="92"/>
      <c r="HK357" s="92"/>
      <c r="HL357" s="92"/>
      <c r="HM357" s="92"/>
      <c r="HN357" s="92"/>
      <c r="HO357" s="92"/>
      <c r="HP357" s="92"/>
      <c r="HQ357" s="92"/>
      <c r="HR357" s="92"/>
      <c r="HS357" s="92"/>
      <c r="HT357" s="92"/>
      <c r="HU357" s="92"/>
      <c r="HV357" s="92"/>
      <c r="HW357" s="92"/>
      <c r="HX357" s="92"/>
      <c r="HY357" s="92"/>
      <c r="HZ357" s="92"/>
      <c r="IA357" s="92"/>
      <c r="IB357" s="92"/>
      <c r="IC357" s="92"/>
      <c r="ID357" s="92"/>
      <c r="IE357" s="92"/>
      <c r="IF357" s="92"/>
      <c r="IG357" s="92"/>
      <c r="IH357" s="92"/>
      <c r="II357" s="92"/>
      <c r="IJ357" s="92"/>
      <c r="IK357" s="92"/>
      <c r="IL357" s="92"/>
      <c r="IM357" s="92"/>
      <c r="IN357" s="92"/>
      <c r="IO357" s="92"/>
      <c r="IP357" s="92"/>
      <c r="IQ357" s="92"/>
      <c r="IR357" s="92"/>
      <c r="IS357" s="92"/>
      <c r="IT357" s="92"/>
      <c r="IU357" s="92"/>
      <c r="IV357" s="92"/>
      <c r="IW357" s="92"/>
      <c r="IX357" s="92"/>
      <c r="IY357" s="92"/>
      <c r="IZ357" s="92"/>
      <c r="JA357" s="92"/>
      <c r="JB357" s="92"/>
      <c r="JC357" s="92"/>
      <c r="JD357" s="92"/>
      <c r="JE357" s="92"/>
      <c r="JF357" s="92"/>
      <c r="JG357" s="92"/>
      <c r="JH357" s="92"/>
      <c r="JI357" s="92"/>
      <c r="JJ357" s="92"/>
      <c r="JK357" s="92"/>
      <c r="JL357" s="92"/>
      <c r="JM357" s="92"/>
      <c r="JN357" s="92"/>
      <c r="JO357" s="92"/>
      <c r="JP357" s="92"/>
      <c r="JQ357" s="92"/>
      <c r="JR357" s="92"/>
      <c r="JS357" s="92"/>
      <c r="JT357" s="92"/>
      <c r="JU357" s="92"/>
      <c r="JV357" s="92"/>
      <c r="JW357" s="92"/>
      <c r="JX357" s="92"/>
      <c r="JY357" s="92"/>
      <c r="JZ357" s="92"/>
      <c r="KA357" s="92"/>
      <c r="KB357" s="92"/>
      <c r="KC357" s="92"/>
      <c r="KD357" s="92"/>
      <c r="KE357" s="92"/>
      <c r="KF357" s="92"/>
      <c r="KG357" s="92"/>
      <c r="KH357" s="92"/>
      <c r="KI357" s="92"/>
      <c r="KJ357" s="92"/>
      <c r="KK357" s="92"/>
      <c r="KL357" s="92"/>
      <c r="KM357" s="92"/>
      <c r="KN357" s="92"/>
      <c r="KO357" s="92"/>
      <c r="KP357" s="92"/>
      <c r="KQ357" s="92"/>
      <c r="KR357" s="92"/>
      <c r="KS357" s="92"/>
      <c r="KT357" s="92"/>
      <c r="KU357" s="92"/>
      <c r="KV357" s="92"/>
      <c r="KW357" s="92"/>
      <c r="KX357" s="92"/>
      <c r="KY357" s="92"/>
      <c r="KZ357" s="92"/>
      <c r="LA357" s="92"/>
      <c r="LB357" s="92"/>
      <c r="LC357" s="92"/>
      <c r="LD357" s="92"/>
      <c r="LE357" s="92"/>
      <c r="LF357" s="92"/>
      <c r="LG357" s="92"/>
      <c r="LH357" s="92"/>
      <c r="LI357" s="92"/>
      <c r="LJ357" s="92"/>
      <c r="LK357" s="92"/>
      <c r="LL357" s="92"/>
      <c r="LM357" s="92"/>
      <c r="LN357" s="92"/>
      <c r="LO357" s="92"/>
      <c r="LP357" s="92"/>
      <c r="LQ357" s="92"/>
      <c r="LR357" s="92"/>
      <c r="LS357" s="92"/>
      <c r="LT357" s="92"/>
      <c r="LU357" s="92"/>
      <c r="LV357" s="92"/>
      <c r="LW357" s="92"/>
      <c r="LX357" s="92"/>
      <c r="LY357" s="92"/>
      <c r="LZ357" s="92"/>
      <c r="MA357" s="92"/>
      <c r="MB357" s="92"/>
      <c r="MC357" s="92"/>
      <c r="MD357" s="92"/>
      <c r="ME357" s="92"/>
      <c r="MF357" s="92"/>
      <c r="MG357" s="92"/>
      <c r="MH357" s="92"/>
      <c r="MI357" s="92"/>
      <c r="MJ357" s="92"/>
      <c r="MK357" s="92"/>
      <c r="ML357" s="92"/>
      <c r="MM357" s="92"/>
      <c r="MN357" s="92"/>
      <c r="MO357" s="92"/>
      <c r="MP357" s="92"/>
      <c r="MQ357" s="92"/>
      <c r="MR357" s="92"/>
      <c r="MS357" s="92"/>
      <c r="MT357" s="92"/>
      <c r="MU357" s="92"/>
      <c r="MV357" s="92"/>
      <c r="MW357" s="92"/>
      <c r="MX357" s="92"/>
      <c r="MY357" s="92"/>
      <c r="MZ357" s="92"/>
      <c r="NA357" s="92"/>
      <c r="NB357" s="92"/>
      <c r="NC357" s="92"/>
      <c r="ND357" s="92"/>
      <c r="NE357" s="92"/>
      <c r="NF357" s="92"/>
      <c r="NG357" s="92"/>
      <c r="NH357" s="92"/>
      <c r="NI357" s="92"/>
      <c r="NJ357" s="92"/>
      <c r="NK357" s="92"/>
      <c r="NL357" s="92"/>
      <c r="NM357" s="92"/>
      <c r="NN357" s="92"/>
      <c r="NO357" s="92"/>
      <c r="NP357" s="92"/>
      <c r="NQ357" s="92"/>
      <c r="NR357" s="92"/>
      <c r="NS357" s="92"/>
      <c r="NT357" s="92"/>
      <c r="NU357" s="92"/>
      <c r="NV357" s="92"/>
      <c r="NW357" s="92"/>
      <c r="NX357" s="92"/>
      <c r="NY357" s="92"/>
      <c r="NZ357" s="92"/>
      <c r="OA357" s="92"/>
      <c r="OB357" s="92"/>
      <c r="OC357" s="92"/>
      <c r="OD357" s="92"/>
      <c r="OE357" s="92"/>
      <c r="OF357" s="92"/>
      <c r="OG357" s="92"/>
      <c r="OH357" s="92"/>
      <c r="OI357" s="92"/>
      <c r="OJ357" s="92"/>
      <c r="OK357" s="92"/>
      <c r="OL357" s="92"/>
      <c r="OM357" s="92"/>
      <c r="ON357" s="92"/>
      <c r="OO357" s="92"/>
      <c r="OP357" s="92"/>
      <c r="OQ357" s="92"/>
      <c r="OR357" s="92"/>
      <c r="OS357" s="92"/>
      <c r="OT357" s="92"/>
      <c r="OU357" s="92"/>
      <c r="OV357" s="92"/>
      <c r="OW357" s="92"/>
      <c r="OX357" s="92"/>
      <c r="OY357" s="92"/>
      <c r="OZ357" s="92"/>
      <c r="PA357" s="92"/>
      <c r="PB357" s="92"/>
      <c r="PC357" s="92"/>
      <c r="PD357" s="92"/>
      <c r="PE357" s="92"/>
      <c r="PF357" s="92"/>
      <c r="PG357" s="92"/>
      <c r="PH357" s="92"/>
      <c r="PI357" s="92"/>
      <c r="PJ357" s="92"/>
      <c r="PK357" s="92"/>
      <c r="PL357" s="92"/>
      <c r="PM357" s="92"/>
      <c r="PN357" s="92"/>
      <c r="PO357" s="92"/>
      <c r="PP357" s="92"/>
      <c r="PQ357" s="92"/>
      <c r="PR357" s="92"/>
      <c r="PS357" s="92"/>
      <c r="PT357" s="92"/>
      <c r="PU357" s="92"/>
      <c r="PV357" s="92"/>
      <c r="PW357" s="92"/>
      <c r="PX357" s="92"/>
      <c r="PY357" s="92"/>
      <c r="PZ357" s="92"/>
      <c r="QA357" s="92"/>
      <c r="QB357" s="92"/>
      <c r="QC357" s="92"/>
      <c r="QD357" s="92"/>
      <c r="QE357" s="92"/>
      <c r="QF357" s="92"/>
      <c r="QG357" s="92"/>
      <c r="QH357" s="92"/>
      <c r="QI357" s="92"/>
      <c r="QJ357" s="92"/>
      <c r="QK357" s="92"/>
      <c r="QL357" s="92"/>
      <c r="QM357" s="92"/>
      <c r="QN357" s="92"/>
      <c r="QO357" s="92"/>
      <c r="QP357" s="92"/>
      <c r="QQ357" s="92"/>
      <c r="QR357" s="92"/>
      <c r="QS357" s="92"/>
      <c r="QT357" s="92"/>
      <c r="QU357" s="92"/>
      <c r="QV357" s="92"/>
      <c r="QW357" s="92"/>
      <c r="QX357" s="92"/>
      <c r="QY357" s="92"/>
      <c r="QZ357" s="92"/>
      <c r="RA357" s="92"/>
      <c r="RB357" s="92"/>
      <c r="RC357" s="92"/>
      <c r="RD357" s="92"/>
      <c r="RE357" s="92"/>
      <c r="RF357" s="92"/>
      <c r="RG357" s="92"/>
      <c r="RH357" s="92"/>
      <c r="RI357" s="92"/>
      <c r="RJ357" s="92"/>
      <c r="RK357" s="92"/>
      <c r="RL357" s="92"/>
      <c r="RM357" s="92"/>
      <c r="RN357" s="92"/>
      <c r="RO357" s="92"/>
      <c r="RP357" s="92"/>
      <c r="RQ357" s="92"/>
      <c r="RR357" s="92"/>
      <c r="RS357" s="92"/>
      <c r="RT357" s="92"/>
      <c r="RU357" s="92"/>
      <c r="RV357" s="92"/>
      <c r="RW357" s="92"/>
      <c r="RX357" s="92"/>
      <c r="RY357" s="92"/>
      <c r="RZ357" s="92"/>
      <c r="SA357" s="92"/>
      <c r="SB357" s="92"/>
      <c r="SC357" s="92"/>
      <c r="SD357" s="92"/>
      <c r="SE357" s="92"/>
      <c r="SF357" s="92"/>
      <c r="SG357" s="92"/>
      <c r="SH357" s="92"/>
      <c r="SI357" s="92"/>
      <c r="SJ357" s="92"/>
      <c r="SK357" s="92"/>
      <c r="SL357" s="92"/>
      <c r="SM357" s="92"/>
      <c r="SN357" s="92"/>
      <c r="SO357" s="92"/>
      <c r="SP357" s="92"/>
      <c r="SQ357" s="92"/>
      <c r="SR357" s="92"/>
      <c r="SS357" s="92"/>
      <c r="ST357" s="92"/>
      <c r="SU357" s="92"/>
      <c r="SV357" s="92"/>
      <c r="SW357" s="92"/>
      <c r="SX357" s="92"/>
      <c r="SY357" s="92"/>
      <c r="SZ357" s="92"/>
      <c r="TA357" s="92"/>
      <c r="TB357" s="92"/>
      <c r="TC357" s="92"/>
      <c r="TD357" s="92"/>
      <c r="TE357" s="92"/>
      <c r="TF357" s="92"/>
      <c r="TG357" s="92"/>
      <c r="TH357" s="92"/>
      <c r="TI357" s="92"/>
      <c r="TJ357" s="92"/>
      <c r="TK357" s="92"/>
      <c r="TL357" s="92"/>
      <c r="TM357" s="92"/>
      <c r="TN357" s="92"/>
      <c r="TO357" s="92"/>
      <c r="TP357" s="92"/>
      <c r="TQ357" s="92"/>
      <c r="TR357" s="92"/>
      <c r="TS357" s="92"/>
      <c r="TT357" s="92"/>
      <c r="TU357" s="92"/>
      <c r="TV357" s="92"/>
      <c r="TW357" s="92"/>
      <c r="TX357" s="92"/>
      <c r="TY357" s="92"/>
      <c r="TZ357" s="92"/>
      <c r="UA357" s="92"/>
      <c r="UB357" s="92"/>
      <c r="UC357" s="92"/>
      <c r="UD357" s="92"/>
      <c r="UE357" s="92"/>
      <c r="UF357" s="92"/>
      <c r="UG357" s="92"/>
      <c r="UH357" s="92"/>
      <c r="UI357" s="92"/>
      <c r="UJ357" s="92"/>
      <c r="UK357" s="92"/>
      <c r="UL357" s="92"/>
      <c r="UM357" s="92"/>
      <c r="UN357" s="92"/>
      <c r="UO357" s="92"/>
      <c r="UP357" s="92"/>
      <c r="UQ357" s="92"/>
      <c r="UR357" s="92"/>
      <c r="US357" s="92"/>
      <c r="UT357" s="92"/>
      <c r="UU357" s="92"/>
      <c r="UV357" s="92"/>
      <c r="UW357" s="92"/>
      <c r="UX357" s="92"/>
      <c r="UY357" s="92"/>
      <c r="UZ357" s="92"/>
      <c r="VA357" s="92"/>
      <c r="VB357" s="92"/>
      <c r="VC357" s="92"/>
      <c r="VD357" s="92"/>
      <c r="VE357" s="92"/>
      <c r="VF357" s="92"/>
      <c r="VG357" s="92"/>
      <c r="VH357" s="92"/>
      <c r="VI357" s="92"/>
      <c r="VJ357" s="92"/>
      <c r="VK357" s="92"/>
      <c r="VL357" s="92"/>
      <c r="VM357" s="92"/>
      <c r="VN357" s="92"/>
      <c r="VO357" s="92"/>
      <c r="VP357" s="92"/>
      <c r="VQ357" s="92"/>
      <c r="VR357" s="92"/>
      <c r="VS357" s="92"/>
      <c r="VT357" s="92"/>
      <c r="VU357" s="92"/>
      <c r="VV357" s="92"/>
      <c r="VW357" s="92"/>
      <c r="VX357" s="92"/>
      <c r="VY357" s="92"/>
      <c r="VZ357" s="92"/>
      <c r="WA357" s="92"/>
      <c r="WB357" s="92"/>
      <c r="WC357" s="92"/>
      <c r="WD357" s="92"/>
      <c r="WE357" s="92"/>
      <c r="WF357" s="92"/>
      <c r="WG357" s="92"/>
      <c r="WH357" s="92"/>
      <c r="WI357" s="92"/>
      <c r="WJ357" s="92"/>
      <c r="WK357" s="92"/>
      <c r="WL357" s="92"/>
      <c r="WM357" s="92"/>
      <c r="WN357" s="92"/>
      <c r="WO357" s="92"/>
      <c r="WP357" s="92"/>
      <c r="WQ357" s="92"/>
      <c r="WR357" s="92"/>
      <c r="WS357" s="92"/>
      <c r="WT357" s="92"/>
      <c r="WU357" s="92"/>
      <c r="WV357" s="92"/>
      <c r="WW357" s="92"/>
      <c r="WX357" s="92"/>
      <c r="WY357" s="92"/>
      <c r="WZ357" s="92"/>
      <c r="XA357" s="92"/>
      <c r="XB357" s="92"/>
      <c r="XC357" s="92"/>
      <c r="XD357" s="92"/>
      <c r="XE357" s="92"/>
      <c r="XF357" s="92"/>
      <c r="XG357" s="92"/>
      <c r="XH357" s="92"/>
      <c r="XI357" s="92"/>
      <c r="XJ357" s="92"/>
      <c r="XK357" s="92"/>
      <c r="XL357" s="92"/>
      <c r="XM357" s="92"/>
      <c r="XN357" s="92"/>
      <c r="XO357" s="92"/>
      <c r="XP357" s="92"/>
      <c r="XQ357" s="92"/>
      <c r="XR357" s="92"/>
      <c r="XS357" s="92"/>
      <c r="XT357" s="92"/>
      <c r="XU357" s="92"/>
      <c r="XV357" s="92"/>
      <c r="XW357" s="92"/>
      <c r="XX357" s="92"/>
      <c r="XY357" s="92"/>
      <c r="XZ357" s="92"/>
      <c r="YA357" s="92"/>
      <c r="YB357" s="92"/>
      <c r="YC357" s="92"/>
      <c r="YD357" s="92"/>
      <c r="YE357" s="92"/>
      <c r="YF357" s="92"/>
      <c r="YG357" s="92"/>
      <c r="YH357" s="92"/>
      <c r="YI357" s="92"/>
      <c r="YJ357" s="92"/>
      <c r="YK357" s="92"/>
      <c r="YL357" s="92"/>
      <c r="YM357" s="92"/>
      <c r="YN357" s="92"/>
      <c r="YO357" s="92"/>
      <c r="YP357" s="92"/>
      <c r="YQ357" s="92"/>
      <c r="YR357" s="92"/>
      <c r="YS357" s="92"/>
      <c r="YT357" s="92"/>
      <c r="YU357" s="92"/>
      <c r="YV357" s="92"/>
      <c r="YW357" s="92"/>
      <c r="YX357" s="92"/>
      <c r="YY357" s="92"/>
      <c r="YZ357" s="92"/>
      <c r="ZA357" s="92"/>
      <c r="ZB357" s="92"/>
      <c r="ZC357" s="92"/>
      <c r="ZD357" s="92"/>
      <c r="ZE357" s="92"/>
      <c r="ZF357" s="92"/>
      <c r="ZG357" s="92"/>
      <c r="ZH357" s="92"/>
      <c r="ZI357" s="92"/>
      <c r="ZJ357" s="92"/>
      <c r="ZK357" s="92"/>
      <c r="ZL357" s="92"/>
      <c r="ZM357" s="92"/>
      <c r="ZN357" s="92"/>
      <c r="ZO357" s="92"/>
      <c r="ZP357" s="92"/>
      <c r="ZQ357" s="92"/>
      <c r="ZR357" s="92"/>
      <c r="ZS357" s="92"/>
      <c r="ZT357" s="92"/>
      <c r="ZU357" s="92"/>
      <c r="ZV357" s="92"/>
      <c r="ZW357" s="92"/>
      <c r="ZX357" s="92"/>
      <c r="ZY357" s="92"/>
      <c r="ZZ357" s="92"/>
      <c r="AAA357" s="92"/>
      <c r="AAB357" s="92"/>
      <c r="AAC357" s="92"/>
      <c r="AAD357" s="92"/>
      <c r="AAE357" s="92"/>
      <c r="AAF357" s="92"/>
      <c r="AAG357" s="92"/>
      <c r="AAH357" s="92"/>
      <c r="AAI357" s="92"/>
      <c r="AAJ357" s="92"/>
      <c r="AAK357" s="92"/>
      <c r="AAL357" s="92"/>
      <c r="AAM357" s="92"/>
      <c r="AAN357" s="92"/>
      <c r="AAO357" s="92"/>
      <c r="AAP357" s="92"/>
      <c r="AAQ357" s="92"/>
      <c r="AAR357" s="92"/>
      <c r="AAS357" s="92"/>
      <c r="AAT357" s="92"/>
      <c r="AAU357" s="92"/>
      <c r="AAV357" s="92"/>
      <c r="AAW357" s="92"/>
      <c r="AAX357" s="92"/>
      <c r="AAY357" s="92"/>
      <c r="AAZ357" s="92"/>
      <c r="ABA357" s="92"/>
      <c r="ABB357" s="92"/>
      <c r="ABC357" s="92"/>
      <c r="ABD357" s="92"/>
      <c r="ABE357" s="92"/>
      <c r="ABF357" s="92"/>
      <c r="ABG357" s="92"/>
      <c r="ABH357" s="92"/>
      <c r="ABI357" s="92"/>
      <c r="ABJ357" s="92"/>
      <c r="ABK357" s="92"/>
      <c r="ABL357" s="92"/>
      <c r="ABM357" s="92"/>
      <c r="ABN357" s="92"/>
      <c r="ABO357" s="92"/>
      <c r="ABP357" s="92"/>
      <c r="ABQ357" s="92"/>
      <c r="ABR357" s="92"/>
      <c r="ABS357" s="92"/>
      <c r="ABT357" s="92"/>
      <c r="ABU357" s="92"/>
      <c r="ABV357" s="92"/>
      <c r="ABW357" s="92"/>
      <c r="ABX357" s="92"/>
      <c r="ABY357" s="92"/>
      <c r="ABZ357" s="92"/>
      <c r="ACA357" s="92"/>
      <c r="ACB357" s="92"/>
      <c r="ACC357" s="92"/>
      <c r="ACD357" s="92"/>
      <c r="ACE357" s="92"/>
      <c r="ACF357" s="92"/>
      <c r="ACG357" s="92"/>
      <c r="ACH357" s="92"/>
      <c r="ACI357" s="92"/>
      <c r="ACJ357" s="92"/>
      <c r="ACK357" s="92"/>
      <c r="ACL357" s="92"/>
      <c r="ACM357" s="92"/>
      <c r="ACN357" s="92"/>
      <c r="ACO357" s="92"/>
      <c r="ACP357" s="92"/>
      <c r="ACQ357" s="92"/>
      <c r="ACR357" s="92"/>
      <c r="ACS357" s="92"/>
      <c r="ACT357" s="92"/>
      <c r="ACU357" s="92"/>
      <c r="ACV357" s="92"/>
      <c r="ACW357" s="92"/>
      <c r="ACX357" s="92"/>
      <c r="ACY357" s="92"/>
      <c r="ACZ357" s="92"/>
      <c r="ADA357" s="92"/>
      <c r="ADB357" s="92"/>
      <c r="ADC357" s="92"/>
      <c r="ADD357" s="92"/>
      <c r="ADE357" s="92"/>
      <c r="ADF357" s="92"/>
      <c r="ADG357" s="92"/>
      <c r="ADH357" s="92"/>
      <c r="ADI357" s="92"/>
      <c r="ADJ357" s="92"/>
      <c r="ADK357" s="92"/>
      <c r="ADL357" s="92"/>
      <c r="ADM357" s="92"/>
      <c r="ADN357" s="92"/>
      <c r="ADO357" s="92"/>
      <c r="ADP357" s="92"/>
      <c r="ADQ357" s="92"/>
      <c r="ADR357" s="92"/>
      <c r="ADS357" s="92"/>
      <c r="ADT357" s="92"/>
      <c r="ADU357" s="92"/>
      <c r="ADV357" s="92"/>
      <c r="ADW357" s="92"/>
      <c r="ADX357" s="92"/>
      <c r="ADY357" s="92"/>
      <c r="ADZ357" s="92"/>
      <c r="AEA357" s="92"/>
      <c r="AEB357" s="92"/>
      <c r="AEC357" s="92"/>
      <c r="AED357" s="92"/>
      <c r="AEE357" s="92"/>
      <c r="AEF357" s="92"/>
      <c r="AEG357" s="92"/>
      <c r="AEH357" s="92"/>
      <c r="AEI357" s="92"/>
      <c r="AEJ357" s="92"/>
      <c r="AEK357" s="92"/>
      <c r="AEL357" s="92"/>
      <c r="AEM357" s="92"/>
      <c r="AEN357" s="92"/>
      <c r="AEO357" s="92"/>
      <c r="AEP357" s="92"/>
      <c r="AEQ357" s="92"/>
      <c r="AER357" s="92"/>
      <c r="AES357" s="92"/>
      <c r="AET357" s="92"/>
      <c r="AEU357" s="92"/>
      <c r="AEV357" s="92"/>
      <c r="AEW357" s="92"/>
      <c r="AEX357" s="92"/>
      <c r="AEY357" s="92"/>
      <c r="AEZ357" s="92"/>
      <c r="AFA357" s="92"/>
      <c r="AFB357" s="92"/>
      <c r="AFC357" s="92"/>
      <c r="AFD357" s="92"/>
      <c r="AFE357" s="92"/>
      <c r="AFF357" s="92"/>
      <c r="AFG357" s="92"/>
      <c r="AFH357" s="92"/>
      <c r="AFI357" s="92"/>
      <c r="AFJ357" s="92"/>
      <c r="AFK357" s="92"/>
      <c r="AFL357" s="92"/>
      <c r="AFM357" s="92"/>
      <c r="AFN357" s="92"/>
      <c r="AFO357" s="92"/>
      <c r="AFP357" s="92"/>
      <c r="AFQ357" s="92"/>
      <c r="AFR357" s="92"/>
      <c r="AFS357" s="92"/>
      <c r="AFT357" s="92"/>
      <c r="AFU357" s="92"/>
      <c r="AFV357" s="92"/>
      <c r="AFW357" s="92"/>
      <c r="AFX357" s="92"/>
      <c r="AFY357" s="92"/>
      <c r="AFZ357" s="92"/>
      <c r="AGA357" s="92"/>
      <c r="AGB357" s="92"/>
      <c r="AGC357" s="92"/>
      <c r="AGD357" s="92"/>
      <c r="AGE357" s="92"/>
      <c r="AGF357" s="92"/>
      <c r="AGG357" s="92"/>
      <c r="AGH357" s="92"/>
      <c r="AGI357" s="92"/>
      <c r="AGJ357" s="92"/>
      <c r="AGK357" s="92"/>
      <c r="AGL357" s="92"/>
      <c r="AGM357" s="92"/>
      <c r="AGN357" s="92"/>
      <c r="AGO357" s="92"/>
      <c r="AGP357" s="92"/>
      <c r="AGQ357" s="92"/>
      <c r="AGR357" s="92"/>
      <c r="AGS357" s="92"/>
      <c r="AGT357" s="92"/>
      <c r="AGU357" s="92"/>
      <c r="AGV357" s="92"/>
      <c r="AGW357" s="92"/>
      <c r="AGX357" s="92"/>
      <c r="AGY357" s="92"/>
      <c r="AGZ357" s="92"/>
      <c r="AHA357" s="92"/>
      <c r="AHB357" s="92"/>
      <c r="AHC357" s="92"/>
      <c r="AHD357" s="92"/>
      <c r="AHE357" s="92"/>
      <c r="AHF357" s="92"/>
      <c r="AHG357" s="92"/>
      <c r="AHH357" s="92"/>
      <c r="AHI357" s="92"/>
      <c r="AHJ357" s="92"/>
      <c r="AHK357" s="92"/>
      <c r="AHL357" s="92"/>
      <c r="AHM357" s="92"/>
      <c r="AHN357" s="92"/>
      <c r="AHO357" s="92"/>
      <c r="AHP357" s="92"/>
      <c r="AHQ357" s="92"/>
      <c r="AHR357" s="92"/>
      <c r="AHS357" s="92"/>
      <c r="AHT357" s="92"/>
      <c r="AHU357" s="92"/>
      <c r="AHV357" s="92"/>
      <c r="AHW357" s="92"/>
      <c r="AHX357" s="92"/>
      <c r="AHY357" s="92"/>
      <c r="AHZ357" s="92"/>
      <c r="AIA357" s="92"/>
      <c r="AIB357" s="92"/>
      <c r="AIC357" s="92"/>
      <c r="AID357" s="92"/>
      <c r="AIE357" s="92"/>
      <c r="AIF357" s="92"/>
      <c r="AIG357" s="92"/>
      <c r="AIH357" s="92"/>
      <c r="AII357" s="92"/>
      <c r="AIJ357" s="92"/>
      <c r="AIK357" s="92"/>
      <c r="AIL357" s="92"/>
      <c r="AIM357" s="92"/>
      <c r="AIN357" s="92"/>
      <c r="AIO357" s="92"/>
      <c r="AIP357" s="92"/>
      <c r="AIQ357" s="92"/>
      <c r="AIR357" s="92"/>
      <c r="AIS357" s="92"/>
      <c r="AIT357" s="92"/>
      <c r="AIU357" s="92"/>
      <c r="AIV357" s="92"/>
      <c r="AIW357" s="92"/>
      <c r="AIX357" s="92"/>
      <c r="AIY357" s="92"/>
      <c r="AIZ357" s="92"/>
      <c r="AJA357" s="92"/>
      <c r="AJB357" s="92"/>
      <c r="AJC357" s="92"/>
      <c r="AJD357" s="92"/>
      <c r="AJE357" s="92"/>
      <c r="AJF357" s="92"/>
      <c r="AJG357" s="92"/>
      <c r="AJH357" s="92"/>
      <c r="AJI357" s="92"/>
      <c r="AJJ357" s="92"/>
      <c r="AJK357" s="92"/>
      <c r="AJL357" s="92"/>
      <c r="AJM357" s="92"/>
      <c r="AJN357" s="92"/>
      <c r="AJO357" s="92"/>
      <c r="AJP357" s="92"/>
      <c r="AJQ357" s="92"/>
      <c r="AJR357" s="92"/>
      <c r="AJS357" s="92"/>
      <c r="AJT357" s="92"/>
      <c r="AJU357" s="92"/>
      <c r="AJV357" s="92"/>
      <c r="AJW357" s="92"/>
      <c r="AJX357" s="92"/>
      <c r="AJY357" s="92"/>
      <c r="AJZ357" s="92"/>
      <c r="AKA357" s="92"/>
      <c r="AKB357" s="92"/>
      <c r="AKC357" s="92"/>
      <c r="AKD357" s="92"/>
      <c r="AKE357" s="92"/>
      <c r="AKF357" s="92"/>
      <c r="AKG357" s="92"/>
      <c r="AKH357" s="92"/>
      <c r="AKI357" s="92"/>
      <c r="AKJ357" s="92"/>
      <c r="AKK357" s="92"/>
      <c r="AKL357" s="92"/>
      <c r="AKM357" s="92"/>
      <c r="AKN357" s="92"/>
      <c r="AKO357" s="92"/>
      <c r="AKP357" s="92"/>
      <c r="AKQ357" s="92"/>
      <c r="AKR357" s="92"/>
      <c r="AKS357" s="92"/>
      <c r="AKT357" s="92"/>
      <c r="AKU357" s="92"/>
      <c r="AKV357" s="92"/>
      <c r="AKW357" s="92"/>
      <c r="AKX357" s="92"/>
      <c r="AKY357" s="92"/>
      <c r="AKZ357" s="92"/>
      <c r="ALA357" s="92"/>
      <c r="ALB357" s="92"/>
      <c r="ALC357" s="92"/>
      <c r="ALD357" s="92"/>
      <c r="ALE357" s="92"/>
      <c r="ALF357" s="92"/>
      <c r="ALG357" s="92"/>
      <c r="ALH357" s="92"/>
      <c r="ALI357" s="92"/>
      <c r="ALJ357" s="92"/>
      <c r="ALK357" s="92"/>
      <c r="ALL357" s="92"/>
      <c r="ALM357" s="92"/>
      <c r="ALN357" s="92"/>
      <c r="ALO357" s="92"/>
      <c r="ALP357" s="92"/>
      <c r="ALQ357" s="92"/>
      <c r="ALR357" s="92"/>
      <c r="ALS357" s="92"/>
      <c r="ALT357" s="92"/>
      <c r="ALU357" s="92"/>
      <c r="ALV357" s="92"/>
      <c r="ALW357" s="92"/>
      <c r="ALX357" s="92"/>
      <c r="ALY357" s="92"/>
      <c r="ALZ357" s="92"/>
      <c r="AMA357" s="92"/>
      <c r="AMB357" s="92"/>
      <c r="AMC357" s="92"/>
      <c r="AMD357" s="92"/>
      <c r="AME357" s="92"/>
      <c r="AMF357" s="92"/>
      <c r="AMG357" s="92"/>
      <c r="AMH357" s="92"/>
      <c r="AMI357" s="92"/>
      <c r="AMJ357" s="92"/>
      <c r="AMK357" s="92"/>
      <c r="AML357" s="92"/>
      <c r="AMM357" s="92"/>
      <c r="AMN357" s="92"/>
      <c r="AMO357" s="92"/>
      <c r="AMP357" s="92"/>
      <c r="AMQ357" s="92"/>
      <c r="AMR357" s="92"/>
      <c r="AMS357" s="92"/>
      <c r="AMT357" s="92"/>
      <c r="AMU357" s="92"/>
      <c r="AMV357" s="92"/>
      <c r="AMW357" s="92"/>
      <c r="AMX357" s="92"/>
      <c r="AMY357" s="92"/>
      <c r="AMZ357" s="92"/>
      <c r="ANA357" s="92"/>
      <c r="ANB357" s="92"/>
      <c r="ANC357" s="92"/>
      <c r="AND357" s="92"/>
      <c r="ANE357" s="92"/>
      <c r="ANF357" s="92"/>
      <c r="ANG357" s="92"/>
      <c r="ANH357" s="92"/>
      <c r="ANI357" s="92"/>
      <c r="ANJ357" s="92"/>
      <c r="ANK357" s="92"/>
      <c r="ANL357" s="92"/>
      <c r="ANM357" s="92"/>
      <c r="ANN357" s="92"/>
      <c r="ANO357" s="92"/>
      <c r="ANP357" s="92"/>
      <c r="ANQ357" s="92"/>
      <c r="ANR357" s="92"/>
      <c r="ANS357" s="92"/>
      <c r="ANT357" s="92"/>
      <c r="ANU357" s="92"/>
      <c r="ANV357" s="92"/>
      <c r="ANW357" s="92"/>
      <c r="ANX357" s="92"/>
      <c r="ANY357" s="92"/>
      <c r="ANZ357" s="92"/>
      <c r="AOA357" s="92"/>
      <c r="AOB357" s="92"/>
      <c r="AOC357" s="92"/>
      <c r="AOD357" s="92"/>
      <c r="AOE357" s="92"/>
      <c r="AOF357" s="92"/>
      <c r="AOG357" s="92"/>
      <c r="AOH357" s="92"/>
      <c r="AOI357" s="92"/>
      <c r="AOJ357" s="92"/>
      <c r="AOK357" s="92"/>
      <c r="AOL357" s="92"/>
      <c r="AOM357" s="92"/>
      <c r="AON357" s="92"/>
      <c r="AOO357" s="92"/>
      <c r="AOP357" s="92"/>
      <c r="AOQ357" s="92"/>
      <c r="AOR357" s="92"/>
      <c r="AOS357" s="92"/>
      <c r="AOT357" s="92"/>
      <c r="AOU357" s="92"/>
      <c r="AOV357" s="92"/>
      <c r="AOW357" s="92"/>
      <c r="AOX357" s="92"/>
      <c r="AOY357" s="92"/>
      <c r="AOZ357" s="92"/>
      <c r="APA357" s="92"/>
      <c r="APB357" s="92"/>
      <c r="APC357" s="92"/>
      <c r="APD357" s="92"/>
      <c r="APE357" s="92"/>
      <c r="APF357" s="92"/>
      <c r="APG357" s="92"/>
      <c r="APH357" s="92"/>
      <c r="API357" s="92"/>
      <c r="APJ357" s="92"/>
      <c r="APK357" s="92"/>
      <c r="APL357" s="92"/>
      <c r="APM357" s="92"/>
      <c r="APN357" s="92"/>
      <c r="APO357" s="92"/>
      <c r="APP357" s="92"/>
      <c r="APQ357" s="92"/>
      <c r="APR357" s="92"/>
      <c r="APS357" s="92"/>
      <c r="APT357" s="92"/>
      <c r="APU357" s="92"/>
      <c r="APV357" s="92"/>
      <c r="APW357" s="92"/>
      <c r="APX357" s="92"/>
      <c r="APY357" s="92"/>
      <c r="APZ357" s="92"/>
      <c r="AQA357" s="92"/>
      <c r="AQB357" s="92"/>
      <c r="AQC357" s="92"/>
      <c r="AQD357" s="92"/>
      <c r="AQE357" s="92"/>
      <c r="AQF357" s="92"/>
      <c r="AQG357" s="92"/>
      <c r="AQH357" s="92"/>
      <c r="AQI357" s="92"/>
      <c r="AQJ357" s="92"/>
      <c r="AQK357" s="92"/>
      <c r="AQL357" s="92"/>
      <c r="AQM357" s="92"/>
      <c r="AQN357" s="92"/>
      <c r="AQO357" s="92"/>
      <c r="AQP357" s="92"/>
      <c r="AQQ357" s="92"/>
      <c r="AQR357" s="92"/>
      <c r="AQS357" s="92"/>
      <c r="AQT357" s="92"/>
      <c r="AQU357" s="92"/>
      <c r="AQV357" s="92"/>
      <c r="AQW357" s="92"/>
      <c r="AQX357" s="92"/>
      <c r="AQY357" s="92"/>
      <c r="AQZ357" s="92"/>
      <c r="ARA357" s="92"/>
      <c r="ARB357" s="92"/>
      <c r="ARC357" s="92"/>
      <c r="ARD357" s="92"/>
      <c r="ARE357" s="92"/>
      <c r="ARF357" s="92"/>
      <c r="ARG357" s="92"/>
      <c r="ARH357" s="92"/>
      <c r="ARI357" s="92"/>
      <c r="ARJ357" s="92"/>
      <c r="ARK357" s="92"/>
      <c r="ARL357" s="92"/>
      <c r="ARM357" s="92"/>
      <c r="ARN357" s="92"/>
      <c r="ARO357" s="92"/>
      <c r="ARP357" s="92"/>
      <c r="ARQ357" s="92"/>
      <c r="ARR357" s="92"/>
      <c r="ARS357" s="92"/>
      <c r="ART357" s="92"/>
      <c r="ARU357" s="92"/>
      <c r="ARV357" s="92"/>
      <c r="ARW357" s="92"/>
      <c r="ARX357" s="92"/>
      <c r="ARY357" s="92"/>
      <c r="ARZ357" s="92"/>
      <c r="ASA357" s="92"/>
      <c r="ASB357" s="92"/>
      <c r="ASC357" s="92"/>
      <c r="ASD357" s="92"/>
      <c r="ASE357" s="92"/>
      <c r="ASF357" s="92"/>
      <c r="ASG357" s="92"/>
      <c r="ASH357" s="92"/>
      <c r="ASI357" s="92"/>
      <c r="ASJ357" s="92"/>
      <c r="ASK357" s="92"/>
      <c r="ASL357" s="92"/>
      <c r="ASM357" s="92"/>
      <c r="ASN357" s="92"/>
      <c r="ASO357" s="92"/>
      <c r="ASP357" s="92"/>
      <c r="ASQ357" s="92"/>
      <c r="ASR357" s="92"/>
      <c r="ASS357" s="92"/>
      <c r="AST357" s="92"/>
      <c r="ASU357" s="92"/>
      <c r="ASV357" s="92"/>
      <c r="ASW357" s="92"/>
      <c r="ASX357" s="92"/>
      <c r="ASY357" s="92"/>
      <c r="ASZ357" s="92"/>
      <c r="ATA357" s="92"/>
      <c r="ATB357" s="92"/>
      <c r="ATC357" s="92"/>
      <c r="ATD357" s="92"/>
      <c r="ATE357" s="92"/>
      <c r="ATF357" s="92"/>
      <c r="ATG357" s="92"/>
      <c r="ATH357" s="92"/>
      <c r="ATI357" s="92"/>
      <c r="ATJ357" s="92"/>
      <c r="ATK357" s="92"/>
      <c r="ATL357" s="92"/>
      <c r="ATM357" s="92"/>
      <c r="ATN357" s="92"/>
      <c r="ATO357" s="92"/>
      <c r="ATP357" s="92"/>
      <c r="ATQ357" s="92"/>
      <c r="ATR357" s="92"/>
      <c r="ATS357" s="92"/>
      <c r="ATT357" s="92"/>
      <c r="ATU357" s="92"/>
      <c r="ATV357" s="92"/>
      <c r="ATW357" s="92"/>
      <c r="ATX357" s="92"/>
      <c r="ATY357" s="92"/>
      <c r="ATZ357" s="92"/>
      <c r="AUA357" s="92"/>
      <c r="AUB357" s="92"/>
      <c r="AUC357" s="92"/>
      <c r="AUD357" s="92"/>
      <c r="AUE357" s="92"/>
      <c r="AUF357" s="92"/>
      <c r="AUG357" s="92"/>
      <c r="AUH357" s="92"/>
      <c r="AUI357" s="92"/>
      <c r="AUJ357" s="92"/>
      <c r="AUK357" s="92"/>
      <c r="AUL357" s="92"/>
      <c r="AUM357" s="92"/>
      <c r="AUN357" s="92"/>
      <c r="AUO357" s="92"/>
      <c r="AUP357" s="92"/>
      <c r="AUQ357" s="92"/>
      <c r="AUR357" s="92"/>
      <c r="AUS357" s="92"/>
      <c r="AUT357" s="92"/>
      <c r="AUU357" s="92"/>
      <c r="AUV357" s="92"/>
      <c r="AUW357" s="92"/>
      <c r="AUX357" s="92"/>
      <c r="AUY357" s="92"/>
      <c r="AUZ357" s="92"/>
      <c r="AVA357" s="92"/>
      <c r="AVB357" s="92"/>
      <c r="AVC357" s="92"/>
      <c r="AVD357" s="92"/>
      <c r="AVE357" s="92"/>
      <c r="AVF357" s="92"/>
      <c r="AVG357" s="92"/>
      <c r="AVH357" s="92"/>
      <c r="AVI357" s="92"/>
      <c r="AVJ357" s="92"/>
      <c r="AVK357" s="92"/>
      <c r="AVL357" s="92"/>
      <c r="AVM357" s="92"/>
      <c r="AVN357" s="92"/>
      <c r="AVO357" s="92"/>
      <c r="AVP357" s="92"/>
      <c r="AVQ357" s="92"/>
      <c r="AVR357" s="92"/>
      <c r="AVS357" s="92"/>
      <c r="AVT357" s="92"/>
      <c r="AVU357" s="92"/>
      <c r="AVV357" s="92"/>
      <c r="AVW357" s="92"/>
      <c r="AVX357" s="92"/>
      <c r="AVY357" s="92"/>
      <c r="AVZ357" s="92"/>
      <c r="AWA357" s="92"/>
      <c r="AWB357" s="92"/>
      <c r="AWC357" s="92"/>
      <c r="AWD357" s="92"/>
      <c r="AWE357" s="92"/>
      <c r="AWF357" s="92"/>
      <c r="AWG357" s="92"/>
      <c r="AWH357" s="92"/>
      <c r="AWI357" s="92"/>
      <c r="AWJ357" s="92"/>
      <c r="AWK357" s="92"/>
      <c r="AWL357" s="92"/>
      <c r="AWM357" s="92"/>
      <c r="AWN357" s="92"/>
      <c r="AWO357" s="92"/>
      <c r="AWP357" s="92"/>
      <c r="AWQ357" s="92"/>
      <c r="AWR357" s="92"/>
      <c r="AWS357" s="92"/>
      <c r="AWT357" s="92"/>
      <c r="AWU357" s="92"/>
      <c r="AWV357" s="92"/>
      <c r="AWW357" s="92"/>
      <c r="AWX357" s="92"/>
      <c r="AWY357" s="92"/>
      <c r="AWZ357" s="92"/>
      <c r="AXA357" s="92"/>
      <c r="AXB357" s="92"/>
      <c r="AXC357" s="92"/>
      <c r="AXD357" s="92"/>
      <c r="AXE357" s="92"/>
      <c r="AXF357" s="92"/>
      <c r="AXG357" s="92"/>
      <c r="AXH357" s="92"/>
      <c r="AXI357" s="92"/>
      <c r="AXJ357" s="92"/>
      <c r="AXK357" s="92"/>
      <c r="AXL357" s="92"/>
      <c r="AXM357" s="92"/>
      <c r="AXN357" s="92"/>
      <c r="AXO357" s="92"/>
      <c r="AXP357" s="92"/>
      <c r="AXQ357" s="92"/>
      <c r="AXR357" s="92"/>
      <c r="AXS357" s="92"/>
      <c r="AXT357" s="92"/>
      <c r="AXU357" s="92"/>
      <c r="AXV357" s="92"/>
      <c r="AXW357" s="92"/>
      <c r="AXX357" s="92"/>
      <c r="AXY357" s="92"/>
      <c r="AXZ357" s="92"/>
      <c r="AYA357" s="92"/>
      <c r="AYB357" s="92"/>
      <c r="AYC357" s="92"/>
      <c r="AYD357" s="92"/>
      <c r="AYE357" s="92"/>
      <c r="AYF357" s="92"/>
      <c r="AYG357" s="92"/>
      <c r="AYH357" s="92"/>
      <c r="AYI357" s="92"/>
      <c r="AYJ357" s="92"/>
      <c r="AYK357" s="92"/>
      <c r="AYL357" s="92"/>
      <c r="AYM357" s="92"/>
      <c r="AYN357" s="92"/>
      <c r="AYO357" s="92"/>
      <c r="AYP357" s="92"/>
      <c r="AYQ357" s="92"/>
      <c r="AYR357" s="92"/>
      <c r="AYS357" s="92"/>
      <c r="AYT357" s="92"/>
      <c r="AYU357" s="92"/>
      <c r="AYV357" s="92"/>
      <c r="AYW357" s="92"/>
      <c r="AYX357" s="92"/>
      <c r="AYY357" s="92"/>
      <c r="AYZ357" s="92"/>
      <c r="AZA357" s="92"/>
      <c r="AZB357" s="92"/>
      <c r="AZC357" s="92"/>
      <c r="AZD357" s="92"/>
      <c r="AZE357" s="92"/>
      <c r="AZF357" s="92"/>
      <c r="AZG357" s="92"/>
      <c r="AZH357" s="92"/>
      <c r="AZI357" s="92"/>
      <c r="AZJ357" s="92"/>
      <c r="AZK357" s="92"/>
      <c r="AZL357" s="92"/>
      <c r="AZM357" s="92"/>
      <c r="AZN357" s="92"/>
      <c r="AZO357" s="92"/>
      <c r="AZP357" s="92"/>
      <c r="AZQ357" s="92"/>
      <c r="AZR357" s="92"/>
      <c r="AZS357" s="92"/>
      <c r="AZT357" s="92"/>
      <c r="AZU357" s="92"/>
      <c r="AZV357" s="92"/>
      <c r="AZW357" s="92"/>
      <c r="AZX357" s="92"/>
      <c r="AZY357" s="92"/>
      <c r="AZZ357" s="92"/>
      <c r="BAA357" s="92"/>
      <c r="BAB357" s="92"/>
      <c r="BAC357" s="92"/>
      <c r="BAD357" s="92"/>
      <c r="BAE357" s="92"/>
      <c r="BAF357" s="92"/>
      <c r="BAG357" s="92"/>
      <c r="BAH357" s="92"/>
      <c r="BAI357" s="92"/>
      <c r="BAJ357" s="92"/>
      <c r="BAK357" s="92"/>
      <c r="BAL357" s="92"/>
      <c r="BAM357" s="92"/>
      <c r="BAN357" s="92"/>
      <c r="BAO357" s="92"/>
      <c r="BAP357" s="92"/>
      <c r="BAQ357" s="92"/>
      <c r="BAR357" s="92"/>
      <c r="BAS357" s="92"/>
      <c r="BAT357" s="92"/>
      <c r="BAU357" s="92"/>
      <c r="BAV357" s="92"/>
      <c r="BAW357" s="92"/>
      <c r="BAX357" s="92"/>
      <c r="BAY357" s="92"/>
      <c r="BAZ357" s="92"/>
      <c r="BBA357" s="92"/>
      <c r="BBB357" s="92"/>
      <c r="BBC357" s="92"/>
      <c r="BBD357" s="92"/>
      <c r="BBE357" s="92"/>
      <c r="BBF357" s="92"/>
      <c r="BBG357" s="92"/>
      <c r="BBH357" s="92"/>
      <c r="BBI357" s="92"/>
      <c r="BBJ357" s="92"/>
      <c r="BBK357" s="92"/>
      <c r="BBL357" s="92"/>
      <c r="BBM357" s="92"/>
      <c r="BBN357" s="92"/>
      <c r="BBO357" s="92"/>
      <c r="BBP357" s="92"/>
      <c r="BBQ357" s="92"/>
      <c r="BBR357" s="92"/>
      <c r="BBS357" s="92"/>
      <c r="BBT357" s="92"/>
      <c r="BBU357" s="92"/>
      <c r="BBV357" s="92"/>
      <c r="BBW357" s="92"/>
      <c r="BBX357" s="92"/>
      <c r="BBY357" s="92"/>
      <c r="BBZ357" s="92"/>
      <c r="BCA357" s="92"/>
      <c r="BCB357" s="92"/>
      <c r="BCC357" s="92"/>
      <c r="BCD357" s="92"/>
      <c r="BCE357" s="92"/>
      <c r="BCF357" s="92"/>
      <c r="BCG357" s="92"/>
      <c r="BCH357" s="92"/>
      <c r="BCI357" s="92"/>
      <c r="BCJ357" s="92"/>
      <c r="BCK357" s="92"/>
      <c r="BCL357" s="92"/>
      <c r="BCM357" s="92"/>
      <c r="BCN357" s="92"/>
      <c r="BCO357" s="92"/>
      <c r="BCP357" s="92"/>
      <c r="BCQ357" s="92"/>
      <c r="BCR357" s="92"/>
      <c r="BCS357" s="92"/>
      <c r="BCT357" s="92"/>
      <c r="BCU357" s="92"/>
      <c r="BCV357" s="92"/>
      <c r="BCW357" s="92"/>
      <c r="BCX357" s="92"/>
      <c r="BCY357" s="92"/>
      <c r="BCZ357" s="92"/>
      <c r="BDA357" s="92"/>
      <c r="BDB357" s="92"/>
      <c r="BDC357" s="92"/>
      <c r="BDD357" s="92"/>
      <c r="BDE357" s="92"/>
      <c r="BDF357" s="92"/>
      <c r="BDG357" s="92"/>
      <c r="BDH357" s="92"/>
      <c r="BDI357" s="92"/>
      <c r="BDJ357" s="92"/>
      <c r="BDK357" s="92"/>
      <c r="BDL357" s="92"/>
      <c r="BDM357" s="92"/>
      <c r="BDN357" s="92"/>
      <c r="BDO357" s="92"/>
      <c r="BDP357" s="92"/>
      <c r="BDQ357" s="92"/>
      <c r="BDR357" s="92"/>
      <c r="BDS357" s="92"/>
      <c r="BDT357" s="92"/>
      <c r="BDU357" s="92"/>
      <c r="BDV357" s="92"/>
      <c r="BDW357" s="92"/>
      <c r="BDX357" s="92"/>
      <c r="BDY357" s="92"/>
      <c r="BDZ357" s="92"/>
      <c r="BEA357" s="92"/>
      <c r="BEB357" s="92"/>
      <c r="BEC357" s="92"/>
      <c r="BED357" s="92"/>
      <c r="BEE357" s="92"/>
      <c r="BEF357" s="92"/>
      <c r="BEG357" s="92"/>
      <c r="BEH357" s="92"/>
      <c r="BEI357" s="92"/>
      <c r="BEJ357" s="92"/>
      <c r="BEK357" s="92"/>
      <c r="BEL357" s="92"/>
      <c r="BEM357" s="92"/>
      <c r="BEN357" s="92"/>
      <c r="BEO357" s="92"/>
      <c r="BEP357" s="92"/>
      <c r="BEQ357" s="92"/>
      <c r="BER357" s="92"/>
      <c r="BES357" s="92"/>
      <c r="BET357" s="92"/>
      <c r="BEU357" s="92"/>
      <c r="BEV357" s="92"/>
      <c r="BEW357" s="92"/>
      <c r="BEX357" s="92"/>
      <c r="BEY357" s="92"/>
      <c r="BEZ357" s="92"/>
      <c r="BFA357" s="92"/>
      <c r="BFB357" s="92"/>
      <c r="BFC357" s="92"/>
      <c r="BFD357" s="92"/>
      <c r="BFE357" s="92"/>
      <c r="BFF357" s="92"/>
      <c r="BFG357" s="92"/>
      <c r="BFH357" s="92"/>
      <c r="BFI357" s="92"/>
      <c r="BFJ357" s="92"/>
      <c r="BFK357" s="92"/>
      <c r="BFL357" s="92"/>
      <c r="BFM357" s="92"/>
      <c r="BFN357" s="92"/>
      <c r="BFO357" s="92"/>
      <c r="BFP357" s="92"/>
      <c r="BFQ357" s="92"/>
      <c r="BFR357" s="92"/>
      <c r="BFS357" s="92"/>
      <c r="BFT357" s="92"/>
      <c r="BFU357" s="92"/>
      <c r="BFV357" s="92"/>
      <c r="BFW357" s="92"/>
      <c r="BFX357" s="92"/>
      <c r="BFY357" s="92"/>
      <c r="BFZ357" s="92"/>
      <c r="BGA357" s="92"/>
      <c r="BGB357" s="92"/>
      <c r="BGC357" s="92"/>
      <c r="BGD357" s="92"/>
      <c r="BGE357" s="92"/>
      <c r="BGF357" s="92"/>
      <c r="BGG357" s="92"/>
      <c r="BGH357" s="92"/>
      <c r="BGI357" s="92"/>
      <c r="BGJ357" s="92"/>
      <c r="BGK357" s="92"/>
      <c r="BGL357" s="92"/>
      <c r="BGM357" s="92"/>
      <c r="BGN357" s="92"/>
      <c r="BGO357" s="92"/>
      <c r="BGP357" s="92"/>
      <c r="BGQ357" s="92"/>
      <c r="BGR357" s="92"/>
      <c r="BGS357" s="92"/>
      <c r="BGT357" s="92"/>
      <c r="BGU357" s="92"/>
      <c r="BGV357" s="92"/>
      <c r="BGW357" s="92"/>
      <c r="BGX357" s="92"/>
      <c r="BGY357" s="92"/>
      <c r="BGZ357" s="92"/>
      <c r="BHA357" s="92"/>
      <c r="BHB357" s="92"/>
      <c r="BHC357" s="92"/>
      <c r="BHD357" s="92"/>
      <c r="BHE357" s="92"/>
      <c r="BHF357" s="92"/>
      <c r="BHG357" s="92"/>
      <c r="BHH357" s="92"/>
      <c r="BHI357" s="92"/>
      <c r="BHJ357" s="92"/>
      <c r="BHK357" s="92"/>
      <c r="BHL357" s="92"/>
      <c r="BHM357" s="92"/>
      <c r="BHN357" s="92"/>
      <c r="BHO357" s="92"/>
      <c r="BHP357" s="92"/>
      <c r="BHQ357" s="92"/>
      <c r="BHR357" s="92"/>
      <c r="BHS357" s="92"/>
      <c r="BHT357" s="92"/>
      <c r="BHU357" s="92"/>
      <c r="BHV357" s="92"/>
      <c r="BHW357" s="92"/>
      <c r="BHX357" s="92"/>
      <c r="BHY357" s="92"/>
      <c r="BHZ357" s="92"/>
      <c r="BIA357" s="92"/>
      <c r="BIB357" s="92"/>
      <c r="BIC357" s="92"/>
      <c r="BID357" s="92"/>
      <c r="BIE357" s="92"/>
      <c r="BIF357" s="92"/>
      <c r="BIG357" s="92"/>
      <c r="BIH357" s="92"/>
      <c r="BII357" s="92"/>
      <c r="BIJ357" s="92"/>
      <c r="BIK357" s="92"/>
      <c r="BIL357" s="92"/>
      <c r="BIM357" s="92"/>
      <c r="BIN357" s="92"/>
      <c r="BIO357" s="92"/>
      <c r="BIP357" s="92"/>
      <c r="BIQ357" s="92"/>
      <c r="BIR357" s="92"/>
      <c r="BIS357" s="92"/>
      <c r="BIT357" s="92"/>
      <c r="BIU357" s="92"/>
      <c r="BIV357" s="92"/>
      <c r="BIW357" s="92"/>
      <c r="BIX357" s="92"/>
      <c r="BIY357" s="92"/>
      <c r="BIZ357" s="92"/>
      <c r="BJA357" s="92"/>
      <c r="BJB357" s="92"/>
      <c r="BJC357" s="92"/>
      <c r="BJD357" s="92"/>
      <c r="BJE357" s="92"/>
      <c r="BJF357" s="92"/>
      <c r="BJG357" s="92"/>
      <c r="BJH357" s="92"/>
      <c r="BJI357" s="92"/>
      <c r="BJJ357" s="92"/>
      <c r="BJK357" s="92"/>
      <c r="BJL357" s="92"/>
      <c r="BJM357" s="92"/>
      <c r="BJN357" s="92"/>
      <c r="BJO357" s="92"/>
      <c r="BJP357" s="92"/>
      <c r="BJQ357" s="92"/>
      <c r="BJR357" s="92"/>
      <c r="BJS357" s="92"/>
      <c r="BJT357" s="92"/>
      <c r="BJU357" s="92"/>
      <c r="BJV357" s="92"/>
      <c r="BJW357" s="92"/>
      <c r="BJX357" s="92"/>
      <c r="BJY357" s="92"/>
      <c r="BJZ357" s="92"/>
      <c r="BKA357" s="92"/>
      <c r="BKB357" s="92"/>
      <c r="BKC357" s="92"/>
      <c r="BKD357" s="92"/>
      <c r="BKE357" s="92"/>
      <c r="BKF357" s="92"/>
      <c r="BKG357" s="92"/>
      <c r="BKH357" s="92"/>
      <c r="BKI357" s="92"/>
      <c r="BKJ357" s="92"/>
      <c r="BKK357" s="92"/>
      <c r="BKL357" s="92"/>
      <c r="BKM357" s="92"/>
      <c r="BKN357" s="92"/>
      <c r="BKO357" s="92"/>
      <c r="BKP357" s="92"/>
      <c r="BKQ357" s="92"/>
      <c r="BKR357" s="92"/>
      <c r="BKS357" s="92"/>
      <c r="BKT357" s="92"/>
      <c r="BKU357" s="92"/>
      <c r="BKV357" s="92"/>
      <c r="BKW357" s="92"/>
      <c r="BKX357" s="92"/>
      <c r="BKY357" s="92"/>
      <c r="BKZ357" s="92"/>
      <c r="BLA357" s="92"/>
      <c r="BLB357" s="92"/>
      <c r="BLC357" s="92"/>
      <c r="BLD357" s="92"/>
      <c r="BLE357" s="92"/>
      <c r="BLF357" s="92"/>
      <c r="BLG357" s="92"/>
      <c r="BLH357" s="92"/>
      <c r="BLI357" s="92"/>
      <c r="BLJ357" s="92"/>
      <c r="BLK357" s="92"/>
      <c r="BLL357" s="92"/>
      <c r="BLM357" s="92"/>
      <c r="BLN357" s="92"/>
      <c r="BLO357" s="92"/>
      <c r="BLP357" s="92"/>
      <c r="BLQ357" s="92"/>
      <c r="BLR357" s="92"/>
      <c r="BLS357" s="92"/>
      <c r="BLT357" s="92"/>
      <c r="BLU357" s="92"/>
      <c r="BLV357" s="92"/>
      <c r="BLW357" s="92"/>
      <c r="BLX357" s="92"/>
      <c r="BLY357" s="92"/>
      <c r="BLZ357" s="92"/>
      <c r="BMA357" s="92"/>
      <c r="BMB357" s="92"/>
      <c r="BMC357" s="92"/>
      <c r="BMD357" s="92"/>
      <c r="BME357" s="92"/>
      <c r="BMF357" s="92"/>
      <c r="BMG357" s="92"/>
      <c r="BMH357" s="92"/>
      <c r="BMI357" s="92"/>
      <c r="BMJ357" s="92"/>
      <c r="BMK357" s="92"/>
      <c r="BML357" s="92"/>
      <c r="BMM357" s="92"/>
      <c r="BMN357" s="92"/>
      <c r="BMO357" s="92"/>
      <c r="BMP357" s="92"/>
      <c r="BMQ357" s="92"/>
      <c r="BMR357" s="92"/>
      <c r="BMS357" s="92"/>
      <c r="BMT357" s="92"/>
      <c r="BMU357" s="92"/>
      <c r="BMV357" s="92"/>
      <c r="BMW357" s="92"/>
      <c r="BMX357" s="92"/>
      <c r="BMY357" s="92"/>
      <c r="BMZ357" s="92"/>
      <c r="BNA357" s="92"/>
      <c r="BNB357" s="92"/>
      <c r="BNC357" s="92"/>
      <c r="BND357" s="92"/>
      <c r="BNE357" s="92"/>
      <c r="BNF357" s="92"/>
      <c r="BNG357" s="92"/>
      <c r="BNH357" s="92"/>
      <c r="BNI357" s="92"/>
      <c r="BNJ357" s="92"/>
      <c r="BNK357" s="92"/>
      <c r="BNL357" s="92"/>
      <c r="BNM357" s="92"/>
      <c r="BNN357" s="92"/>
      <c r="BNO357" s="92"/>
      <c r="BNP357" s="92"/>
      <c r="BNQ357" s="92"/>
      <c r="BNR357" s="92"/>
      <c r="BNS357" s="92"/>
      <c r="BNT357" s="92"/>
      <c r="BNU357" s="92"/>
      <c r="BNV357" s="92"/>
      <c r="BNW357" s="92"/>
      <c r="BNX357" s="92"/>
      <c r="BNY357" s="92"/>
      <c r="BNZ357" s="92"/>
      <c r="BOA357" s="92"/>
      <c r="BOB357" s="92"/>
      <c r="BOC357" s="92"/>
      <c r="BOD357" s="92"/>
      <c r="BOE357" s="92"/>
      <c r="BOF357" s="92"/>
      <c r="BOG357" s="92"/>
      <c r="BOH357" s="92"/>
      <c r="BOI357" s="92"/>
      <c r="BOJ357" s="92"/>
      <c r="BOK357" s="92"/>
      <c r="BOL357" s="92"/>
      <c r="BOM357" s="92"/>
      <c r="BON357" s="92"/>
      <c r="BOO357" s="92"/>
      <c r="BOP357" s="92"/>
      <c r="BOQ357" s="92"/>
      <c r="BOR357" s="92"/>
      <c r="BOS357" s="92"/>
      <c r="BOT357" s="92"/>
      <c r="BOU357" s="92"/>
      <c r="BOV357" s="92"/>
      <c r="BOW357" s="92"/>
      <c r="BOX357" s="92"/>
      <c r="BOY357" s="92"/>
      <c r="BOZ357" s="92"/>
      <c r="BPA357" s="92"/>
      <c r="BPB357" s="92"/>
      <c r="BPC357" s="92"/>
      <c r="BPD357" s="92"/>
      <c r="BPE357" s="92"/>
      <c r="BPF357" s="92"/>
      <c r="BPG357" s="92"/>
      <c r="BPH357" s="92"/>
      <c r="BPI357" s="92"/>
      <c r="BPJ357" s="92"/>
      <c r="BPK357" s="92"/>
      <c r="BPL357" s="92"/>
      <c r="BPM357" s="92"/>
      <c r="BPN357" s="92"/>
      <c r="BPO357" s="92"/>
      <c r="BPP357" s="92"/>
      <c r="BPQ357" s="92"/>
      <c r="BPR357" s="92"/>
      <c r="BPS357" s="92"/>
      <c r="BPT357" s="92"/>
      <c r="BPU357" s="92"/>
      <c r="BPV357" s="92"/>
      <c r="BPW357" s="92"/>
      <c r="BPX357" s="92"/>
      <c r="BPY357" s="92"/>
      <c r="BPZ357" s="92"/>
      <c r="BQA357" s="92"/>
      <c r="BQB357" s="92"/>
      <c r="BQC357" s="92"/>
      <c r="BQD357" s="92"/>
      <c r="BQE357" s="92"/>
      <c r="BQF357" s="92"/>
      <c r="BQG357" s="92"/>
      <c r="BQH357" s="92"/>
      <c r="BQI357" s="92"/>
      <c r="BQJ357" s="92"/>
      <c r="BQK357" s="92"/>
      <c r="BQL357" s="92"/>
      <c r="BQM357" s="92"/>
      <c r="BQN357" s="92"/>
      <c r="BQO357" s="92"/>
      <c r="BQP357" s="92"/>
      <c r="BQQ357" s="92"/>
      <c r="BQR357" s="92"/>
      <c r="BQS357" s="92"/>
      <c r="BQT357" s="92"/>
      <c r="BQU357" s="92"/>
      <c r="BQV357" s="92"/>
      <c r="BQW357" s="92"/>
      <c r="BQX357" s="92"/>
      <c r="BQY357" s="92"/>
      <c r="BQZ357" s="92"/>
      <c r="BRA357" s="92"/>
      <c r="BRB357" s="92"/>
      <c r="BRC357" s="92"/>
      <c r="BRD357" s="92"/>
      <c r="BRE357" s="92"/>
      <c r="BRF357" s="92"/>
      <c r="BRG357" s="92"/>
      <c r="BRH357" s="92"/>
      <c r="BRI357" s="92"/>
      <c r="BRJ357" s="92"/>
      <c r="BRK357" s="92"/>
      <c r="BRL357" s="92"/>
      <c r="BRM357" s="92"/>
      <c r="BRN357" s="92"/>
      <c r="BRO357" s="92"/>
      <c r="BRP357" s="92"/>
      <c r="BRQ357" s="92"/>
      <c r="BRR357" s="92"/>
      <c r="BRS357" s="92"/>
      <c r="BRT357" s="92"/>
      <c r="BRU357" s="92"/>
      <c r="BRV357" s="92"/>
      <c r="BRW357" s="92"/>
      <c r="BRX357" s="92"/>
      <c r="BRY357" s="92"/>
      <c r="BRZ357" s="92"/>
      <c r="BSA357" s="92"/>
      <c r="BSB357" s="92"/>
      <c r="BSC357" s="92"/>
      <c r="BSD357" s="92"/>
      <c r="BSE357" s="92"/>
      <c r="BSF357" s="92"/>
      <c r="BSG357" s="92"/>
      <c r="BSH357" s="92"/>
      <c r="BSI357" s="92"/>
      <c r="BSJ357" s="92"/>
      <c r="BSK357" s="92"/>
      <c r="BSL357" s="92"/>
      <c r="BSM357" s="92"/>
      <c r="BSN357" s="92"/>
      <c r="BSO357" s="92"/>
      <c r="BSP357" s="92"/>
      <c r="BSQ357" s="92"/>
      <c r="BSR357" s="92"/>
      <c r="BSS357" s="92"/>
      <c r="BST357" s="92"/>
      <c r="BSU357" s="92"/>
      <c r="BSV357" s="92"/>
      <c r="BSW357" s="92"/>
      <c r="BSX357" s="92"/>
      <c r="BSY357" s="92"/>
      <c r="BSZ357" s="92"/>
      <c r="BTA357" s="92"/>
      <c r="BTB357" s="92"/>
      <c r="BTC357" s="92"/>
      <c r="BTD357" s="92"/>
      <c r="BTE357" s="92"/>
      <c r="BTF357" s="92"/>
      <c r="BTG357" s="92"/>
      <c r="BTH357" s="92"/>
      <c r="BTI357" s="92"/>
      <c r="BTJ357" s="92"/>
      <c r="BTK357" s="92"/>
      <c r="BTL357" s="92"/>
      <c r="BTM357" s="92"/>
      <c r="BTN357" s="92"/>
      <c r="BTO357" s="92"/>
      <c r="BTP357" s="92"/>
      <c r="BTQ357" s="92"/>
      <c r="BTR357" s="92"/>
      <c r="BTS357" s="92"/>
      <c r="BTT357" s="92"/>
      <c r="BTU357" s="92"/>
      <c r="BTV357" s="92"/>
      <c r="BTW357" s="92"/>
      <c r="BTX357" s="92"/>
      <c r="BTY357" s="92"/>
      <c r="BTZ357" s="92"/>
      <c r="BUA357" s="92"/>
      <c r="BUB357" s="92"/>
      <c r="BUC357" s="92"/>
      <c r="BUD357" s="92"/>
      <c r="BUE357" s="92"/>
      <c r="BUF357" s="92"/>
      <c r="BUG357" s="92"/>
      <c r="BUH357" s="92"/>
      <c r="BUI357" s="92"/>
      <c r="BUJ357" s="92"/>
      <c r="BUK357" s="92"/>
      <c r="BUL357" s="92"/>
      <c r="BUM357" s="92"/>
      <c r="BUN357" s="92"/>
      <c r="BUO357" s="92"/>
      <c r="BUP357" s="92"/>
      <c r="BUQ357" s="92"/>
      <c r="BUR357" s="92"/>
      <c r="BUS357" s="92"/>
      <c r="BUT357" s="92"/>
      <c r="BUU357" s="92"/>
      <c r="BUV357" s="92"/>
      <c r="BUW357" s="92"/>
      <c r="BUX357" s="92"/>
      <c r="BUY357" s="92"/>
      <c r="BUZ357" s="92"/>
      <c r="BVA357" s="92"/>
      <c r="BVB357" s="92"/>
      <c r="BVC357" s="92"/>
      <c r="BVD357" s="92"/>
      <c r="BVE357" s="92"/>
      <c r="BVF357" s="92"/>
      <c r="BVG357" s="92"/>
      <c r="BVH357" s="92"/>
      <c r="BVI357" s="92"/>
      <c r="BVJ357" s="92"/>
      <c r="BVK357" s="92"/>
      <c r="BVL357" s="92"/>
      <c r="BVM357" s="92"/>
      <c r="BVN357" s="92"/>
      <c r="BVO357" s="92"/>
      <c r="BVP357" s="92"/>
      <c r="BVQ357" s="92"/>
      <c r="BVR357" s="92"/>
      <c r="BVS357" s="92"/>
      <c r="BVT357" s="92"/>
      <c r="BVU357" s="92"/>
      <c r="BVV357" s="92"/>
      <c r="BVW357" s="92"/>
      <c r="BVX357" s="92"/>
      <c r="BVY357" s="92"/>
      <c r="BVZ357" s="92"/>
      <c r="BWA357" s="92"/>
      <c r="BWB357" s="92"/>
      <c r="BWC357" s="92"/>
      <c r="BWD357" s="92"/>
      <c r="BWE357" s="92"/>
      <c r="BWF357" s="92"/>
      <c r="BWG357" s="92"/>
      <c r="BWH357" s="92"/>
      <c r="BWI357" s="92"/>
      <c r="BWJ357" s="92"/>
      <c r="BWK357" s="92"/>
      <c r="BWL357" s="92"/>
      <c r="BWM357" s="92"/>
      <c r="BWN357" s="92"/>
      <c r="BWO357" s="92"/>
      <c r="BWP357" s="92"/>
      <c r="BWQ357" s="92"/>
      <c r="BWR357" s="92"/>
      <c r="BWS357" s="92"/>
      <c r="BWT357" s="92"/>
      <c r="BWU357" s="92"/>
      <c r="BWV357" s="92"/>
      <c r="BWW357" s="92"/>
      <c r="BWX357" s="92"/>
      <c r="BWY357" s="92"/>
      <c r="BWZ357" s="92"/>
      <c r="BXA357" s="92"/>
      <c r="BXB357" s="92"/>
      <c r="BXC357" s="92"/>
      <c r="BXD357" s="92"/>
      <c r="BXE357" s="92"/>
      <c r="BXF357" s="92"/>
      <c r="BXG357" s="92"/>
      <c r="BXH357" s="92"/>
      <c r="BXI357" s="92"/>
      <c r="BXJ357" s="92"/>
      <c r="BXK357" s="92"/>
      <c r="BXL357" s="92"/>
      <c r="BXM357" s="92"/>
      <c r="BXN357" s="92"/>
      <c r="BXO357" s="92"/>
      <c r="BXP357" s="92"/>
      <c r="BXQ357" s="92"/>
      <c r="BXR357" s="92"/>
      <c r="BXS357" s="92"/>
      <c r="BXT357" s="92"/>
      <c r="BXU357" s="92"/>
      <c r="BXV357" s="92"/>
      <c r="BXW357" s="92"/>
      <c r="BXX357" s="92"/>
      <c r="BXY357" s="92"/>
      <c r="BXZ357" s="92"/>
      <c r="BYA357" s="92"/>
      <c r="BYB357" s="92"/>
      <c r="BYC357" s="92"/>
      <c r="BYD357" s="92"/>
      <c r="BYE357" s="92"/>
      <c r="BYF357" s="92"/>
      <c r="BYG357" s="92"/>
      <c r="BYH357" s="92"/>
      <c r="BYI357" s="92"/>
      <c r="BYJ357" s="92"/>
      <c r="BYK357" s="92"/>
      <c r="BYL357" s="92"/>
      <c r="BYM357" s="92"/>
      <c r="BYN357" s="92"/>
      <c r="BYO357" s="92"/>
      <c r="BYP357" s="92"/>
      <c r="BYQ357" s="92"/>
      <c r="BYR357" s="92"/>
      <c r="BYS357" s="92"/>
      <c r="BYT357" s="92"/>
      <c r="BYU357" s="92"/>
      <c r="BYV357" s="92"/>
      <c r="BYW357" s="92"/>
      <c r="BYX357" s="92"/>
      <c r="BYY357" s="92"/>
      <c r="BYZ357" s="92"/>
      <c r="BZA357" s="92"/>
      <c r="BZB357" s="92"/>
      <c r="BZC357" s="92"/>
      <c r="BZD357" s="92"/>
      <c r="BZE357" s="92"/>
      <c r="BZF357" s="92"/>
      <c r="BZG357" s="92"/>
      <c r="BZH357" s="92"/>
      <c r="BZI357" s="92"/>
      <c r="BZJ357" s="92"/>
      <c r="BZK357" s="92"/>
      <c r="BZL357" s="92"/>
      <c r="BZM357" s="92"/>
      <c r="BZN357" s="92"/>
      <c r="BZO357" s="92"/>
      <c r="BZP357" s="92"/>
      <c r="BZQ357" s="92"/>
      <c r="BZR357" s="92"/>
      <c r="BZS357" s="92"/>
      <c r="BZT357" s="92"/>
      <c r="BZU357" s="92"/>
      <c r="BZV357" s="92"/>
      <c r="BZW357" s="92"/>
      <c r="BZX357" s="92"/>
      <c r="BZY357" s="92"/>
      <c r="BZZ357" s="92"/>
      <c r="CAA357" s="92"/>
      <c r="CAB357" s="92"/>
      <c r="CAC357" s="92"/>
      <c r="CAD357" s="92"/>
      <c r="CAE357" s="92"/>
      <c r="CAF357" s="92"/>
      <c r="CAG357" s="92"/>
      <c r="CAH357" s="92"/>
      <c r="CAI357" s="92"/>
      <c r="CAJ357" s="92"/>
      <c r="CAK357" s="92"/>
      <c r="CAL357" s="92"/>
      <c r="CAM357" s="92"/>
      <c r="CAN357" s="92"/>
      <c r="CAO357" s="92"/>
      <c r="CAP357" s="92"/>
      <c r="CAQ357" s="92"/>
      <c r="CAR357" s="92"/>
      <c r="CAS357" s="92"/>
      <c r="CAT357" s="92"/>
      <c r="CAU357" s="92"/>
      <c r="CAV357" s="92"/>
      <c r="CAW357" s="92"/>
      <c r="CAX357" s="92"/>
      <c r="CAY357" s="92"/>
      <c r="CAZ357" s="92"/>
      <c r="CBA357" s="92"/>
      <c r="CBB357" s="92"/>
      <c r="CBC357" s="92"/>
      <c r="CBD357" s="92"/>
      <c r="CBE357" s="92"/>
      <c r="CBF357" s="92"/>
      <c r="CBG357" s="92"/>
      <c r="CBH357" s="92"/>
      <c r="CBI357" s="92"/>
      <c r="CBJ357" s="92"/>
      <c r="CBK357" s="92"/>
      <c r="CBL357" s="92"/>
      <c r="CBM357" s="92"/>
      <c r="CBN357" s="92"/>
      <c r="CBO357" s="92"/>
      <c r="CBP357" s="92"/>
      <c r="CBQ357" s="92"/>
      <c r="CBR357" s="92"/>
      <c r="CBS357" s="92"/>
      <c r="CBT357" s="92"/>
      <c r="CBU357" s="92"/>
      <c r="CBV357" s="92"/>
      <c r="CBW357" s="92"/>
      <c r="CBX357" s="92"/>
      <c r="CBY357" s="92"/>
      <c r="CBZ357" s="92"/>
      <c r="CCA357" s="92"/>
      <c r="CCB357" s="92"/>
      <c r="CCC357" s="92"/>
      <c r="CCD357" s="92"/>
      <c r="CCE357" s="92"/>
      <c r="CCF357" s="92"/>
      <c r="CCG357" s="92"/>
      <c r="CCH357" s="92"/>
      <c r="CCI357" s="92"/>
      <c r="CCJ357" s="92"/>
      <c r="CCK357" s="92"/>
      <c r="CCL357" s="92"/>
      <c r="CCM357" s="92"/>
      <c r="CCN357" s="92"/>
      <c r="CCO357" s="92"/>
      <c r="CCP357" s="92"/>
      <c r="CCQ357" s="92"/>
      <c r="CCR357" s="92"/>
      <c r="CCS357" s="92"/>
      <c r="CCT357" s="92"/>
      <c r="CCU357" s="92"/>
      <c r="CCV357" s="92"/>
      <c r="CCW357" s="92"/>
      <c r="CCX357" s="92"/>
      <c r="CCY357" s="92"/>
      <c r="CCZ357" s="92"/>
      <c r="CDA357" s="92"/>
      <c r="CDB357" s="92"/>
      <c r="CDC357" s="92"/>
      <c r="CDD357" s="92"/>
      <c r="CDE357" s="92"/>
      <c r="CDF357" s="92"/>
      <c r="CDG357" s="92"/>
      <c r="CDH357" s="92"/>
      <c r="CDI357" s="92"/>
      <c r="CDJ357" s="92"/>
      <c r="CDK357" s="92"/>
      <c r="CDL357" s="92"/>
      <c r="CDM357" s="92"/>
      <c r="CDN357" s="92"/>
      <c r="CDO357" s="92"/>
      <c r="CDP357" s="92"/>
      <c r="CDQ357" s="92"/>
      <c r="CDR357" s="92"/>
      <c r="CDS357" s="92"/>
      <c r="CDT357" s="92"/>
      <c r="CDU357" s="92"/>
      <c r="CDV357" s="92"/>
      <c r="CDW357" s="92"/>
      <c r="CDX357" s="92"/>
      <c r="CDY357" s="92"/>
      <c r="CDZ357" s="92"/>
      <c r="CEA357" s="92"/>
      <c r="CEB357" s="92"/>
      <c r="CEC357" s="92"/>
      <c r="CED357" s="92"/>
      <c r="CEE357" s="92"/>
      <c r="CEF357" s="92"/>
      <c r="CEG357" s="92"/>
      <c r="CEH357" s="92"/>
      <c r="CEI357" s="92"/>
      <c r="CEJ357" s="92"/>
      <c r="CEK357" s="92"/>
      <c r="CEL357" s="92"/>
      <c r="CEM357" s="92"/>
      <c r="CEN357" s="92"/>
      <c r="CEO357" s="92"/>
      <c r="CEP357" s="92"/>
      <c r="CEQ357" s="92"/>
      <c r="CER357" s="92"/>
      <c r="CES357" s="92"/>
      <c r="CET357" s="92"/>
      <c r="CEU357" s="92"/>
      <c r="CEV357" s="92"/>
      <c r="CEW357" s="92"/>
      <c r="CEX357" s="92"/>
      <c r="CEY357" s="92"/>
      <c r="CEZ357" s="92"/>
      <c r="CFA357" s="92"/>
      <c r="CFB357" s="92"/>
      <c r="CFC357" s="92"/>
      <c r="CFD357" s="92"/>
      <c r="CFE357" s="92"/>
      <c r="CFF357" s="92"/>
      <c r="CFG357" s="92"/>
      <c r="CFH357" s="92"/>
      <c r="CFI357" s="92"/>
      <c r="CFJ357" s="92"/>
      <c r="CFK357" s="92"/>
      <c r="CFL357" s="92"/>
      <c r="CFM357" s="92"/>
      <c r="CFN357" s="92"/>
      <c r="CFO357" s="92"/>
      <c r="CFP357" s="92"/>
      <c r="CFQ357" s="92"/>
      <c r="CFR357" s="92"/>
      <c r="CFS357" s="92"/>
      <c r="CFT357" s="92"/>
      <c r="CFU357" s="92"/>
      <c r="CFV357" s="92"/>
      <c r="CFW357" s="92"/>
      <c r="CFX357" s="92"/>
      <c r="CFY357" s="92"/>
      <c r="CFZ357" s="92"/>
      <c r="CGA357" s="92"/>
      <c r="CGB357" s="92"/>
      <c r="CGC357" s="92"/>
      <c r="CGD357" s="92"/>
      <c r="CGE357" s="92"/>
      <c r="CGF357" s="92"/>
      <c r="CGG357" s="92"/>
      <c r="CGH357" s="92"/>
      <c r="CGI357" s="92"/>
      <c r="CGJ357" s="92"/>
      <c r="CGK357" s="92"/>
      <c r="CGL357" s="92"/>
      <c r="CGM357" s="92"/>
      <c r="CGN357" s="92"/>
      <c r="CGO357" s="92"/>
      <c r="CGP357" s="92"/>
      <c r="CGQ357" s="92"/>
      <c r="CGR357" s="92"/>
      <c r="CGS357" s="92"/>
      <c r="CGT357" s="92"/>
      <c r="CGU357" s="92"/>
      <c r="CGV357" s="92"/>
      <c r="CGW357" s="92"/>
      <c r="CGX357" s="92"/>
      <c r="CGY357" s="92"/>
      <c r="CGZ357" s="92"/>
      <c r="CHA357" s="92"/>
      <c r="CHB357" s="92"/>
      <c r="CHC357" s="92"/>
      <c r="CHD357" s="92"/>
      <c r="CHE357" s="92"/>
      <c r="CHF357" s="92"/>
      <c r="CHG357" s="92"/>
      <c r="CHH357" s="92"/>
      <c r="CHI357" s="92"/>
      <c r="CHJ357" s="92"/>
      <c r="CHK357" s="92"/>
      <c r="CHL357" s="92"/>
      <c r="CHM357" s="92"/>
      <c r="CHN357" s="92"/>
      <c r="CHO357" s="92"/>
      <c r="CHP357" s="92"/>
      <c r="CHQ357" s="92"/>
      <c r="CHR357" s="92"/>
      <c r="CHS357" s="92"/>
      <c r="CHT357" s="92"/>
      <c r="CHU357" s="92"/>
      <c r="CHV357" s="92"/>
      <c r="CHW357" s="92"/>
      <c r="CHX357" s="92"/>
      <c r="CHY357" s="92"/>
      <c r="CHZ357" s="92"/>
      <c r="CIA357" s="92"/>
      <c r="CIB357" s="92"/>
      <c r="CIC357" s="92"/>
      <c r="CID357" s="92"/>
      <c r="CIE357" s="92"/>
      <c r="CIF357" s="92"/>
      <c r="CIG357" s="92"/>
      <c r="CIH357" s="92"/>
      <c r="CII357" s="92"/>
      <c r="CIJ357" s="92"/>
      <c r="CIK357" s="92"/>
      <c r="CIL357" s="92"/>
      <c r="CIM357" s="92"/>
      <c r="CIN357" s="92"/>
      <c r="CIO357" s="92"/>
      <c r="CIP357" s="92"/>
      <c r="CIQ357" s="92"/>
      <c r="CIR357" s="92"/>
      <c r="CIS357" s="92"/>
      <c r="CIT357" s="92"/>
      <c r="CIU357" s="92"/>
      <c r="CIV357" s="92"/>
      <c r="CIW357" s="92"/>
      <c r="CIX357" s="92"/>
      <c r="CIY357" s="92"/>
      <c r="CIZ357" s="92"/>
      <c r="CJA357" s="92"/>
      <c r="CJB357" s="92"/>
      <c r="CJC357" s="92"/>
      <c r="CJD357" s="92"/>
      <c r="CJE357" s="92"/>
      <c r="CJF357" s="92"/>
      <c r="CJG357" s="92"/>
      <c r="CJH357" s="92"/>
      <c r="CJI357" s="92"/>
      <c r="CJJ357" s="92"/>
      <c r="CJK357" s="92"/>
      <c r="CJL357" s="92"/>
      <c r="CJM357" s="92"/>
      <c r="CJN357" s="92"/>
      <c r="CJO357" s="92"/>
      <c r="CJP357" s="92"/>
      <c r="CJQ357" s="92"/>
      <c r="CJR357" s="92"/>
      <c r="CJS357" s="92"/>
      <c r="CJT357" s="92"/>
      <c r="CJU357" s="92"/>
      <c r="CJV357" s="92"/>
      <c r="CJW357" s="92"/>
      <c r="CJX357" s="92"/>
      <c r="CJY357" s="92"/>
      <c r="CJZ357" s="92"/>
      <c r="CKA357" s="92"/>
      <c r="CKB357" s="92"/>
      <c r="CKC357" s="92"/>
      <c r="CKD357" s="92"/>
      <c r="CKE357" s="92"/>
      <c r="CKF357" s="92"/>
      <c r="CKG357" s="92"/>
      <c r="CKH357" s="92"/>
      <c r="CKI357" s="92"/>
      <c r="CKJ357" s="92"/>
      <c r="CKK357" s="92"/>
      <c r="CKL357" s="92"/>
      <c r="CKM357" s="92"/>
      <c r="CKN357" s="92"/>
      <c r="CKO357" s="92"/>
      <c r="CKP357" s="92"/>
      <c r="CKQ357" s="92"/>
      <c r="CKR357" s="92"/>
      <c r="CKS357" s="92"/>
      <c r="CKT357" s="92"/>
      <c r="CKU357" s="92"/>
      <c r="CKV357" s="92"/>
      <c r="CKW357" s="92"/>
      <c r="CKX357" s="92"/>
      <c r="CKY357" s="92"/>
      <c r="CKZ357" s="92"/>
      <c r="CLA357" s="92"/>
      <c r="CLB357" s="92"/>
      <c r="CLC357" s="92"/>
      <c r="CLD357" s="92"/>
      <c r="CLE357" s="92"/>
      <c r="CLF357" s="92"/>
      <c r="CLG357" s="92"/>
      <c r="CLH357" s="92"/>
      <c r="CLI357" s="92"/>
      <c r="CLJ357" s="92"/>
      <c r="CLK357" s="92"/>
      <c r="CLL357" s="92"/>
      <c r="CLM357" s="92"/>
      <c r="CLN357" s="92"/>
      <c r="CLO357" s="92"/>
      <c r="CLP357" s="92"/>
      <c r="CLQ357" s="92"/>
      <c r="CLR357" s="92"/>
      <c r="CLS357" s="92"/>
      <c r="CLT357" s="92"/>
      <c r="CLU357" s="92"/>
      <c r="CLV357" s="92"/>
      <c r="CLW357" s="92"/>
      <c r="CLX357" s="92"/>
      <c r="CLY357" s="92"/>
      <c r="CLZ357" s="92"/>
      <c r="CMA357" s="92"/>
      <c r="CMB357" s="92"/>
      <c r="CMC357" s="92"/>
      <c r="CMD357" s="92"/>
      <c r="CME357" s="92"/>
      <c r="CMF357" s="92"/>
      <c r="CMG357" s="92"/>
      <c r="CMH357" s="92"/>
      <c r="CMI357" s="92"/>
      <c r="CMJ357" s="92"/>
      <c r="CMK357" s="92"/>
      <c r="CML357" s="92"/>
      <c r="CMM357" s="92"/>
      <c r="CMN357" s="92"/>
      <c r="CMO357" s="92"/>
      <c r="CMP357" s="92"/>
      <c r="CMQ357" s="92"/>
      <c r="CMR357" s="92"/>
      <c r="CMS357" s="92"/>
      <c r="CMT357" s="92"/>
      <c r="CMU357" s="92"/>
      <c r="CMV357" s="92"/>
      <c r="CMW357" s="92"/>
      <c r="CMX357" s="92"/>
      <c r="CMY357" s="92"/>
      <c r="CMZ357" s="92"/>
      <c r="CNA357" s="92"/>
      <c r="CNB357" s="92"/>
      <c r="CNC357" s="92"/>
      <c r="CND357" s="92"/>
      <c r="CNE357" s="92"/>
      <c r="CNF357" s="92"/>
      <c r="CNG357" s="92"/>
      <c r="CNH357" s="92"/>
      <c r="CNI357" s="92"/>
      <c r="CNJ357" s="92"/>
      <c r="CNK357" s="92"/>
      <c r="CNL357" s="92"/>
      <c r="CNM357" s="92"/>
      <c r="CNN357" s="92"/>
      <c r="CNO357" s="92"/>
      <c r="CNP357" s="92"/>
      <c r="CNQ357" s="92"/>
      <c r="CNR357" s="92"/>
      <c r="CNS357" s="92"/>
      <c r="CNT357" s="92"/>
      <c r="CNU357" s="92"/>
      <c r="CNV357" s="92"/>
      <c r="CNW357" s="92"/>
      <c r="CNX357" s="92"/>
      <c r="CNY357" s="92"/>
      <c r="CNZ357" s="92"/>
      <c r="COA357" s="92"/>
      <c r="COB357" s="92"/>
      <c r="COC357" s="92"/>
      <c r="COD357" s="92"/>
      <c r="COE357" s="92"/>
      <c r="COF357" s="92"/>
      <c r="COG357" s="92"/>
      <c r="COH357" s="92"/>
      <c r="COI357" s="92"/>
      <c r="COJ357" s="92"/>
      <c r="COK357" s="92"/>
      <c r="COL357" s="92"/>
      <c r="COM357" s="92"/>
      <c r="CON357" s="92"/>
      <c r="COO357" s="92"/>
      <c r="COP357" s="92"/>
      <c r="COQ357" s="92"/>
      <c r="COR357" s="92"/>
      <c r="COS357" s="92"/>
      <c r="COT357" s="92"/>
      <c r="COU357" s="92"/>
      <c r="COV357" s="92"/>
      <c r="COW357" s="92"/>
      <c r="COX357" s="92"/>
      <c r="COY357" s="92"/>
      <c r="COZ357" s="92"/>
      <c r="CPA357" s="92"/>
      <c r="CPB357" s="92"/>
      <c r="CPC357" s="92"/>
      <c r="CPD357" s="92"/>
      <c r="CPE357" s="92"/>
      <c r="CPF357" s="92"/>
      <c r="CPG357" s="92"/>
      <c r="CPH357" s="92"/>
      <c r="CPI357" s="92"/>
      <c r="CPJ357" s="92"/>
      <c r="CPK357" s="92"/>
      <c r="CPL357" s="92"/>
      <c r="CPM357" s="92"/>
      <c r="CPN357" s="92"/>
      <c r="CPO357" s="92"/>
      <c r="CPP357" s="92"/>
      <c r="CPQ357" s="92"/>
      <c r="CPR357" s="92"/>
      <c r="CPS357" s="92"/>
      <c r="CPT357" s="92"/>
      <c r="CPU357" s="92"/>
      <c r="CPV357" s="92"/>
      <c r="CPW357" s="92"/>
      <c r="CPX357" s="92"/>
      <c r="CPY357" s="92"/>
      <c r="CPZ357" s="92"/>
      <c r="CQA357" s="92"/>
      <c r="CQB357" s="92"/>
      <c r="CQC357" s="92"/>
      <c r="CQD357" s="92"/>
      <c r="CQE357" s="92"/>
      <c r="CQF357" s="92"/>
      <c r="CQG357" s="92"/>
      <c r="CQH357" s="92"/>
      <c r="CQI357" s="92"/>
      <c r="CQJ357" s="92"/>
      <c r="CQK357" s="92"/>
      <c r="CQL357" s="92"/>
      <c r="CQM357" s="92"/>
      <c r="CQN357" s="92"/>
      <c r="CQO357" s="92"/>
      <c r="CQP357" s="92"/>
      <c r="CQQ357" s="92"/>
      <c r="CQR357" s="92"/>
      <c r="CQS357" s="92"/>
      <c r="CQT357" s="92"/>
      <c r="CQU357" s="92"/>
      <c r="CQV357" s="92"/>
      <c r="CQW357" s="92"/>
      <c r="CQX357" s="92"/>
      <c r="CQY357" s="92"/>
      <c r="CQZ357" s="92"/>
      <c r="CRA357" s="92"/>
      <c r="CRB357" s="92"/>
      <c r="CRC357" s="92"/>
      <c r="CRD357" s="92"/>
      <c r="CRE357" s="92"/>
      <c r="CRF357" s="92"/>
      <c r="CRG357" s="92"/>
      <c r="CRH357" s="92"/>
      <c r="CRI357" s="92"/>
      <c r="CRJ357" s="92"/>
      <c r="CRK357" s="92"/>
      <c r="CRL357" s="92"/>
      <c r="CRM357" s="92"/>
      <c r="CRN357" s="92"/>
      <c r="CRO357" s="92"/>
      <c r="CRP357" s="92"/>
      <c r="CRQ357" s="92"/>
      <c r="CRR357" s="92"/>
      <c r="CRS357" s="92"/>
      <c r="CRT357" s="92"/>
      <c r="CRU357" s="92"/>
      <c r="CRV357" s="92"/>
      <c r="CRW357" s="92"/>
      <c r="CRX357" s="92"/>
      <c r="CRY357" s="92"/>
      <c r="CRZ357" s="92"/>
      <c r="CSA357" s="92"/>
      <c r="CSB357" s="92"/>
      <c r="CSC357" s="92"/>
      <c r="CSD357" s="92"/>
      <c r="CSE357" s="92"/>
      <c r="CSF357" s="92"/>
      <c r="CSG357" s="92"/>
      <c r="CSH357" s="92"/>
      <c r="CSI357" s="92"/>
      <c r="CSJ357" s="92"/>
      <c r="CSK357" s="92"/>
      <c r="CSL357" s="92"/>
      <c r="CSM357" s="92"/>
      <c r="CSN357" s="92"/>
      <c r="CSO357" s="92"/>
      <c r="CSP357" s="92"/>
      <c r="CSQ357" s="92"/>
      <c r="CSR357" s="92"/>
      <c r="CSS357" s="92"/>
      <c r="CST357" s="92"/>
      <c r="CSU357" s="92"/>
      <c r="CSV357" s="92"/>
      <c r="CSW357" s="92"/>
      <c r="CSX357" s="92"/>
      <c r="CSY357" s="92"/>
      <c r="CSZ357" s="92"/>
      <c r="CTA357" s="92"/>
      <c r="CTB357" s="92"/>
      <c r="CTC357" s="92"/>
      <c r="CTD357" s="92"/>
      <c r="CTE357" s="92"/>
      <c r="CTF357" s="92"/>
      <c r="CTG357" s="92"/>
      <c r="CTH357" s="92"/>
      <c r="CTI357" s="92"/>
      <c r="CTJ357" s="92"/>
      <c r="CTK357" s="92"/>
      <c r="CTL357" s="92"/>
      <c r="CTM357" s="92"/>
      <c r="CTN357" s="92"/>
      <c r="CTO357" s="92"/>
      <c r="CTP357" s="92"/>
      <c r="CTQ357" s="92"/>
      <c r="CTR357" s="92"/>
      <c r="CTS357" s="92"/>
      <c r="CTT357" s="92"/>
      <c r="CTU357" s="92"/>
      <c r="CTV357" s="92"/>
      <c r="CTW357" s="92"/>
      <c r="CTX357" s="92"/>
      <c r="CTY357" s="92"/>
      <c r="CTZ357" s="92"/>
      <c r="CUA357" s="92"/>
      <c r="CUB357" s="92"/>
      <c r="CUC357" s="92"/>
      <c r="CUD357" s="92"/>
      <c r="CUE357" s="92"/>
      <c r="CUF357" s="92"/>
      <c r="CUG357" s="92"/>
      <c r="CUH357" s="92"/>
      <c r="CUI357" s="92"/>
      <c r="CUJ357" s="92"/>
      <c r="CUK357" s="92"/>
      <c r="CUL357" s="92"/>
      <c r="CUM357" s="92"/>
      <c r="CUN357" s="92"/>
      <c r="CUO357" s="92"/>
      <c r="CUP357" s="92"/>
      <c r="CUQ357" s="92"/>
      <c r="CUR357" s="92"/>
      <c r="CUS357" s="92"/>
      <c r="CUT357" s="92"/>
      <c r="CUU357" s="92"/>
      <c r="CUV357" s="92"/>
      <c r="CUW357" s="92"/>
      <c r="CUX357" s="92"/>
      <c r="CUY357" s="92"/>
      <c r="CUZ357" s="92"/>
      <c r="CVA357" s="92"/>
      <c r="CVB357" s="92"/>
      <c r="CVC357" s="92"/>
      <c r="CVD357" s="92"/>
      <c r="CVE357" s="92"/>
      <c r="CVF357" s="92"/>
      <c r="CVG357" s="92"/>
      <c r="CVH357" s="92"/>
      <c r="CVI357" s="92"/>
      <c r="CVJ357" s="92"/>
      <c r="CVK357" s="92"/>
      <c r="CVL357" s="92"/>
      <c r="CVM357" s="92"/>
      <c r="CVN357" s="92"/>
      <c r="CVO357" s="92"/>
      <c r="CVP357" s="92"/>
      <c r="CVQ357" s="92"/>
      <c r="CVR357" s="92"/>
      <c r="CVS357" s="92"/>
      <c r="CVT357" s="92"/>
      <c r="CVU357" s="92"/>
      <c r="CVV357" s="92"/>
      <c r="CVW357" s="92"/>
      <c r="CVX357" s="92"/>
      <c r="CVY357" s="92"/>
      <c r="CVZ357" s="92"/>
      <c r="CWA357" s="92"/>
      <c r="CWB357" s="92"/>
      <c r="CWC357" s="92"/>
      <c r="CWD357" s="92"/>
      <c r="CWE357" s="92"/>
      <c r="CWF357" s="92"/>
      <c r="CWG357" s="92"/>
      <c r="CWH357" s="92"/>
      <c r="CWI357" s="92"/>
      <c r="CWJ357" s="92"/>
      <c r="CWK357" s="92"/>
      <c r="CWL357" s="92"/>
      <c r="CWM357" s="92"/>
      <c r="CWN357" s="92"/>
      <c r="CWO357" s="92"/>
      <c r="CWP357" s="92"/>
      <c r="CWQ357" s="92"/>
      <c r="CWR357" s="92"/>
      <c r="CWS357" s="92"/>
      <c r="CWT357" s="92"/>
      <c r="CWU357" s="92"/>
      <c r="CWV357" s="92"/>
      <c r="CWW357" s="92"/>
      <c r="CWX357" s="92"/>
      <c r="CWY357" s="92"/>
      <c r="CWZ357" s="92"/>
      <c r="CXA357" s="92"/>
      <c r="CXB357" s="92"/>
      <c r="CXC357" s="92"/>
      <c r="CXD357" s="92"/>
      <c r="CXE357" s="92"/>
      <c r="CXF357" s="92"/>
      <c r="CXG357" s="92"/>
      <c r="CXH357" s="92"/>
      <c r="CXI357" s="92"/>
      <c r="CXJ357" s="92"/>
      <c r="CXK357" s="92"/>
      <c r="CXL357" s="92"/>
      <c r="CXM357" s="92"/>
      <c r="CXN357" s="92"/>
      <c r="CXO357" s="92"/>
      <c r="CXP357" s="92"/>
      <c r="CXQ357" s="92"/>
      <c r="CXR357" s="92"/>
      <c r="CXS357" s="92"/>
      <c r="CXT357" s="92"/>
      <c r="CXU357" s="92"/>
      <c r="CXV357" s="92"/>
      <c r="CXW357" s="92"/>
      <c r="CXX357" s="92"/>
      <c r="CXY357" s="92"/>
      <c r="CXZ357" s="92"/>
      <c r="CYA357" s="92"/>
      <c r="CYB357" s="92"/>
      <c r="CYC357" s="92"/>
      <c r="CYD357" s="92"/>
      <c r="CYE357" s="92"/>
      <c r="CYF357" s="92"/>
      <c r="CYG357" s="92"/>
      <c r="CYH357" s="92"/>
      <c r="CYI357" s="92"/>
      <c r="CYJ357" s="92"/>
      <c r="CYK357" s="92"/>
      <c r="CYL357" s="92"/>
      <c r="CYM357" s="92"/>
      <c r="CYN357" s="92"/>
      <c r="CYO357" s="92"/>
      <c r="CYP357" s="92"/>
      <c r="CYQ357" s="92"/>
      <c r="CYR357" s="92"/>
      <c r="CYS357" s="92"/>
      <c r="CYT357" s="92"/>
      <c r="CYU357" s="92"/>
      <c r="CYV357" s="92"/>
      <c r="CYW357" s="92"/>
      <c r="CYX357" s="92"/>
      <c r="CYY357" s="92"/>
      <c r="CYZ357" s="92"/>
      <c r="CZA357" s="92"/>
      <c r="CZB357" s="92"/>
      <c r="CZC357" s="92"/>
      <c r="CZD357" s="92"/>
      <c r="CZE357" s="92"/>
      <c r="CZF357" s="92"/>
      <c r="CZG357" s="92"/>
      <c r="CZH357" s="92"/>
      <c r="CZI357" s="92"/>
      <c r="CZJ357" s="92"/>
      <c r="CZK357" s="92"/>
      <c r="CZL357" s="92"/>
      <c r="CZM357" s="92"/>
      <c r="CZN357" s="92"/>
      <c r="CZO357" s="92"/>
      <c r="CZP357" s="92"/>
      <c r="CZQ357" s="92"/>
      <c r="CZR357" s="92"/>
      <c r="CZS357" s="92"/>
      <c r="CZT357" s="92"/>
      <c r="CZU357" s="92"/>
      <c r="CZV357" s="92"/>
      <c r="CZW357" s="92"/>
      <c r="CZX357" s="92"/>
      <c r="CZY357" s="92"/>
      <c r="CZZ357" s="92"/>
      <c r="DAA357" s="92"/>
      <c r="DAB357" s="92"/>
      <c r="DAC357" s="92"/>
      <c r="DAD357" s="92"/>
      <c r="DAE357" s="92"/>
      <c r="DAF357" s="92"/>
      <c r="DAG357" s="92"/>
      <c r="DAH357" s="92"/>
      <c r="DAI357" s="92"/>
      <c r="DAJ357" s="92"/>
      <c r="DAK357" s="92"/>
      <c r="DAL357" s="92"/>
      <c r="DAM357" s="92"/>
      <c r="DAN357" s="92"/>
      <c r="DAO357" s="92"/>
      <c r="DAP357" s="92"/>
      <c r="DAQ357" s="92"/>
      <c r="DAR357" s="92"/>
      <c r="DAS357" s="92"/>
      <c r="DAT357" s="92"/>
      <c r="DAU357" s="92"/>
      <c r="DAV357" s="92"/>
      <c r="DAW357" s="92"/>
      <c r="DAX357" s="92"/>
      <c r="DAY357" s="92"/>
      <c r="DAZ357" s="92"/>
      <c r="DBA357" s="92"/>
      <c r="DBB357" s="92"/>
      <c r="DBC357" s="92"/>
      <c r="DBD357" s="92"/>
      <c r="DBE357" s="92"/>
      <c r="DBF357" s="92"/>
      <c r="DBG357" s="92"/>
      <c r="DBH357" s="92"/>
      <c r="DBI357" s="92"/>
      <c r="DBJ357" s="92"/>
      <c r="DBK357" s="92"/>
      <c r="DBL357" s="92"/>
      <c r="DBM357" s="92"/>
      <c r="DBN357" s="92"/>
      <c r="DBO357" s="92"/>
      <c r="DBP357" s="92"/>
      <c r="DBQ357" s="92"/>
      <c r="DBR357" s="92"/>
      <c r="DBS357" s="92"/>
      <c r="DBT357" s="92"/>
      <c r="DBU357" s="92"/>
      <c r="DBV357" s="92"/>
      <c r="DBW357" s="92"/>
      <c r="DBX357" s="92"/>
      <c r="DBY357" s="92"/>
      <c r="DBZ357" s="92"/>
      <c r="DCA357" s="92"/>
      <c r="DCB357" s="92"/>
      <c r="DCC357" s="92"/>
      <c r="DCD357" s="92"/>
      <c r="DCE357" s="92"/>
      <c r="DCF357" s="92"/>
      <c r="DCG357" s="92"/>
      <c r="DCH357" s="92"/>
      <c r="DCI357" s="92"/>
      <c r="DCJ357" s="92"/>
      <c r="DCK357" s="92"/>
      <c r="DCL357" s="92"/>
      <c r="DCM357" s="92"/>
      <c r="DCN357" s="92"/>
      <c r="DCO357" s="92"/>
      <c r="DCP357" s="92"/>
      <c r="DCQ357" s="92"/>
      <c r="DCR357" s="92"/>
      <c r="DCS357" s="92"/>
      <c r="DCT357" s="92"/>
      <c r="DCU357" s="92"/>
      <c r="DCV357" s="92"/>
      <c r="DCW357" s="92"/>
      <c r="DCX357" s="92"/>
      <c r="DCY357" s="92"/>
      <c r="DCZ357" s="92"/>
      <c r="DDA357" s="92"/>
      <c r="DDB357" s="92"/>
      <c r="DDC357" s="92"/>
      <c r="DDD357" s="92"/>
      <c r="DDE357" s="92"/>
      <c r="DDF357" s="92"/>
      <c r="DDG357" s="92"/>
      <c r="DDH357" s="92"/>
      <c r="DDI357" s="92"/>
      <c r="DDJ357" s="92"/>
      <c r="DDK357" s="92"/>
      <c r="DDL357" s="92"/>
      <c r="DDM357" s="92"/>
      <c r="DDN357" s="92"/>
      <c r="DDO357" s="92"/>
      <c r="DDP357" s="92"/>
      <c r="DDQ357" s="92"/>
      <c r="DDR357" s="92"/>
      <c r="DDS357" s="92"/>
      <c r="DDT357" s="92"/>
      <c r="DDU357" s="92"/>
      <c r="DDV357" s="92"/>
      <c r="DDW357" s="92"/>
      <c r="DDX357" s="92"/>
      <c r="DDY357" s="92"/>
      <c r="DDZ357" s="92"/>
      <c r="DEA357" s="92"/>
      <c r="DEB357" s="92"/>
      <c r="DEC357" s="92"/>
      <c r="DED357" s="92"/>
      <c r="DEE357" s="92"/>
      <c r="DEF357" s="92"/>
      <c r="DEG357" s="92"/>
      <c r="DEH357" s="92"/>
      <c r="DEI357" s="92"/>
      <c r="DEJ357" s="92"/>
      <c r="DEK357" s="92"/>
      <c r="DEL357" s="92"/>
      <c r="DEM357" s="92"/>
      <c r="DEN357" s="92"/>
      <c r="DEO357" s="92"/>
      <c r="DEP357" s="92"/>
      <c r="DEQ357" s="92"/>
      <c r="DER357" s="92"/>
      <c r="DES357" s="92"/>
      <c r="DET357" s="92"/>
      <c r="DEU357" s="92"/>
      <c r="DEV357" s="92"/>
      <c r="DEW357" s="92"/>
      <c r="DEX357" s="92"/>
      <c r="DEY357" s="92"/>
      <c r="DEZ357" s="92"/>
      <c r="DFA357" s="92"/>
      <c r="DFB357" s="92"/>
      <c r="DFC357" s="92"/>
      <c r="DFD357" s="92"/>
      <c r="DFE357" s="92"/>
      <c r="DFF357" s="92"/>
      <c r="DFG357" s="92"/>
      <c r="DFH357" s="92"/>
      <c r="DFI357" s="92"/>
      <c r="DFJ357" s="92"/>
      <c r="DFK357" s="92"/>
      <c r="DFL357" s="92"/>
      <c r="DFM357" s="92"/>
      <c r="DFN357" s="92"/>
      <c r="DFO357" s="92"/>
      <c r="DFP357" s="92"/>
      <c r="DFQ357" s="92"/>
      <c r="DFR357" s="92"/>
      <c r="DFS357" s="92"/>
      <c r="DFT357" s="92"/>
      <c r="DFU357" s="92"/>
      <c r="DFV357" s="92"/>
      <c r="DFW357" s="92"/>
      <c r="DFX357" s="92"/>
      <c r="DFY357" s="92"/>
      <c r="DFZ357" s="92"/>
      <c r="DGA357" s="92"/>
      <c r="DGB357" s="92"/>
      <c r="DGC357" s="92"/>
      <c r="DGD357" s="92"/>
      <c r="DGE357" s="92"/>
      <c r="DGF357" s="92"/>
      <c r="DGG357" s="92"/>
      <c r="DGH357" s="92"/>
      <c r="DGI357" s="92"/>
      <c r="DGJ357" s="92"/>
      <c r="DGK357" s="92"/>
      <c r="DGL357" s="92"/>
      <c r="DGM357" s="92"/>
      <c r="DGN357" s="92"/>
      <c r="DGO357" s="92"/>
      <c r="DGP357" s="92"/>
      <c r="DGQ357" s="92"/>
      <c r="DGR357" s="92"/>
      <c r="DGS357" s="92"/>
      <c r="DGT357" s="92"/>
      <c r="DGU357" s="92"/>
      <c r="DGV357" s="92"/>
      <c r="DGW357" s="92"/>
      <c r="DGX357" s="92"/>
      <c r="DGY357" s="92"/>
      <c r="DGZ357" s="92"/>
      <c r="DHA357" s="92"/>
      <c r="DHB357" s="92"/>
      <c r="DHC357" s="92"/>
      <c r="DHD357" s="92"/>
      <c r="DHE357" s="92"/>
      <c r="DHF357" s="92"/>
      <c r="DHG357" s="92"/>
      <c r="DHH357" s="92"/>
      <c r="DHI357" s="92"/>
      <c r="DHJ357" s="92"/>
      <c r="DHK357" s="92"/>
      <c r="DHL357" s="92"/>
      <c r="DHM357" s="92"/>
      <c r="DHN357" s="92"/>
      <c r="DHO357" s="92"/>
      <c r="DHP357" s="92"/>
      <c r="DHQ357" s="92"/>
      <c r="DHR357" s="92"/>
      <c r="DHS357" s="92"/>
      <c r="DHT357" s="92"/>
      <c r="DHU357" s="92"/>
      <c r="DHV357" s="92"/>
      <c r="DHW357" s="92"/>
      <c r="DHX357" s="92"/>
      <c r="DHY357" s="92"/>
      <c r="DHZ357" s="92"/>
      <c r="DIA357" s="92"/>
      <c r="DIB357" s="92"/>
      <c r="DIC357" s="92"/>
      <c r="DID357" s="92"/>
      <c r="DIE357" s="92"/>
      <c r="DIF357" s="92"/>
      <c r="DIG357" s="92"/>
      <c r="DIH357" s="92"/>
      <c r="DII357" s="92"/>
      <c r="DIJ357" s="92"/>
      <c r="DIK357" s="92"/>
      <c r="DIL357" s="92"/>
      <c r="DIM357" s="92"/>
      <c r="DIN357" s="92"/>
      <c r="DIO357" s="92"/>
      <c r="DIP357" s="92"/>
      <c r="DIQ357" s="92"/>
      <c r="DIR357" s="92"/>
      <c r="DIS357" s="92"/>
      <c r="DIT357" s="92"/>
      <c r="DIU357" s="92"/>
      <c r="DIV357" s="92"/>
      <c r="DIW357" s="92"/>
      <c r="DIX357" s="92"/>
      <c r="DIY357" s="92"/>
      <c r="DIZ357" s="92"/>
      <c r="DJA357" s="92"/>
      <c r="DJB357" s="92"/>
      <c r="DJC357" s="92"/>
      <c r="DJD357" s="92"/>
      <c r="DJE357" s="92"/>
      <c r="DJF357" s="92"/>
      <c r="DJG357" s="92"/>
      <c r="DJH357" s="92"/>
      <c r="DJI357" s="92"/>
      <c r="DJJ357" s="92"/>
      <c r="DJK357" s="92"/>
      <c r="DJL357" s="92"/>
      <c r="DJM357" s="92"/>
      <c r="DJN357" s="92"/>
      <c r="DJO357" s="92"/>
      <c r="DJP357" s="92"/>
      <c r="DJQ357" s="92"/>
      <c r="DJR357" s="92"/>
      <c r="DJS357" s="92"/>
      <c r="DJT357" s="92"/>
      <c r="DJU357" s="92"/>
      <c r="DJV357" s="92"/>
      <c r="DJW357" s="92"/>
      <c r="DJX357" s="92"/>
      <c r="DJY357" s="92"/>
      <c r="DJZ357" s="92"/>
      <c r="DKA357" s="92"/>
      <c r="DKB357" s="92"/>
      <c r="DKC357" s="92"/>
      <c r="DKD357" s="92"/>
      <c r="DKE357" s="92"/>
      <c r="DKF357" s="92"/>
      <c r="DKG357" s="92"/>
      <c r="DKH357" s="92"/>
      <c r="DKI357" s="92"/>
      <c r="DKJ357" s="92"/>
      <c r="DKK357" s="92"/>
      <c r="DKL357" s="92"/>
      <c r="DKM357" s="92"/>
      <c r="DKN357" s="92"/>
      <c r="DKO357" s="92"/>
      <c r="DKP357" s="92"/>
      <c r="DKQ357" s="92"/>
      <c r="DKR357" s="92"/>
      <c r="DKS357" s="92"/>
      <c r="DKT357" s="92"/>
      <c r="DKU357" s="92"/>
      <c r="DKV357" s="92"/>
      <c r="DKW357" s="92"/>
      <c r="DKX357" s="92"/>
      <c r="DKY357" s="92"/>
      <c r="DKZ357" s="92"/>
      <c r="DLA357" s="92"/>
      <c r="DLB357" s="92"/>
      <c r="DLC357" s="92"/>
      <c r="DLD357" s="92"/>
      <c r="DLE357" s="92"/>
      <c r="DLF357" s="92"/>
      <c r="DLG357" s="92"/>
      <c r="DLH357" s="92"/>
      <c r="DLI357" s="92"/>
      <c r="DLJ357" s="92"/>
      <c r="DLK357" s="92"/>
      <c r="DLL357" s="92"/>
      <c r="DLM357" s="92"/>
      <c r="DLN357" s="92"/>
      <c r="DLO357" s="92"/>
      <c r="DLP357" s="92"/>
      <c r="DLQ357" s="92"/>
      <c r="DLR357" s="92"/>
      <c r="DLS357" s="92"/>
      <c r="DLT357" s="92"/>
      <c r="DLU357" s="92"/>
      <c r="DLV357" s="92"/>
      <c r="DLW357" s="92"/>
      <c r="DLX357" s="92"/>
      <c r="DLY357" s="92"/>
      <c r="DLZ357" s="92"/>
      <c r="DMA357" s="92"/>
      <c r="DMB357" s="92"/>
      <c r="DMC357" s="92"/>
      <c r="DMD357" s="92"/>
      <c r="DME357" s="92"/>
      <c r="DMF357" s="92"/>
      <c r="DMG357" s="92"/>
      <c r="DMH357" s="92"/>
      <c r="DMI357" s="92"/>
      <c r="DMJ357" s="92"/>
      <c r="DMK357" s="92"/>
      <c r="DML357" s="92"/>
      <c r="DMM357" s="92"/>
      <c r="DMN357" s="92"/>
      <c r="DMO357" s="92"/>
      <c r="DMP357" s="92"/>
      <c r="DMQ357" s="92"/>
      <c r="DMR357" s="92"/>
      <c r="DMS357" s="92"/>
      <c r="DMT357" s="92"/>
      <c r="DMU357" s="92"/>
      <c r="DMV357" s="92"/>
      <c r="DMW357" s="92"/>
      <c r="DMX357" s="92"/>
      <c r="DMY357" s="92"/>
      <c r="DMZ357" s="92"/>
      <c r="DNA357" s="92"/>
      <c r="DNB357" s="92"/>
      <c r="DNC357" s="92"/>
      <c r="DND357" s="92"/>
      <c r="DNE357" s="92"/>
      <c r="DNF357" s="92"/>
      <c r="DNG357" s="92"/>
      <c r="DNH357" s="92"/>
      <c r="DNI357" s="92"/>
      <c r="DNJ357" s="92"/>
      <c r="DNK357" s="92"/>
      <c r="DNL357" s="92"/>
      <c r="DNM357" s="92"/>
      <c r="DNN357" s="92"/>
      <c r="DNO357" s="92"/>
      <c r="DNP357" s="92"/>
      <c r="DNQ357" s="92"/>
      <c r="DNR357" s="92"/>
      <c r="DNS357" s="92"/>
      <c r="DNT357" s="92"/>
      <c r="DNU357" s="92"/>
      <c r="DNV357" s="92"/>
      <c r="DNW357" s="92"/>
      <c r="DNX357" s="92"/>
      <c r="DNY357" s="92"/>
      <c r="DNZ357" s="92"/>
      <c r="DOA357" s="92"/>
      <c r="DOB357" s="92"/>
      <c r="DOC357" s="92"/>
      <c r="DOD357" s="92"/>
      <c r="DOE357" s="92"/>
      <c r="DOF357" s="92"/>
      <c r="DOG357" s="92"/>
      <c r="DOH357" s="92"/>
      <c r="DOI357" s="92"/>
      <c r="DOJ357" s="92"/>
      <c r="DOK357" s="92"/>
      <c r="DOL357" s="92"/>
      <c r="DOM357" s="92"/>
      <c r="DON357" s="92"/>
      <c r="DOO357" s="92"/>
      <c r="DOP357" s="92"/>
      <c r="DOQ357" s="92"/>
      <c r="DOR357" s="92"/>
      <c r="DOS357" s="92"/>
      <c r="DOT357" s="92"/>
      <c r="DOU357" s="92"/>
      <c r="DOV357" s="92"/>
      <c r="DOW357" s="92"/>
      <c r="DOX357" s="92"/>
      <c r="DOY357" s="92"/>
      <c r="DOZ357" s="92"/>
      <c r="DPA357" s="92"/>
      <c r="DPB357" s="92"/>
      <c r="DPC357" s="92"/>
      <c r="DPD357" s="92"/>
      <c r="DPE357" s="92"/>
      <c r="DPF357" s="92"/>
      <c r="DPG357" s="92"/>
      <c r="DPH357" s="92"/>
      <c r="DPI357" s="92"/>
      <c r="DPJ357" s="92"/>
      <c r="DPK357" s="92"/>
      <c r="DPL357" s="92"/>
      <c r="DPM357" s="92"/>
      <c r="DPN357" s="92"/>
      <c r="DPO357" s="92"/>
      <c r="DPP357" s="92"/>
      <c r="DPQ357" s="92"/>
      <c r="DPR357" s="92"/>
      <c r="DPS357" s="92"/>
      <c r="DPT357" s="92"/>
      <c r="DPU357" s="92"/>
      <c r="DPV357" s="92"/>
      <c r="DPW357" s="92"/>
      <c r="DPX357" s="92"/>
      <c r="DPY357" s="92"/>
      <c r="DPZ357" s="92"/>
      <c r="DQA357" s="92"/>
      <c r="DQB357" s="92"/>
      <c r="DQC357" s="92"/>
      <c r="DQD357" s="92"/>
      <c r="DQE357" s="92"/>
      <c r="DQF357" s="92"/>
      <c r="DQG357" s="92"/>
      <c r="DQH357" s="92"/>
      <c r="DQI357" s="92"/>
      <c r="DQJ357" s="92"/>
      <c r="DQK357" s="92"/>
      <c r="DQL357" s="92"/>
      <c r="DQM357" s="92"/>
      <c r="DQN357" s="92"/>
      <c r="DQO357" s="92"/>
      <c r="DQP357" s="92"/>
      <c r="DQQ357" s="92"/>
      <c r="DQR357" s="92"/>
      <c r="DQS357" s="92"/>
      <c r="DQT357" s="92"/>
      <c r="DQU357" s="92"/>
      <c r="DQV357" s="92"/>
      <c r="DQW357" s="92"/>
      <c r="DQX357" s="92"/>
      <c r="DQY357" s="92"/>
      <c r="DQZ357" s="92"/>
      <c r="DRA357" s="92"/>
      <c r="DRB357" s="92"/>
      <c r="DRC357" s="92"/>
      <c r="DRD357" s="92"/>
      <c r="DRE357" s="92"/>
      <c r="DRF357" s="92"/>
      <c r="DRG357" s="92"/>
      <c r="DRH357" s="92"/>
      <c r="DRI357" s="92"/>
      <c r="DRJ357" s="92"/>
      <c r="DRK357" s="92"/>
      <c r="DRL357" s="92"/>
      <c r="DRM357" s="92"/>
      <c r="DRN357" s="92"/>
      <c r="DRO357" s="92"/>
      <c r="DRP357" s="92"/>
      <c r="DRQ357" s="92"/>
      <c r="DRR357" s="92"/>
      <c r="DRS357" s="92"/>
      <c r="DRT357" s="92"/>
      <c r="DRU357" s="92"/>
      <c r="DRV357" s="92"/>
      <c r="DRW357" s="92"/>
      <c r="DRX357" s="92"/>
      <c r="DRY357" s="92"/>
      <c r="DRZ357" s="92"/>
      <c r="DSA357" s="92"/>
      <c r="DSB357" s="92"/>
      <c r="DSC357" s="92"/>
      <c r="DSD357" s="92"/>
      <c r="DSE357" s="92"/>
      <c r="DSF357" s="92"/>
      <c r="DSG357" s="92"/>
      <c r="DSH357" s="92"/>
      <c r="DSI357" s="92"/>
      <c r="DSJ357" s="92"/>
      <c r="DSK357" s="92"/>
      <c r="DSL357" s="92"/>
      <c r="DSM357" s="92"/>
      <c r="DSN357" s="92"/>
      <c r="DSO357" s="92"/>
      <c r="DSP357" s="92"/>
      <c r="DSQ357" s="92"/>
      <c r="DSR357" s="92"/>
      <c r="DSS357" s="92"/>
      <c r="DST357" s="92"/>
      <c r="DSU357" s="92"/>
      <c r="DSV357" s="92"/>
      <c r="DSW357" s="92"/>
      <c r="DSX357" s="92"/>
      <c r="DSY357" s="92"/>
      <c r="DSZ357" s="92"/>
      <c r="DTA357" s="92"/>
      <c r="DTB357" s="92"/>
      <c r="DTC357" s="92"/>
      <c r="DTD357" s="92"/>
      <c r="DTE357" s="92"/>
      <c r="DTF357" s="92"/>
      <c r="DTG357" s="92"/>
      <c r="DTH357" s="92"/>
      <c r="DTI357" s="92"/>
      <c r="DTJ357" s="92"/>
      <c r="DTK357" s="92"/>
      <c r="DTL357" s="92"/>
      <c r="DTM357" s="92"/>
      <c r="DTN357" s="92"/>
      <c r="DTO357" s="92"/>
      <c r="DTP357" s="92"/>
      <c r="DTQ357" s="92"/>
      <c r="DTR357" s="92"/>
      <c r="DTS357" s="92"/>
      <c r="DTT357" s="92"/>
      <c r="DTU357" s="92"/>
      <c r="DTV357" s="92"/>
      <c r="DTW357" s="92"/>
      <c r="DTX357" s="92"/>
      <c r="DTY357" s="92"/>
      <c r="DTZ357" s="92"/>
      <c r="DUA357" s="92"/>
      <c r="DUB357" s="92"/>
      <c r="DUC357" s="92"/>
      <c r="DUD357" s="92"/>
      <c r="DUE357" s="92"/>
      <c r="DUF357" s="92"/>
      <c r="DUG357" s="92"/>
      <c r="DUH357" s="92"/>
      <c r="DUI357" s="92"/>
      <c r="DUJ357" s="92"/>
      <c r="DUK357" s="92"/>
      <c r="DUL357" s="92"/>
      <c r="DUM357" s="92"/>
      <c r="DUN357" s="92"/>
      <c r="DUO357" s="92"/>
      <c r="DUP357" s="92"/>
      <c r="DUQ357" s="92"/>
      <c r="DUR357" s="92"/>
      <c r="DUS357" s="92"/>
      <c r="DUT357" s="92"/>
      <c r="DUU357" s="92"/>
      <c r="DUV357" s="92"/>
      <c r="DUW357" s="92"/>
      <c r="DUX357" s="92"/>
      <c r="DUY357" s="92"/>
      <c r="DUZ357" s="92"/>
      <c r="DVA357" s="92"/>
      <c r="DVB357" s="92"/>
      <c r="DVC357" s="92"/>
      <c r="DVD357" s="92"/>
      <c r="DVE357" s="92"/>
      <c r="DVF357" s="92"/>
      <c r="DVG357" s="92"/>
      <c r="DVH357" s="92"/>
      <c r="DVI357" s="92"/>
      <c r="DVJ357" s="92"/>
      <c r="DVK357" s="92"/>
      <c r="DVL357" s="92"/>
      <c r="DVM357" s="92"/>
      <c r="DVN357" s="92"/>
      <c r="DVO357" s="92"/>
      <c r="DVP357" s="92"/>
      <c r="DVQ357" s="92"/>
      <c r="DVR357" s="92"/>
      <c r="DVS357" s="92"/>
      <c r="DVT357" s="92"/>
      <c r="DVU357" s="92"/>
      <c r="DVV357" s="92"/>
      <c r="DVW357" s="92"/>
      <c r="DVX357" s="92"/>
      <c r="DVY357" s="92"/>
      <c r="DVZ357" s="92"/>
      <c r="DWA357" s="92"/>
      <c r="DWB357" s="92"/>
      <c r="DWC357" s="92"/>
      <c r="DWD357" s="92"/>
      <c r="DWE357" s="92"/>
      <c r="DWF357" s="92"/>
      <c r="DWG357" s="92"/>
      <c r="DWH357" s="92"/>
      <c r="DWI357" s="92"/>
      <c r="DWJ357" s="92"/>
      <c r="DWK357" s="92"/>
      <c r="DWL357" s="92"/>
      <c r="DWM357" s="92"/>
      <c r="DWN357" s="92"/>
      <c r="DWO357" s="92"/>
      <c r="DWP357" s="92"/>
      <c r="DWQ357" s="92"/>
      <c r="DWR357" s="92"/>
      <c r="DWS357" s="92"/>
      <c r="DWT357" s="92"/>
      <c r="DWU357" s="92"/>
      <c r="DWV357" s="92"/>
      <c r="DWW357" s="92"/>
      <c r="DWX357" s="92"/>
      <c r="DWY357" s="92"/>
      <c r="DWZ357" s="92"/>
      <c r="DXA357" s="92"/>
      <c r="DXB357" s="92"/>
      <c r="DXC357" s="92"/>
      <c r="DXD357" s="92"/>
      <c r="DXE357" s="92"/>
      <c r="DXF357" s="92"/>
      <c r="DXG357" s="92"/>
      <c r="DXH357" s="92"/>
      <c r="DXI357" s="92"/>
      <c r="DXJ357" s="92"/>
      <c r="DXK357" s="92"/>
      <c r="DXL357" s="92"/>
      <c r="DXM357" s="92"/>
      <c r="DXN357" s="92"/>
      <c r="DXO357" s="92"/>
      <c r="DXP357" s="92"/>
      <c r="DXQ357" s="92"/>
      <c r="DXR357" s="92"/>
      <c r="DXS357" s="92"/>
      <c r="DXT357" s="92"/>
      <c r="DXU357" s="92"/>
      <c r="DXV357" s="92"/>
      <c r="DXW357" s="92"/>
      <c r="DXX357" s="92"/>
      <c r="DXY357" s="92"/>
      <c r="DXZ357" s="92"/>
      <c r="DYA357" s="92"/>
      <c r="DYB357" s="92"/>
      <c r="DYC357" s="92"/>
      <c r="DYD357" s="92"/>
      <c r="DYE357" s="92"/>
      <c r="DYF357" s="92"/>
      <c r="DYG357" s="92"/>
      <c r="DYH357" s="92"/>
      <c r="DYI357" s="92"/>
      <c r="DYJ357" s="92"/>
      <c r="DYK357" s="92"/>
      <c r="DYL357" s="92"/>
      <c r="DYM357" s="92"/>
      <c r="DYN357" s="92"/>
      <c r="DYO357" s="92"/>
      <c r="DYP357" s="92"/>
      <c r="DYQ357" s="92"/>
      <c r="DYR357" s="92"/>
      <c r="DYS357" s="92"/>
      <c r="DYT357" s="92"/>
      <c r="DYU357" s="92"/>
      <c r="DYV357" s="92"/>
      <c r="DYW357" s="92"/>
      <c r="DYX357" s="92"/>
      <c r="DYY357" s="92"/>
      <c r="DYZ357" s="92"/>
      <c r="DZA357" s="92"/>
      <c r="DZB357" s="92"/>
      <c r="DZC357" s="92"/>
      <c r="DZD357" s="92"/>
      <c r="DZE357" s="92"/>
      <c r="DZF357" s="92"/>
      <c r="DZG357" s="92"/>
      <c r="DZH357" s="92"/>
      <c r="DZI357" s="92"/>
      <c r="DZJ357" s="92"/>
      <c r="DZK357" s="92"/>
      <c r="DZL357" s="92"/>
      <c r="DZM357" s="92"/>
      <c r="DZN357" s="92"/>
      <c r="DZO357" s="92"/>
      <c r="DZP357" s="92"/>
      <c r="DZQ357" s="92"/>
      <c r="DZR357" s="92"/>
      <c r="DZS357" s="92"/>
      <c r="DZT357" s="92"/>
      <c r="DZU357" s="92"/>
      <c r="DZV357" s="92"/>
      <c r="DZW357" s="92"/>
      <c r="DZX357" s="92"/>
      <c r="DZY357" s="92"/>
      <c r="DZZ357" s="92"/>
      <c r="EAA357" s="92"/>
      <c r="EAB357" s="92"/>
      <c r="EAC357" s="92"/>
      <c r="EAD357" s="92"/>
      <c r="EAE357" s="92"/>
      <c r="EAF357" s="92"/>
      <c r="EAG357" s="92"/>
      <c r="EAH357" s="92"/>
      <c r="EAI357" s="92"/>
      <c r="EAJ357" s="92"/>
      <c r="EAK357" s="92"/>
      <c r="EAL357" s="92"/>
      <c r="EAM357" s="92"/>
      <c r="EAN357" s="92"/>
      <c r="EAO357" s="92"/>
      <c r="EAP357" s="92"/>
      <c r="EAQ357" s="92"/>
      <c r="EAR357" s="92"/>
      <c r="EAS357" s="92"/>
      <c r="EAT357" s="92"/>
      <c r="EAU357" s="92"/>
      <c r="EAV357" s="92"/>
      <c r="EAW357" s="92"/>
      <c r="EAX357" s="92"/>
      <c r="EAY357" s="92"/>
      <c r="EAZ357" s="92"/>
      <c r="EBA357" s="92"/>
      <c r="EBB357" s="92"/>
      <c r="EBC357" s="92"/>
      <c r="EBD357" s="92"/>
      <c r="EBE357" s="92"/>
      <c r="EBF357" s="92"/>
      <c r="EBG357" s="92"/>
      <c r="EBH357" s="92"/>
      <c r="EBI357" s="92"/>
      <c r="EBJ357" s="92"/>
      <c r="EBK357" s="92"/>
      <c r="EBL357" s="92"/>
      <c r="EBM357" s="92"/>
      <c r="EBN357" s="92"/>
      <c r="EBO357" s="92"/>
      <c r="EBP357" s="92"/>
      <c r="EBQ357" s="92"/>
      <c r="EBR357" s="92"/>
      <c r="EBS357" s="92"/>
      <c r="EBT357" s="92"/>
      <c r="EBU357" s="92"/>
      <c r="EBV357" s="92"/>
      <c r="EBW357" s="92"/>
      <c r="EBX357" s="92"/>
      <c r="EBY357" s="92"/>
      <c r="EBZ357" s="92"/>
      <c r="ECA357" s="92"/>
      <c r="ECB357" s="92"/>
      <c r="ECC357" s="92"/>
      <c r="ECD357" s="92"/>
      <c r="ECE357" s="92"/>
      <c r="ECF357" s="92"/>
      <c r="ECG357" s="92"/>
      <c r="ECH357" s="92"/>
      <c r="ECI357" s="92"/>
      <c r="ECJ357" s="92"/>
      <c r="ECK357" s="92"/>
      <c r="ECL357" s="92"/>
      <c r="ECM357" s="92"/>
      <c r="ECN357" s="92"/>
      <c r="ECO357" s="92"/>
      <c r="ECP357" s="92"/>
      <c r="ECQ357" s="92"/>
      <c r="ECR357" s="92"/>
      <c r="ECS357" s="92"/>
      <c r="ECT357" s="92"/>
      <c r="ECU357" s="92"/>
      <c r="ECV357" s="92"/>
      <c r="ECW357" s="92"/>
      <c r="ECX357" s="92"/>
      <c r="ECY357" s="92"/>
      <c r="ECZ357" s="92"/>
      <c r="EDA357" s="92"/>
      <c r="EDB357" s="92"/>
      <c r="EDC357" s="92"/>
      <c r="EDD357" s="92"/>
      <c r="EDE357" s="92"/>
      <c r="EDF357" s="92"/>
      <c r="EDG357" s="92"/>
      <c r="EDH357" s="92"/>
      <c r="EDI357" s="92"/>
      <c r="EDJ357" s="92"/>
      <c r="EDK357" s="92"/>
      <c r="EDL357" s="92"/>
      <c r="EDM357" s="92"/>
      <c r="EDN357" s="92"/>
      <c r="EDO357" s="92"/>
      <c r="EDP357" s="92"/>
      <c r="EDQ357" s="92"/>
      <c r="EDR357" s="92"/>
      <c r="EDS357" s="92"/>
      <c r="EDT357" s="92"/>
      <c r="EDU357" s="92"/>
      <c r="EDV357" s="92"/>
      <c r="EDW357" s="92"/>
      <c r="EDX357" s="92"/>
      <c r="EDY357" s="92"/>
      <c r="EDZ357" s="92"/>
      <c r="EEA357" s="92"/>
      <c r="EEB357" s="92"/>
      <c r="EEC357" s="92"/>
      <c r="EED357" s="92"/>
      <c r="EEE357" s="92"/>
      <c r="EEF357" s="92"/>
      <c r="EEG357" s="92"/>
      <c r="EEH357" s="92"/>
      <c r="EEI357" s="92"/>
      <c r="EEJ357" s="92"/>
      <c r="EEK357" s="92"/>
      <c r="EEL357" s="92"/>
      <c r="EEM357" s="92"/>
      <c r="EEN357" s="92"/>
      <c r="EEO357" s="92"/>
      <c r="EEP357" s="92"/>
      <c r="EEQ357" s="92"/>
      <c r="EER357" s="92"/>
      <c r="EES357" s="92"/>
      <c r="EET357" s="92"/>
      <c r="EEU357" s="92"/>
      <c r="EEV357" s="92"/>
      <c r="EEW357" s="92"/>
      <c r="EEX357" s="92"/>
      <c r="EEY357" s="92"/>
      <c r="EEZ357" s="92"/>
      <c r="EFA357" s="92"/>
      <c r="EFB357" s="92"/>
      <c r="EFC357" s="92"/>
      <c r="EFD357" s="92"/>
      <c r="EFE357" s="92"/>
      <c r="EFF357" s="92"/>
      <c r="EFG357" s="92"/>
      <c r="EFH357" s="92"/>
      <c r="EFI357" s="92"/>
      <c r="EFJ357" s="92"/>
      <c r="EFK357" s="92"/>
      <c r="EFL357" s="92"/>
      <c r="EFM357" s="92"/>
      <c r="EFN357" s="92"/>
      <c r="EFO357" s="92"/>
      <c r="EFP357" s="92"/>
      <c r="EFQ357" s="92"/>
      <c r="EFR357" s="92"/>
      <c r="EFS357" s="92"/>
      <c r="EFT357" s="92"/>
      <c r="EFU357" s="92"/>
      <c r="EFV357" s="92"/>
      <c r="EFW357" s="92"/>
      <c r="EFX357" s="92"/>
      <c r="EFY357" s="92"/>
      <c r="EFZ357" s="92"/>
      <c r="EGA357" s="92"/>
      <c r="EGB357" s="92"/>
      <c r="EGC357" s="92"/>
      <c r="EGD357" s="92"/>
      <c r="EGE357" s="92"/>
      <c r="EGF357" s="92"/>
      <c r="EGG357" s="92"/>
      <c r="EGH357" s="92"/>
      <c r="EGI357" s="92"/>
      <c r="EGJ357" s="92"/>
      <c r="EGK357" s="92"/>
      <c r="EGL357" s="92"/>
      <c r="EGM357" s="92"/>
      <c r="EGN357" s="92"/>
      <c r="EGO357" s="92"/>
      <c r="EGP357" s="92"/>
      <c r="EGQ357" s="92"/>
      <c r="EGR357" s="92"/>
      <c r="EGS357" s="92"/>
      <c r="EGT357" s="92"/>
      <c r="EGU357" s="92"/>
      <c r="EGV357" s="92"/>
      <c r="EGW357" s="92"/>
      <c r="EGX357" s="92"/>
      <c r="EGY357" s="92"/>
      <c r="EGZ357" s="92"/>
      <c r="EHA357" s="92"/>
      <c r="EHB357" s="92"/>
      <c r="EHC357" s="92"/>
      <c r="EHD357" s="92"/>
      <c r="EHE357" s="92"/>
      <c r="EHF357" s="92"/>
      <c r="EHG357" s="92"/>
      <c r="EHH357" s="92"/>
      <c r="EHI357" s="92"/>
      <c r="EHJ357" s="92"/>
      <c r="EHK357" s="92"/>
      <c r="EHL357" s="92"/>
      <c r="EHM357" s="92"/>
      <c r="EHN357" s="92"/>
      <c r="EHO357" s="92"/>
      <c r="EHP357" s="92"/>
      <c r="EHQ357" s="92"/>
      <c r="EHR357" s="92"/>
      <c r="EHS357" s="92"/>
      <c r="EHT357" s="92"/>
      <c r="EHU357" s="92"/>
      <c r="EHV357" s="92"/>
      <c r="EHW357" s="92"/>
      <c r="EHX357" s="92"/>
      <c r="EHY357" s="92"/>
      <c r="EHZ357" s="92"/>
      <c r="EIA357" s="92"/>
      <c r="EIB357" s="92"/>
      <c r="EIC357" s="92"/>
      <c r="EID357" s="92"/>
      <c r="EIE357" s="92"/>
      <c r="EIF357" s="92"/>
      <c r="EIG357" s="92"/>
      <c r="EIH357" s="92"/>
      <c r="EII357" s="92"/>
      <c r="EIJ357" s="92"/>
      <c r="EIK357" s="92"/>
      <c r="EIL357" s="92"/>
      <c r="EIM357" s="92"/>
      <c r="EIN357" s="92"/>
      <c r="EIO357" s="92"/>
      <c r="EIP357" s="92"/>
      <c r="EIQ357" s="92"/>
      <c r="EIR357" s="92"/>
      <c r="EIS357" s="92"/>
      <c r="EIT357" s="92"/>
      <c r="EIU357" s="92"/>
      <c r="EIV357" s="92"/>
      <c r="EIW357" s="92"/>
      <c r="EIX357" s="92"/>
      <c r="EIY357" s="92"/>
      <c r="EIZ357" s="92"/>
      <c r="EJA357" s="92"/>
      <c r="EJB357" s="92"/>
      <c r="EJC357" s="92"/>
      <c r="EJD357" s="92"/>
      <c r="EJE357" s="92"/>
      <c r="EJF357" s="92"/>
      <c r="EJG357" s="92"/>
      <c r="EJH357" s="92"/>
      <c r="EJI357" s="92"/>
      <c r="EJJ357" s="92"/>
      <c r="EJK357" s="92"/>
      <c r="EJL357" s="92"/>
      <c r="EJM357" s="92"/>
      <c r="EJN357" s="92"/>
      <c r="EJO357" s="92"/>
      <c r="EJP357" s="92"/>
      <c r="EJQ357" s="92"/>
      <c r="EJR357" s="92"/>
      <c r="EJS357" s="92"/>
      <c r="EJT357" s="92"/>
      <c r="EJU357" s="92"/>
      <c r="EJV357" s="92"/>
      <c r="EJW357" s="92"/>
      <c r="EJX357" s="92"/>
      <c r="EJY357" s="92"/>
      <c r="EJZ357" s="92"/>
      <c r="EKA357" s="92"/>
      <c r="EKB357" s="92"/>
      <c r="EKC357" s="92"/>
      <c r="EKD357" s="92"/>
      <c r="EKE357" s="92"/>
      <c r="EKF357" s="92"/>
      <c r="EKG357" s="92"/>
      <c r="EKH357" s="92"/>
      <c r="EKI357" s="92"/>
      <c r="EKJ357" s="92"/>
      <c r="EKK357" s="92"/>
      <c r="EKL357" s="92"/>
      <c r="EKM357" s="92"/>
      <c r="EKN357" s="92"/>
      <c r="EKO357" s="92"/>
      <c r="EKP357" s="92"/>
      <c r="EKQ357" s="92"/>
      <c r="EKR357" s="92"/>
      <c r="EKS357" s="92"/>
      <c r="EKT357" s="92"/>
      <c r="EKU357" s="92"/>
      <c r="EKV357" s="92"/>
      <c r="EKW357" s="92"/>
      <c r="EKX357" s="92"/>
      <c r="EKY357" s="92"/>
      <c r="EKZ357" s="92"/>
      <c r="ELA357" s="92"/>
      <c r="ELB357" s="92"/>
      <c r="ELC357" s="92"/>
      <c r="ELD357" s="92"/>
      <c r="ELE357" s="92"/>
      <c r="ELF357" s="92"/>
      <c r="ELG357" s="92"/>
      <c r="ELH357" s="92"/>
      <c r="ELI357" s="92"/>
      <c r="ELJ357" s="92"/>
      <c r="ELK357" s="92"/>
      <c r="ELL357" s="92"/>
      <c r="ELM357" s="92"/>
      <c r="ELN357" s="92"/>
      <c r="ELO357" s="92"/>
      <c r="ELP357" s="92"/>
      <c r="ELQ357" s="92"/>
      <c r="ELR357" s="92"/>
      <c r="ELS357" s="92"/>
      <c r="ELT357" s="92"/>
      <c r="ELU357" s="92"/>
      <c r="ELV357" s="92"/>
      <c r="ELW357" s="92"/>
      <c r="ELX357" s="92"/>
      <c r="ELY357" s="92"/>
      <c r="ELZ357" s="92"/>
      <c r="EMA357" s="92"/>
      <c r="EMB357" s="92"/>
      <c r="EMC357" s="92"/>
      <c r="EMD357" s="92"/>
      <c r="EME357" s="92"/>
      <c r="EMF357" s="92"/>
      <c r="EMG357" s="92"/>
      <c r="EMH357" s="92"/>
      <c r="EMI357" s="92"/>
      <c r="EMJ357" s="92"/>
      <c r="EMK357" s="92"/>
      <c r="EML357" s="92"/>
      <c r="EMM357" s="92"/>
      <c r="EMN357" s="92"/>
      <c r="EMO357" s="92"/>
      <c r="EMP357" s="92"/>
      <c r="EMQ357" s="92"/>
      <c r="EMR357" s="92"/>
      <c r="EMS357" s="92"/>
      <c r="EMT357" s="92"/>
      <c r="EMU357" s="92"/>
      <c r="EMV357" s="92"/>
      <c r="EMW357" s="92"/>
      <c r="EMX357" s="92"/>
      <c r="EMY357" s="92"/>
      <c r="EMZ357" s="92"/>
      <c r="ENA357" s="92"/>
      <c r="ENB357" s="92"/>
      <c r="ENC357" s="92"/>
      <c r="END357" s="92"/>
      <c r="ENE357" s="92"/>
      <c r="ENF357" s="92"/>
      <c r="ENG357" s="92"/>
      <c r="ENH357" s="92"/>
      <c r="ENI357" s="92"/>
      <c r="ENJ357" s="92"/>
      <c r="ENK357" s="92"/>
      <c r="ENL357" s="92"/>
      <c r="ENM357" s="92"/>
      <c r="ENN357" s="92"/>
      <c r="ENO357" s="92"/>
      <c r="ENP357" s="92"/>
      <c r="ENQ357" s="92"/>
      <c r="ENR357" s="92"/>
      <c r="ENS357" s="92"/>
      <c r="ENT357" s="92"/>
      <c r="ENU357" s="92"/>
      <c r="ENV357" s="92"/>
      <c r="ENW357" s="92"/>
      <c r="ENX357" s="92"/>
      <c r="ENY357" s="92"/>
      <c r="ENZ357" s="92"/>
      <c r="EOA357" s="92"/>
      <c r="EOB357" s="92"/>
      <c r="EOC357" s="92"/>
      <c r="EOD357" s="92"/>
      <c r="EOE357" s="92"/>
      <c r="EOF357" s="92"/>
      <c r="EOG357" s="92"/>
      <c r="EOH357" s="92"/>
      <c r="EOI357" s="92"/>
      <c r="EOJ357" s="92"/>
      <c r="EOK357" s="92"/>
      <c r="EOL357" s="92"/>
      <c r="EOM357" s="92"/>
      <c r="EON357" s="92"/>
      <c r="EOO357" s="92"/>
      <c r="EOP357" s="92"/>
      <c r="EOQ357" s="92"/>
      <c r="EOR357" s="92"/>
      <c r="EOS357" s="92"/>
      <c r="EOT357" s="92"/>
      <c r="EOU357" s="92"/>
      <c r="EOV357" s="92"/>
      <c r="EOW357" s="92"/>
      <c r="EOX357" s="92"/>
      <c r="EOY357" s="92"/>
      <c r="EOZ357" s="92"/>
      <c r="EPA357" s="92"/>
      <c r="EPB357" s="92"/>
      <c r="EPC357" s="92"/>
      <c r="EPD357" s="92"/>
      <c r="EPE357" s="92"/>
      <c r="EPF357" s="92"/>
      <c r="EPG357" s="92"/>
      <c r="EPH357" s="92"/>
      <c r="EPI357" s="92"/>
      <c r="EPJ357" s="92"/>
      <c r="EPK357" s="92"/>
      <c r="EPL357" s="92"/>
      <c r="EPM357" s="92"/>
      <c r="EPN357" s="92"/>
      <c r="EPO357" s="92"/>
      <c r="EPP357" s="92"/>
      <c r="EPQ357" s="92"/>
      <c r="EPR357" s="92"/>
      <c r="EPS357" s="92"/>
      <c r="EPT357" s="92"/>
      <c r="EPU357" s="92"/>
      <c r="EPV357" s="92"/>
      <c r="EPW357" s="92"/>
      <c r="EPX357" s="92"/>
      <c r="EPY357" s="92"/>
      <c r="EPZ357" s="92"/>
      <c r="EQA357" s="92"/>
      <c r="EQB357" s="92"/>
      <c r="EQC357" s="92"/>
      <c r="EQD357" s="92"/>
      <c r="EQE357" s="92"/>
      <c r="EQF357" s="92"/>
      <c r="EQG357" s="92"/>
      <c r="EQH357" s="92"/>
      <c r="EQI357" s="92"/>
      <c r="EQJ357" s="92"/>
      <c r="EQK357" s="92"/>
      <c r="EQL357" s="92"/>
      <c r="EQM357" s="92"/>
      <c r="EQN357" s="92"/>
      <c r="EQO357" s="92"/>
      <c r="EQP357" s="92"/>
      <c r="EQQ357" s="92"/>
      <c r="EQR357" s="92"/>
      <c r="EQS357" s="92"/>
      <c r="EQT357" s="92"/>
      <c r="EQU357" s="92"/>
      <c r="EQV357" s="92"/>
      <c r="EQW357" s="92"/>
      <c r="EQX357" s="92"/>
      <c r="EQY357" s="92"/>
      <c r="EQZ357" s="92"/>
      <c r="ERA357" s="92"/>
      <c r="ERB357" s="92"/>
      <c r="ERC357" s="92"/>
      <c r="ERD357" s="92"/>
      <c r="ERE357" s="92"/>
      <c r="ERF357" s="92"/>
      <c r="ERG357" s="92"/>
      <c r="ERH357" s="92"/>
      <c r="ERI357" s="92"/>
      <c r="ERJ357" s="92"/>
      <c r="ERK357" s="92"/>
      <c r="ERL357" s="92"/>
      <c r="ERM357" s="92"/>
      <c r="ERN357" s="92"/>
      <c r="ERO357" s="92"/>
      <c r="ERP357" s="92"/>
      <c r="ERQ357" s="92"/>
      <c r="ERR357" s="92"/>
      <c r="ERS357" s="92"/>
      <c r="ERT357" s="92"/>
      <c r="ERU357" s="92"/>
      <c r="ERV357" s="92"/>
      <c r="ERW357" s="92"/>
      <c r="ERX357" s="92"/>
      <c r="ERY357" s="92"/>
      <c r="ERZ357" s="92"/>
      <c r="ESA357" s="92"/>
      <c r="ESB357" s="92"/>
      <c r="ESC357" s="92"/>
      <c r="ESD357" s="92"/>
      <c r="ESE357" s="92"/>
      <c r="ESF357" s="92"/>
      <c r="ESG357" s="92"/>
      <c r="ESH357" s="92"/>
      <c r="ESI357" s="92"/>
      <c r="ESJ357" s="92"/>
      <c r="ESK357" s="92"/>
      <c r="ESL357" s="92"/>
      <c r="ESM357" s="92"/>
      <c r="ESN357" s="92"/>
      <c r="ESO357" s="92"/>
      <c r="ESP357" s="92"/>
      <c r="ESQ357" s="92"/>
      <c r="ESR357" s="92"/>
      <c r="ESS357" s="92"/>
      <c r="EST357" s="92"/>
      <c r="ESU357" s="92"/>
      <c r="ESV357" s="92"/>
      <c r="ESW357" s="92"/>
      <c r="ESX357" s="92"/>
      <c r="ESY357" s="92"/>
      <c r="ESZ357" s="92"/>
      <c r="ETA357" s="92"/>
      <c r="ETB357" s="92"/>
      <c r="ETC357" s="92"/>
      <c r="ETD357" s="92"/>
      <c r="ETE357" s="92"/>
      <c r="ETF357" s="92"/>
      <c r="ETG357" s="92"/>
      <c r="ETH357" s="92"/>
      <c r="ETI357" s="92"/>
      <c r="ETJ357" s="92"/>
      <c r="ETK357" s="92"/>
      <c r="ETL357" s="92"/>
      <c r="ETM357" s="92"/>
      <c r="ETN357" s="92"/>
      <c r="ETO357" s="92"/>
      <c r="ETP357" s="92"/>
      <c r="ETQ357" s="92"/>
      <c r="ETR357" s="92"/>
      <c r="ETS357" s="92"/>
      <c r="ETT357" s="92"/>
      <c r="ETU357" s="92"/>
      <c r="ETV357" s="92"/>
      <c r="ETW357" s="92"/>
      <c r="ETX357" s="92"/>
      <c r="ETY357" s="92"/>
      <c r="ETZ357" s="92"/>
      <c r="EUA357" s="92"/>
      <c r="EUB357" s="92"/>
      <c r="EUC357" s="92"/>
      <c r="EUD357" s="92"/>
      <c r="EUE357" s="92"/>
      <c r="EUF357" s="92"/>
      <c r="EUG357" s="92"/>
      <c r="EUH357" s="92"/>
      <c r="EUI357" s="92"/>
      <c r="EUJ357" s="92"/>
      <c r="EUK357" s="92"/>
      <c r="EUL357" s="92"/>
      <c r="EUM357" s="92"/>
      <c r="EUN357" s="92"/>
      <c r="EUO357" s="92"/>
      <c r="EUP357" s="92"/>
      <c r="EUQ357" s="92"/>
      <c r="EUR357" s="92"/>
      <c r="EUS357" s="92"/>
      <c r="EUT357" s="92"/>
      <c r="EUU357" s="92"/>
      <c r="EUV357" s="92"/>
      <c r="EUW357" s="92"/>
      <c r="EUX357" s="92"/>
      <c r="EUY357" s="92"/>
      <c r="EUZ357" s="92"/>
      <c r="EVA357" s="92"/>
      <c r="EVB357" s="92"/>
      <c r="EVC357" s="92"/>
      <c r="EVD357" s="92"/>
      <c r="EVE357" s="92"/>
      <c r="EVF357" s="92"/>
      <c r="EVG357" s="92"/>
      <c r="EVH357" s="92"/>
      <c r="EVI357" s="92"/>
      <c r="EVJ357" s="92"/>
      <c r="EVK357" s="92"/>
      <c r="EVL357" s="92"/>
      <c r="EVM357" s="92"/>
      <c r="EVN357" s="92"/>
      <c r="EVO357" s="92"/>
      <c r="EVP357" s="92"/>
      <c r="EVQ357" s="92"/>
      <c r="EVR357" s="92"/>
      <c r="EVS357" s="92"/>
      <c r="EVT357" s="92"/>
      <c r="EVU357" s="92"/>
      <c r="EVV357" s="92"/>
      <c r="EVW357" s="92"/>
      <c r="EVX357" s="92"/>
      <c r="EVY357" s="92"/>
      <c r="EVZ357" s="92"/>
      <c r="EWA357" s="92"/>
      <c r="EWB357" s="92"/>
      <c r="EWC357" s="92"/>
      <c r="EWD357" s="92"/>
      <c r="EWE357" s="92"/>
      <c r="EWF357" s="92"/>
      <c r="EWG357" s="92"/>
      <c r="EWH357" s="92"/>
      <c r="EWI357" s="92"/>
      <c r="EWJ357" s="92"/>
      <c r="EWK357" s="92"/>
      <c r="EWL357" s="92"/>
      <c r="EWM357" s="92"/>
      <c r="EWN357" s="92"/>
      <c r="EWO357" s="92"/>
      <c r="EWP357" s="92"/>
      <c r="EWQ357" s="92"/>
      <c r="EWR357" s="92"/>
      <c r="EWS357" s="92"/>
      <c r="EWT357" s="92"/>
      <c r="EWU357" s="92"/>
      <c r="EWV357" s="92"/>
      <c r="EWW357" s="92"/>
      <c r="EWX357" s="92"/>
      <c r="EWY357" s="92"/>
      <c r="EWZ357" s="92"/>
      <c r="EXA357" s="92"/>
      <c r="EXB357" s="92"/>
      <c r="EXC357" s="92"/>
      <c r="EXD357" s="92"/>
      <c r="EXE357" s="92"/>
      <c r="EXF357" s="92"/>
      <c r="EXG357" s="92"/>
      <c r="EXH357" s="92"/>
      <c r="EXI357" s="92"/>
      <c r="EXJ357" s="92"/>
      <c r="EXK357" s="92"/>
      <c r="EXL357" s="92"/>
      <c r="EXM357" s="92"/>
      <c r="EXN357" s="92"/>
      <c r="EXO357" s="92"/>
      <c r="EXP357" s="92"/>
      <c r="EXQ357" s="92"/>
      <c r="EXR357" s="92"/>
      <c r="EXS357" s="92"/>
      <c r="EXT357" s="92"/>
      <c r="EXU357" s="92"/>
      <c r="EXV357" s="92"/>
      <c r="EXW357" s="92"/>
      <c r="EXX357" s="92"/>
      <c r="EXY357" s="92"/>
      <c r="EXZ357" s="92"/>
      <c r="EYA357" s="92"/>
      <c r="EYB357" s="92"/>
      <c r="EYC357" s="92"/>
      <c r="EYD357" s="92"/>
      <c r="EYE357" s="92"/>
      <c r="EYF357" s="92"/>
      <c r="EYG357" s="92"/>
      <c r="EYH357" s="92"/>
      <c r="EYI357" s="92"/>
      <c r="EYJ357" s="92"/>
      <c r="EYK357" s="92"/>
      <c r="EYL357" s="92"/>
      <c r="EYM357" s="92"/>
      <c r="EYN357" s="92"/>
      <c r="EYO357" s="92"/>
      <c r="EYP357" s="92"/>
      <c r="EYQ357" s="92"/>
      <c r="EYR357" s="92"/>
      <c r="EYS357" s="92"/>
      <c r="EYT357" s="92"/>
      <c r="EYU357" s="92"/>
      <c r="EYV357" s="92"/>
      <c r="EYW357" s="92"/>
      <c r="EYX357" s="92"/>
      <c r="EYY357" s="92"/>
      <c r="EYZ357" s="92"/>
      <c r="EZA357" s="92"/>
      <c r="EZB357" s="92"/>
      <c r="EZC357" s="92"/>
      <c r="EZD357" s="92"/>
      <c r="EZE357" s="92"/>
      <c r="EZF357" s="92"/>
      <c r="EZG357" s="92"/>
      <c r="EZH357" s="92"/>
      <c r="EZI357" s="92"/>
      <c r="EZJ357" s="92"/>
      <c r="EZK357" s="92"/>
      <c r="EZL357" s="92"/>
      <c r="EZM357" s="92"/>
      <c r="EZN357" s="92"/>
      <c r="EZO357" s="92"/>
      <c r="EZP357" s="92"/>
      <c r="EZQ357" s="92"/>
      <c r="EZR357" s="92"/>
      <c r="EZS357" s="92"/>
      <c r="EZT357" s="92"/>
      <c r="EZU357" s="92"/>
      <c r="EZV357" s="92"/>
      <c r="EZW357" s="92"/>
      <c r="EZX357" s="92"/>
      <c r="EZY357" s="92"/>
      <c r="EZZ357" s="92"/>
      <c r="FAA357" s="92"/>
      <c r="FAB357" s="92"/>
      <c r="FAC357" s="92"/>
      <c r="FAD357" s="92"/>
      <c r="FAE357" s="92"/>
      <c r="FAF357" s="92"/>
      <c r="FAG357" s="92"/>
      <c r="FAH357" s="92"/>
      <c r="FAI357" s="92"/>
      <c r="FAJ357" s="92"/>
      <c r="FAK357" s="92"/>
      <c r="FAL357" s="92"/>
      <c r="FAM357" s="92"/>
      <c r="FAN357" s="92"/>
      <c r="FAO357" s="92"/>
      <c r="FAP357" s="92"/>
      <c r="FAQ357" s="92"/>
      <c r="FAR357" s="92"/>
      <c r="FAS357" s="92"/>
      <c r="FAT357" s="92"/>
      <c r="FAU357" s="92"/>
      <c r="FAV357" s="92"/>
      <c r="FAW357" s="92"/>
      <c r="FAX357" s="92"/>
      <c r="FAY357" s="92"/>
      <c r="FAZ357" s="92"/>
      <c r="FBA357" s="92"/>
      <c r="FBB357" s="92"/>
      <c r="FBC357" s="92"/>
      <c r="FBD357" s="92"/>
      <c r="FBE357" s="92"/>
      <c r="FBF357" s="92"/>
      <c r="FBG357" s="92"/>
      <c r="FBH357" s="92"/>
      <c r="FBI357" s="92"/>
      <c r="FBJ357" s="92"/>
      <c r="FBK357" s="92"/>
      <c r="FBL357" s="92"/>
      <c r="FBM357" s="92"/>
      <c r="FBN357" s="92"/>
      <c r="FBO357" s="92"/>
      <c r="FBP357" s="92"/>
      <c r="FBQ357" s="92"/>
      <c r="FBR357" s="92"/>
      <c r="FBS357" s="92"/>
      <c r="FBT357" s="92"/>
      <c r="FBU357" s="92"/>
      <c r="FBV357" s="92"/>
      <c r="FBW357" s="92"/>
      <c r="FBX357" s="92"/>
      <c r="FBY357" s="92"/>
      <c r="FBZ357" s="92"/>
      <c r="FCA357" s="92"/>
      <c r="FCB357" s="92"/>
      <c r="FCC357" s="92"/>
      <c r="FCD357" s="92"/>
      <c r="FCE357" s="92"/>
      <c r="FCF357" s="92"/>
      <c r="FCG357" s="92"/>
      <c r="FCH357" s="92"/>
      <c r="FCI357" s="92"/>
      <c r="FCJ357" s="92"/>
      <c r="FCK357" s="92"/>
      <c r="FCL357" s="92"/>
      <c r="FCM357" s="92"/>
      <c r="FCN357" s="92"/>
      <c r="FCO357" s="92"/>
      <c r="FCP357" s="92"/>
      <c r="FCQ357" s="92"/>
      <c r="FCR357" s="92"/>
      <c r="FCS357" s="92"/>
      <c r="FCT357" s="92"/>
      <c r="FCU357" s="92"/>
      <c r="FCV357" s="92"/>
      <c r="FCW357" s="92"/>
      <c r="FCX357" s="92"/>
      <c r="FCY357" s="92"/>
      <c r="FCZ357" s="92"/>
      <c r="FDA357" s="92"/>
      <c r="FDB357" s="92"/>
      <c r="FDC357" s="92"/>
      <c r="FDD357" s="92"/>
      <c r="FDE357" s="92"/>
      <c r="FDF357" s="92"/>
      <c r="FDG357" s="92"/>
      <c r="FDH357" s="92"/>
      <c r="FDI357" s="92"/>
      <c r="FDJ357" s="92"/>
      <c r="FDK357" s="92"/>
      <c r="FDL357" s="92"/>
      <c r="FDM357" s="92"/>
      <c r="FDN357" s="92"/>
      <c r="FDO357" s="92"/>
      <c r="FDP357" s="92"/>
      <c r="FDQ357" s="92"/>
      <c r="FDR357" s="92"/>
      <c r="FDS357" s="92"/>
      <c r="FDT357" s="92"/>
      <c r="FDU357" s="92"/>
      <c r="FDV357" s="92"/>
      <c r="FDW357" s="92"/>
      <c r="FDX357" s="92"/>
      <c r="FDY357" s="92"/>
      <c r="FDZ357" s="92"/>
      <c r="FEA357" s="92"/>
      <c r="FEB357" s="92"/>
      <c r="FEC357" s="92"/>
      <c r="FED357" s="92"/>
      <c r="FEE357" s="92"/>
      <c r="FEF357" s="92"/>
      <c r="FEG357" s="92"/>
      <c r="FEH357" s="92"/>
      <c r="FEI357" s="92"/>
      <c r="FEJ357" s="92"/>
      <c r="FEK357" s="92"/>
      <c r="FEL357" s="92"/>
      <c r="FEM357" s="92"/>
      <c r="FEN357" s="92"/>
      <c r="FEO357" s="92"/>
      <c r="FEP357" s="92"/>
      <c r="FEQ357" s="92"/>
      <c r="FER357" s="92"/>
      <c r="FES357" s="92"/>
      <c r="FET357" s="92"/>
      <c r="FEU357" s="92"/>
      <c r="FEV357" s="92"/>
      <c r="FEW357" s="92"/>
      <c r="FEX357" s="92"/>
      <c r="FEY357" s="92"/>
      <c r="FEZ357" s="92"/>
      <c r="FFA357" s="92"/>
      <c r="FFB357" s="92"/>
      <c r="FFC357" s="92"/>
      <c r="FFD357" s="92"/>
      <c r="FFE357" s="92"/>
      <c r="FFF357" s="92"/>
      <c r="FFG357" s="92"/>
      <c r="FFH357" s="92"/>
      <c r="FFI357" s="92"/>
      <c r="FFJ357" s="92"/>
      <c r="FFK357" s="92"/>
      <c r="FFL357" s="92"/>
      <c r="FFM357" s="92"/>
      <c r="FFN357" s="92"/>
      <c r="FFO357" s="92"/>
      <c r="FFP357" s="92"/>
      <c r="FFQ357" s="92"/>
      <c r="FFR357" s="92"/>
      <c r="FFS357" s="92"/>
      <c r="FFT357" s="92"/>
      <c r="FFU357" s="92"/>
      <c r="FFV357" s="92"/>
      <c r="FFW357" s="92"/>
      <c r="FFX357" s="92"/>
      <c r="FFY357" s="92"/>
      <c r="FFZ357" s="92"/>
      <c r="FGA357" s="92"/>
      <c r="FGB357" s="92"/>
      <c r="FGC357" s="92"/>
      <c r="FGD357" s="92"/>
      <c r="FGE357" s="92"/>
      <c r="FGF357" s="92"/>
      <c r="FGG357" s="92"/>
      <c r="FGH357" s="92"/>
      <c r="FGI357" s="92"/>
      <c r="FGJ357" s="92"/>
      <c r="FGK357" s="92"/>
      <c r="FGL357" s="92"/>
      <c r="FGM357" s="92"/>
      <c r="FGN357" s="92"/>
      <c r="FGO357" s="92"/>
      <c r="FGP357" s="92"/>
      <c r="FGQ357" s="92"/>
      <c r="FGR357" s="92"/>
      <c r="FGS357" s="92"/>
      <c r="FGT357" s="92"/>
      <c r="FGU357" s="92"/>
      <c r="FGV357" s="92"/>
      <c r="FGW357" s="92"/>
      <c r="FGX357" s="92"/>
      <c r="FGY357" s="92"/>
      <c r="FGZ357" s="92"/>
      <c r="FHA357" s="92"/>
      <c r="FHB357" s="92"/>
      <c r="FHC357" s="92"/>
      <c r="FHD357" s="92"/>
      <c r="FHE357" s="92"/>
      <c r="FHF357" s="92"/>
      <c r="FHG357" s="92"/>
      <c r="FHH357" s="92"/>
      <c r="FHI357" s="92"/>
      <c r="FHJ357" s="92"/>
      <c r="FHK357" s="92"/>
      <c r="FHL357" s="92"/>
      <c r="FHM357" s="92"/>
      <c r="FHN357" s="92"/>
      <c r="FHO357" s="92"/>
      <c r="FHP357" s="92"/>
      <c r="FHQ357" s="92"/>
      <c r="FHR357" s="92"/>
      <c r="FHS357" s="92"/>
      <c r="FHT357" s="92"/>
      <c r="FHU357" s="92"/>
      <c r="FHV357" s="92"/>
      <c r="FHW357" s="92"/>
      <c r="FHX357" s="92"/>
      <c r="FHY357" s="92"/>
      <c r="FHZ357" s="92"/>
      <c r="FIA357" s="92"/>
      <c r="FIB357" s="92"/>
      <c r="FIC357" s="92"/>
      <c r="FID357" s="92"/>
      <c r="FIE357" s="92"/>
      <c r="FIF357" s="92"/>
      <c r="FIG357" s="92"/>
      <c r="FIH357" s="92"/>
      <c r="FII357" s="92"/>
      <c r="FIJ357" s="92"/>
      <c r="FIK357" s="92"/>
      <c r="FIL357" s="92"/>
      <c r="FIM357" s="92"/>
      <c r="FIN357" s="92"/>
      <c r="FIO357" s="92"/>
      <c r="FIP357" s="92"/>
      <c r="FIQ357" s="92"/>
      <c r="FIR357" s="92"/>
      <c r="FIS357" s="92"/>
      <c r="FIT357" s="92"/>
      <c r="FIU357" s="92"/>
      <c r="FIV357" s="92"/>
      <c r="FIW357" s="92"/>
      <c r="FIX357" s="92"/>
      <c r="FIY357" s="92"/>
      <c r="FIZ357" s="92"/>
      <c r="FJA357" s="92"/>
      <c r="FJB357" s="92"/>
      <c r="FJC357" s="92"/>
      <c r="FJD357" s="92"/>
      <c r="FJE357" s="92"/>
      <c r="FJF357" s="92"/>
      <c r="FJG357" s="92"/>
      <c r="FJH357" s="92"/>
      <c r="FJI357" s="92"/>
      <c r="FJJ357" s="92"/>
      <c r="FJK357" s="92"/>
      <c r="FJL357" s="92"/>
      <c r="FJM357" s="92"/>
      <c r="FJN357" s="92"/>
      <c r="FJO357" s="92"/>
      <c r="FJP357" s="92"/>
      <c r="FJQ357" s="92"/>
      <c r="FJR357" s="92"/>
      <c r="FJS357" s="92"/>
      <c r="FJT357" s="92"/>
      <c r="FJU357" s="92"/>
      <c r="FJV357" s="92"/>
      <c r="FJW357" s="92"/>
      <c r="FJX357" s="92"/>
      <c r="FJY357" s="92"/>
      <c r="FJZ357" s="92"/>
      <c r="FKA357" s="92"/>
      <c r="FKB357" s="92"/>
      <c r="FKC357" s="92"/>
      <c r="FKD357" s="92"/>
      <c r="FKE357" s="92"/>
      <c r="FKF357" s="92"/>
      <c r="FKG357" s="92"/>
      <c r="FKH357" s="92"/>
      <c r="FKI357" s="92"/>
      <c r="FKJ357" s="92"/>
      <c r="FKK357" s="92"/>
      <c r="FKL357" s="92"/>
      <c r="FKM357" s="92"/>
      <c r="FKN357" s="92"/>
      <c r="FKO357" s="92"/>
      <c r="FKP357" s="92"/>
      <c r="FKQ357" s="92"/>
      <c r="FKR357" s="92"/>
      <c r="FKS357" s="92"/>
      <c r="FKT357" s="92"/>
      <c r="FKU357" s="92"/>
      <c r="FKV357" s="92"/>
      <c r="FKW357" s="92"/>
      <c r="FKX357" s="92"/>
      <c r="FKY357" s="92"/>
      <c r="FKZ357" s="92"/>
      <c r="FLA357" s="92"/>
      <c r="FLB357" s="92"/>
      <c r="FLC357" s="92"/>
      <c r="FLD357" s="92"/>
      <c r="FLE357" s="92"/>
      <c r="FLF357" s="92"/>
      <c r="FLG357" s="92"/>
      <c r="FLH357" s="92"/>
      <c r="FLI357" s="92"/>
      <c r="FLJ357" s="92"/>
      <c r="FLK357" s="92"/>
      <c r="FLL357" s="92"/>
      <c r="FLM357" s="92"/>
      <c r="FLN357" s="92"/>
      <c r="FLO357" s="92"/>
      <c r="FLP357" s="92"/>
      <c r="FLQ357" s="92"/>
      <c r="FLR357" s="92"/>
      <c r="FLS357" s="92"/>
      <c r="FLT357" s="92"/>
      <c r="FLU357" s="92"/>
      <c r="FLV357" s="92"/>
      <c r="FLW357" s="92"/>
      <c r="FLX357" s="92"/>
      <c r="FLY357" s="92"/>
      <c r="FLZ357" s="92"/>
      <c r="FMA357" s="92"/>
      <c r="FMB357" s="92"/>
      <c r="FMC357" s="92"/>
      <c r="FMD357" s="92"/>
      <c r="FME357" s="92"/>
      <c r="FMF357" s="92"/>
      <c r="FMG357" s="92"/>
      <c r="FMH357" s="92"/>
      <c r="FMI357" s="92"/>
      <c r="FMJ357" s="92"/>
      <c r="FMK357" s="92"/>
      <c r="FML357" s="92"/>
      <c r="FMM357" s="92"/>
      <c r="FMN357" s="92"/>
      <c r="FMO357" s="92"/>
      <c r="FMP357" s="92"/>
      <c r="FMQ357" s="92"/>
      <c r="FMR357" s="92"/>
      <c r="FMS357" s="92"/>
      <c r="FMT357" s="92"/>
      <c r="FMU357" s="92"/>
      <c r="FMV357" s="92"/>
      <c r="FMW357" s="92"/>
      <c r="FMX357" s="92"/>
      <c r="FMY357" s="92"/>
      <c r="FMZ357" s="92"/>
      <c r="FNA357" s="92"/>
      <c r="FNB357" s="92"/>
      <c r="FNC357" s="92"/>
      <c r="FND357" s="92"/>
      <c r="FNE357" s="92"/>
      <c r="FNF357" s="92"/>
      <c r="FNG357" s="92"/>
      <c r="FNH357" s="92"/>
      <c r="FNI357" s="92"/>
      <c r="FNJ357" s="92"/>
      <c r="FNK357" s="92"/>
      <c r="FNL357" s="92"/>
      <c r="FNM357" s="92"/>
      <c r="FNN357" s="92"/>
      <c r="FNO357" s="92"/>
      <c r="FNP357" s="92"/>
      <c r="FNQ357" s="92"/>
      <c r="FNR357" s="92"/>
      <c r="FNS357" s="92"/>
      <c r="FNT357" s="92"/>
      <c r="FNU357" s="92"/>
      <c r="FNV357" s="92"/>
      <c r="FNW357" s="92"/>
      <c r="FNX357" s="92"/>
      <c r="FNY357" s="92"/>
      <c r="FNZ357" s="92"/>
      <c r="FOA357" s="92"/>
      <c r="FOB357" s="92"/>
      <c r="FOC357" s="92"/>
      <c r="FOD357" s="92"/>
      <c r="FOE357" s="92"/>
      <c r="FOF357" s="92"/>
      <c r="FOG357" s="92"/>
      <c r="FOH357" s="92"/>
      <c r="FOI357" s="92"/>
      <c r="FOJ357" s="92"/>
      <c r="FOK357" s="92"/>
      <c r="FOL357" s="92"/>
      <c r="FOM357" s="92"/>
      <c r="FON357" s="92"/>
      <c r="FOO357" s="92"/>
      <c r="FOP357" s="92"/>
      <c r="FOQ357" s="92"/>
      <c r="FOR357" s="92"/>
      <c r="FOS357" s="92"/>
      <c r="FOT357" s="92"/>
      <c r="FOU357" s="92"/>
      <c r="FOV357" s="92"/>
      <c r="FOW357" s="92"/>
      <c r="FOX357" s="92"/>
      <c r="FOY357" s="92"/>
      <c r="FOZ357" s="92"/>
      <c r="FPA357" s="92"/>
      <c r="FPB357" s="92"/>
      <c r="FPC357" s="92"/>
      <c r="FPD357" s="92"/>
      <c r="FPE357" s="92"/>
      <c r="FPF357" s="92"/>
      <c r="FPG357" s="92"/>
      <c r="FPH357" s="92"/>
      <c r="FPI357" s="92"/>
      <c r="FPJ357" s="92"/>
      <c r="FPK357" s="92"/>
      <c r="FPL357" s="92"/>
      <c r="FPM357" s="92"/>
      <c r="FPN357" s="92"/>
      <c r="FPO357" s="92"/>
      <c r="FPP357" s="92"/>
      <c r="FPQ357" s="92"/>
      <c r="FPR357" s="92"/>
      <c r="FPS357" s="92"/>
      <c r="FPT357" s="92"/>
      <c r="FPU357" s="92"/>
      <c r="FPV357" s="92"/>
      <c r="FPW357" s="92"/>
      <c r="FPX357" s="92"/>
      <c r="FPY357" s="92"/>
      <c r="FPZ357" s="92"/>
      <c r="FQA357" s="92"/>
      <c r="FQB357" s="92"/>
      <c r="FQC357" s="92"/>
      <c r="FQD357" s="92"/>
      <c r="FQE357" s="92"/>
      <c r="FQF357" s="92"/>
      <c r="FQG357" s="92"/>
      <c r="FQH357" s="92"/>
      <c r="FQI357" s="92"/>
      <c r="FQJ357" s="92"/>
      <c r="FQK357" s="92"/>
      <c r="FQL357" s="92"/>
      <c r="FQM357" s="92"/>
      <c r="FQN357" s="92"/>
      <c r="FQO357" s="92"/>
      <c r="FQP357" s="92"/>
      <c r="FQQ357" s="92"/>
      <c r="FQR357" s="92"/>
      <c r="FQS357" s="92"/>
      <c r="FQT357" s="92"/>
      <c r="FQU357" s="92"/>
      <c r="FQV357" s="92"/>
      <c r="FQW357" s="92"/>
      <c r="FQX357" s="92"/>
      <c r="FQY357" s="92"/>
      <c r="FQZ357" s="92"/>
      <c r="FRA357" s="92"/>
      <c r="FRB357" s="92"/>
      <c r="FRC357" s="92"/>
      <c r="FRD357" s="92"/>
      <c r="FRE357" s="92"/>
      <c r="FRF357" s="92"/>
      <c r="FRG357" s="92"/>
      <c r="FRH357" s="92"/>
      <c r="FRI357" s="92"/>
      <c r="FRJ357" s="92"/>
      <c r="FRK357" s="92"/>
      <c r="FRL357" s="92"/>
      <c r="FRM357" s="92"/>
      <c r="FRN357" s="92"/>
      <c r="FRO357" s="92"/>
      <c r="FRP357" s="92"/>
      <c r="FRQ357" s="92"/>
      <c r="FRR357" s="92"/>
      <c r="FRS357" s="92"/>
      <c r="FRT357" s="92"/>
      <c r="FRU357" s="92"/>
      <c r="FRV357" s="92"/>
      <c r="FRW357" s="92"/>
      <c r="FRX357" s="92"/>
      <c r="FRY357" s="92"/>
      <c r="FRZ357" s="92"/>
      <c r="FSA357" s="92"/>
      <c r="FSB357" s="92"/>
      <c r="FSC357" s="92"/>
      <c r="FSD357" s="92"/>
      <c r="FSE357" s="92"/>
      <c r="FSF357" s="92"/>
      <c r="FSG357" s="92"/>
      <c r="FSH357" s="92"/>
      <c r="FSI357" s="92"/>
      <c r="FSJ357" s="92"/>
      <c r="FSK357" s="92"/>
      <c r="FSL357" s="92"/>
      <c r="FSM357" s="92"/>
      <c r="FSN357" s="92"/>
      <c r="FSO357" s="92"/>
      <c r="FSP357" s="92"/>
      <c r="FSQ357" s="92"/>
      <c r="FSR357" s="92"/>
      <c r="FSS357" s="92"/>
      <c r="FST357" s="92"/>
      <c r="FSU357" s="92"/>
      <c r="FSV357" s="92"/>
      <c r="FSW357" s="92"/>
      <c r="FSX357" s="92"/>
      <c r="FSY357" s="92"/>
      <c r="FSZ357" s="92"/>
      <c r="FTA357" s="92"/>
      <c r="FTB357" s="92"/>
      <c r="FTC357" s="92"/>
      <c r="FTD357" s="92"/>
      <c r="FTE357" s="92"/>
      <c r="FTF357" s="92"/>
      <c r="FTG357" s="92"/>
      <c r="FTH357" s="92"/>
      <c r="FTI357" s="92"/>
      <c r="FTJ357" s="92"/>
      <c r="FTK357" s="92"/>
      <c r="FTL357" s="92"/>
      <c r="FTM357" s="92"/>
      <c r="FTN357" s="92"/>
      <c r="FTO357" s="92"/>
      <c r="FTP357" s="92"/>
      <c r="FTQ357" s="92"/>
      <c r="FTR357" s="92"/>
      <c r="FTS357" s="92"/>
      <c r="FTT357" s="92"/>
      <c r="FTU357" s="92"/>
      <c r="FTV357" s="92"/>
      <c r="FTW357" s="92"/>
      <c r="FTX357" s="92"/>
      <c r="FTY357" s="92"/>
      <c r="FTZ357" s="92"/>
      <c r="FUA357" s="92"/>
      <c r="FUB357" s="92"/>
      <c r="FUC357" s="92"/>
      <c r="FUD357" s="92"/>
      <c r="FUE357" s="92"/>
      <c r="FUF357" s="92"/>
      <c r="FUG357" s="92"/>
      <c r="FUH357" s="92"/>
      <c r="FUI357" s="92"/>
      <c r="FUJ357" s="92"/>
      <c r="FUK357" s="92"/>
      <c r="FUL357" s="92"/>
      <c r="FUM357" s="92"/>
      <c r="FUN357" s="92"/>
      <c r="FUO357" s="92"/>
      <c r="FUP357" s="92"/>
      <c r="FUQ357" s="92"/>
      <c r="FUR357" s="92"/>
      <c r="FUS357" s="92"/>
      <c r="FUT357" s="92"/>
      <c r="FUU357" s="92"/>
      <c r="FUV357" s="92"/>
      <c r="FUW357" s="92"/>
      <c r="FUX357" s="92"/>
      <c r="FUY357" s="92"/>
      <c r="FUZ357" s="92"/>
      <c r="FVA357" s="92"/>
      <c r="FVB357" s="92"/>
      <c r="FVC357" s="92"/>
      <c r="FVD357" s="92"/>
      <c r="FVE357" s="92"/>
      <c r="FVF357" s="92"/>
      <c r="FVG357" s="92"/>
      <c r="FVH357" s="92"/>
      <c r="FVI357" s="92"/>
      <c r="FVJ357" s="92"/>
      <c r="FVK357" s="92"/>
      <c r="FVL357" s="92"/>
      <c r="FVM357" s="92"/>
      <c r="FVN357" s="92"/>
      <c r="FVO357" s="92"/>
      <c r="FVP357" s="92"/>
      <c r="FVQ357" s="92"/>
      <c r="FVR357" s="92"/>
      <c r="FVS357" s="92"/>
      <c r="FVT357" s="92"/>
      <c r="FVU357" s="92"/>
      <c r="FVV357" s="92"/>
      <c r="FVW357" s="92"/>
      <c r="FVX357" s="92"/>
      <c r="FVY357" s="92"/>
      <c r="FVZ357" s="92"/>
      <c r="FWA357" s="92"/>
      <c r="FWB357" s="92"/>
      <c r="FWC357" s="92"/>
      <c r="FWD357" s="92"/>
      <c r="FWE357" s="92"/>
      <c r="FWF357" s="92"/>
      <c r="FWG357" s="92"/>
      <c r="FWH357" s="92"/>
      <c r="FWI357" s="92"/>
      <c r="FWJ357" s="92"/>
      <c r="FWK357" s="92"/>
      <c r="FWL357" s="92"/>
      <c r="FWM357" s="92"/>
      <c r="FWN357" s="92"/>
      <c r="FWO357" s="92"/>
      <c r="FWP357" s="92"/>
      <c r="FWQ357" s="92"/>
      <c r="FWR357" s="92"/>
      <c r="FWS357" s="92"/>
      <c r="FWT357" s="92"/>
      <c r="FWU357" s="92"/>
      <c r="FWV357" s="92"/>
      <c r="FWW357" s="92"/>
      <c r="FWX357" s="92"/>
      <c r="FWY357" s="92"/>
      <c r="FWZ357" s="92"/>
      <c r="FXA357" s="92"/>
      <c r="FXB357" s="92"/>
      <c r="FXC357" s="92"/>
      <c r="FXD357" s="92"/>
      <c r="FXE357" s="92"/>
      <c r="FXF357" s="92"/>
      <c r="FXG357" s="92"/>
      <c r="FXH357" s="92"/>
      <c r="FXI357" s="92"/>
      <c r="FXJ357" s="92"/>
      <c r="FXK357" s="92"/>
      <c r="FXL357" s="92"/>
      <c r="FXM357" s="92"/>
      <c r="FXN357" s="92"/>
      <c r="FXO357" s="92"/>
      <c r="FXP357" s="92"/>
      <c r="FXQ357" s="92"/>
      <c r="FXR357" s="92"/>
      <c r="FXS357" s="92"/>
      <c r="FXT357" s="92"/>
      <c r="FXU357" s="92"/>
      <c r="FXV357" s="92"/>
      <c r="FXW357" s="92"/>
      <c r="FXX357" s="92"/>
      <c r="FXY357" s="92"/>
      <c r="FXZ357" s="92"/>
      <c r="FYA357" s="92"/>
      <c r="FYB357" s="92"/>
      <c r="FYC357" s="92"/>
      <c r="FYD357" s="92"/>
      <c r="FYE357" s="92"/>
      <c r="FYF357" s="92"/>
      <c r="FYG357" s="92"/>
      <c r="FYH357" s="92"/>
      <c r="FYI357" s="92"/>
      <c r="FYJ357" s="92"/>
      <c r="FYK357" s="92"/>
      <c r="FYL357" s="92"/>
      <c r="FYM357" s="92"/>
      <c r="FYN357" s="92"/>
      <c r="FYO357" s="92"/>
      <c r="FYP357" s="92"/>
      <c r="FYQ357" s="92"/>
      <c r="FYR357" s="92"/>
      <c r="FYS357" s="92"/>
      <c r="FYT357" s="92"/>
      <c r="FYU357" s="92"/>
      <c r="FYV357" s="92"/>
      <c r="FYW357" s="92"/>
      <c r="FYX357" s="92"/>
      <c r="FYY357" s="92"/>
      <c r="FYZ357" s="92"/>
      <c r="FZA357" s="92"/>
      <c r="FZB357" s="92"/>
      <c r="FZC357" s="92"/>
      <c r="FZD357" s="92"/>
      <c r="FZE357" s="92"/>
      <c r="FZF357" s="92"/>
      <c r="FZG357" s="92"/>
      <c r="FZH357" s="92"/>
      <c r="FZI357" s="92"/>
      <c r="FZJ357" s="92"/>
      <c r="FZK357" s="92"/>
      <c r="FZL357" s="92"/>
      <c r="FZM357" s="92"/>
      <c r="FZN357" s="92"/>
      <c r="FZO357" s="92"/>
      <c r="FZP357" s="92"/>
      <c r="FZQ357" s="92"/>
      <c r="FZR357" s="92"/>
      <c r="FZS357" s="92"/>
      <c r="FZT357" s="92"/>
      <c r="FZU357" s="92"/>
      <c r="FZV357" s="92"/>
      <c r="FZW357" s="92"/>
      <c r="FZX357" s="92"/>
      <c r="FZY357" s="92"/>
      <c r="FZZ357" s="92"/>
      <c r="GAA357" s="92"/>
      <c r="GAB357" s="92"/>
      <c r="GAC357" s="92"/>
      <c r="GAD357" s="92"/>
      <c r="GAE357" s="92"/>
      <c r="GAF357" s="92"/>
      <c r="GAG357" s="92"/>
      <c r="GAH357" s="92"/>
      <c r="GAI357" s="92"/>
      <c r="GAJ357" s="92"/>
      <c r="GAK357" s="92"/>
      <c r="GAL357" s="92"/>
      <c r="GAM357" s="92"/>
      <c r="GAN357" s="92"/>
      <c r="GAO357" s="92"/>
      <c r="GAP357" s="92"/>
      <c r="GAQ357" s="92"/>
      <c r="GAR357" s="92"/>
      <c r="GAS357" s="92"/>
      <c r="GAT357" s="92"/>
      <c r="GAU357" s="92"/>
      <c r="GAV357" s="92"/>
      <c r="GAW357" s="92"/>
      <c r="GAX357" s="92"/>
      <c r="GAY357" s="92"/>
      <c r="GAZ357" s="92"/>
      <c r="GBA357" s="92"/>
      <c r="GBB357" s="92"/>
      <c r="GBC357" s="92"/>
      <c r="GBD357" s="92"/>
      <c r="GBE357" s="92"/>
      <c r="GBF357" s="92"/>
      <c r="GBG357" s="92"/>
      <c r="GBH357" s="92"/>
      <c r="GBI357" s="92"/>
      <c r="GBJ357" s="92"/>
      <c r="GBK357" s="92"/>
      <c r="GBL357" s="92"/>
      <c r="GBM357" s="92"/>
      <c r="GBN357" s="92"/>
      <c r="GBO357" s="92"/>
      <c r="GBP357" s="92"/>
      <c r="GBQ357" s="92"/>
      <c r="GBR357" s="92"/>
      <c r="GBS357" s="92"/>
      <c r="GBT357" s="92"/>
      <c r="GBU357" s="92"/>
      <c r="GBV357" s="92"/>
      <c r="GBW357" s="92"/>
      <c r="GBX357" s="92"/>
      <c r="GBY357" s="92"/>
      <c r="GBZ357" s="92"/>
      <c r="GCA357" s="92"/>
      <c r="GCB357" s="92"/>
      <c r="GCC357" s="92"/>
      <c r="GCD357" s="92"/>
      <c r="GCE357" s="92"/>
      <c r="GCF357" s="92"/>
      <c r="GCG357" s="92"/>
      <c r="GCH357" s="92"/>
      <c r="GCI357" s="92"/>
      <c r="GCJ357" s="92"/>
      <c r="GCK357" s="92"/>
      <c r="GCL357" s="92"/>
      <c r="GCM357" s="92"/>
      <c r="GCN357" s="92"/>
      <c r="GCO357" s="92"/>
      <c r="GCP357" s="92"/>
      <c r="GCQ357" s="92"/>
      <c r="GCR357" s="92"/>
      <c r="GCS357" s="92"/>
      <c r="GCT357" s="92"/>
      <c r="GCU357" s="92"/>
      <c r="GCV357" s="92"/>
      <c r="GCW357" s="92"/>
      <c r="GCX357" s="92"/>
      <c r="GCY357" s="92"/>
      <c r="GCZ357" s="92"/>
      <c r="GDA357" s="92"/>
      <c r="GDB357" s="92"/>
      <c r="GDC357" s="92"/>
      <c r="GDD357" s="92"/>
      <c r="GDE357" s="92"/>
      <c r="GDF357" s="92"/>
      <c r="GDG357" s="92"/>
      <c r="GDH357" s="92"/>
      <c r="GDI357" s="92"/>
      <c r="GDJ357" s="92"/>
      <c r="GDK357" s="92"/>
      <c r="GDL357" s="92"/>
      <c r="GDM357" s="92"/>
      <c r="GDN357" s="92"/>
      <c r="GDO357" s="92"/>
      <c r="GDP357" s="92"/>
      <c r="GDQ357" s="92"/>
      <c r="GDR357" s="92"/>
      <c r="GDS357" s="92"/>
      <c r="GDT357" s="92"/>
      <c r="GDU357" s="92"/>
      <c r="GDV357" s="92"/>
      <c r="GDW357" s="92"/>
      <c r="GDX357" s="92"/>
      <c r="GDY357" s="92"/>
      <c r="GDZ357" s="92"/>
      <c r="GEA357" s="92"/>
      <c r="GEB357" s="92"/>
      <c r="GEC357" s="92"/>
      <c r="GED357" s="92"/>
      <c r="GEE357" s="92"/>
      <c r="GEF357" s="92"/>
      <c r="GEG357" s="92"/>
      <c r="GEH357" s="92"/>
      <c r="GEI357" s="92"/>
      <c r="GEJ357" s="92"/>
      <c r="GEK357" s="92"/>
      <c r="GEL357" s="92"/>
      <c r="GEM357" s="92"/>
      <c r="GEN357" s="92"/>
      <c r="GEO357" s="92"/>
      <c r="GEP357" s="92"/>
      <c r="GEQ357" s="92"/>
      <c r="GER357" s="92"/>
      <c r="GES357" s="92"/>
      <c r="GET357" s="92"/>
      <c r="GEU357" s="92"/>
      <c r="GEV357" s="92"/>
      <c r="GEW357" s="92"/>
      <c r="GEX357" s="92"/>
      <c r="GEY357" s="92"/>
      <c r="GEZ357" s="92"/>
      <c r="GFA357" s="92"/>
      <c r="GFB357" s="92"/>
      <c r="GFC357" s="92"/>
      <c r="GFD357" s="92"/>
      <c r="GFE357" s="92"/>
      <c r="GFF357" s="92"/>
      <c r="GFG357" s="92"/>
      <c r="GFH357" s="92"/>
      <c r="GFI357" s="92"/>
      <c r="GFJ357" s="92"/>
      <c r="GFK357" s="92"/>
      <c r="GFL357" s="92"/>
      <c r="GFM357" s="92"/>
      <c r="GFN357" s="92"/>
      <c r="GFO357" s="92"/>
      <c r="GFP357" s="92"/>
      <c r="GFQ357" s="92"/>
      <c r="GFR357" s="92"/>
      <c r="GFS357" s="92"/>
      <c r="GFT357" s="92"/>
      <c r="GFU357" s="92"/>
      <c r="GFV357" s="92"/>
      <c r="GFW357" s="92"/>
      <c r="GFX357" s="92"/>
      <c r="GFY357" s="92"/>
      <c r="GFZ357" s="92"/>
      <c r="GGA357" s="92"/>
      <c r="GGB357" s="92"/>
      <c r="GGC357" s="92"/>
      <c r="GGD357" s="92"/>
      <c r="GGE357" s="92"/>
      <c r="GGF357" s="92"/>
      <c r="GGG357" s="92"/>
      <c r="GGH357" s="92"/>
      <c r="GGI357" s="92"/>
      <c r="GGJ357" s="92"/>
      <c r="GGK357" s="92"/>
      <c r="GGL357" s="92"/>
      <c r="GGM357" s="92"/>
      <c r="GGN357" s="92"/>
      <c r="GGO357" s="92"/>
      <c r="GGP357" s="92"/>
      <c r="GGQ357" s="92"/>
      <c r="GGR357" s="92"/>
      <c r="GGS357" s="92"/>
      <c r="GGT357" s="92"/>
      <c r="GGU357" s="92"/>
      <c r="GGV357" s="92"/>
      <c r="GGW357" s="92"/>
      <c r="GGX357" s="92"/>
      <c r="GGY357" s="92"/>
      <c r="GGZ357" s="92"/>
      <c r="GHA357" s="92"/>
      <c r="GHB357" s="92"/>
      <c r="GHC357" s="92"/>
      <c r="GHD357" s="92"/>
      <c r="GHE357" s="92"/>
      <c r="GHF357" s="92"/>
      <c r="GHG357" s="92"/>
      <c r="GHH357" s="92"/>
      <c r="GHI357" s="92"/>
      <c r="GHJ357" s="92"/>
      <c r="GHK357" s="92"/>
      <c r="GHL357" s="92"/>
      <c r="GHM357" s="92"/>
      <c r="GHN357" s="92"/>
      <c r="GHO357" s="92"/>
      <c r="GHP357" s="92"/>
      <c r="GHQ357" s="92"/>
      <c r="GHR357" s="92"/>
      <c r="GHS357" s="92"/>
      <c r="GHT357" s="92"/>
      <c r="GHU357" s="92"/>
      <c r="GHV357" s="92"/>
      <c r="GHW357" s="92"/>
      <c r="GHX357" s="92"/>
      <c r="GHY357" s="92"/>
      <c r="GHZ357" s="92"/>
      <c r="GIA357" s="92"/>
      <c r="GIB357" s="92"/>
      <c r="GIC357" s="92"/>
      <c r="GID357" s="92"/>
      <c r="GIE357" s="92"/>
      <c r="GIF357" s="92"/>
      <c r="GIG357" s="92"/>
      <c r="GIH357" s="92"/>
      <c r="GII357" s="92"/>
      <c r="GIJ357" s="92"/>
      <c r="GIK357" s="92"/>
      <c r="GIL357" s="92"/>
      <c r="GIM357" s="92"/>
      <c r="GIN357" s="92"/>
      <c r="GIO357" s="92"/>
      <c r="GIP357" s="92"/>
      <c r="GIQ357" s="92"/>
      <c r="GIR357" s="92"/>
      <c r="GIS357" s="92"/>
      <c r="GIT357" s="92"/>
      <c r="GIU357" s="92"/>
      <c r="GIV357" s="92"/>
      <c r="GIW357" s="92"/>
      <c r="GIX357" s="92"/>
      <c r="GIY357" s="92"/>
      <c r="GIZ357" s="92"/>
      <c r="GJA357" s="92"/>
      <c r="GJB357" s="92"/>
      <c r="GJC357" s="92"/>
      <c r="GJD357" s="92"/>
      <c r="GJE357" s="92"/>
      <c r="GJF357" s="92"/>
      <c r="GJG357" s="92"/>
      <c r="GJH357" s="92"/>
      <c r="GJI357" s="92"/>
      <c r="GJJ357" s="92"/>
      <c r="GJK357" s="92"/>
      <c r="GJL357" s="92"/>
      <c r="GJM357" s="92"/>
      <c r="GJN357" s="92"/>
      <c r="GJO357" s="92"/>
      <c r="GJP357" s="92"/>
      <c r="GJQ357" s="92"/>
      <c r="GJR357" s="92"/>
      <c r="GJS357" s="92"/>
      <c r="GJT357" s="92"/>
      <c r="GJU357" s="92"/>
      <c r="GJV357" s="92"/>
      <c r="GJW357" s="92"/>
      <c r="GJX357" s="92"/>
      <c r="GJY357" s="92"/>
      <c r="GJZ357" s="92"/>
      <c r="GKA357" s="92"/>
      <c r="GKB357" s="92"/>
      <c r="GKC357" s="92"/>
      <c r="GKD357" s="92"/>
      <c r="GKE357" s="92"/>
      <c r="GKF357" s="92"/>
      <c r="GKG357" s="92"/>
      <c r="GKH357" s="92"/>
      <c r="GKI357" s="92"/>
      <c r="GKJ357" s="92"/>
      <c r="GKK357" s="92"/>
      <c r="GKL357" s="92"/>
      <c r="GKM357" s="92"/>
      <c r="GKN357" s="92"/>
      <c r="GKO357" s="92"/>
      <c r="GKP357" s="92"/>
      <c r="GKQ357" s="92"/>
      <c r="GKR357" s="92"/>
      <c r="GKS357" s="92"/>
      <c r="GKT357" s="92"/>
      <c r="GKU357" s="92"/>
      <c r="GKV357" s="92"/>
      <c r="GKW357" s="92"/>
      <c r="GKX357" s="92"/>
      <c r="GKY357" s="92"/>
      <c r="GKZ357" s="92"/>
      <c r="GLA357" s="92"/>
      <c r="GLB357" s="92"/>
      <c r="GLC357" s="92"/>
      <c r="GLD357" s="92"/>
      <c r="GLE357" s="92"/>
      <c r="GLF357" s="92"/>
      <c r="GLG357" s="92"/>
      <c r="GLH357" s="92"/>
      <c r="GLI357" s="92"/>
      <c r="GLJ357" s="92"/>
      <c r="GLK357" s="92"/>
      <c r="GLL357" s="92"/>
      <c r="GLM357" s="92"/>
      <c r="GLN357" s="92"/>
      <c r="GLO357" s="92"/>
      <c r="GLP357" s="92"/>
      <c r="GLQ357" s="92"/>
      <c r="GLR357" s="92"/>
      <c r="GLS357" s="92"/>
      <c r="GLT357" s="92"/>
      <c r="GLU357" s="92"/>
      <c r="GLV357" s="92"/>
      <c r="GLW357" s="92"/>
      <c r="GLX357" s="92"/>
      <c r="GLY357" s="92"/>
      <c r="GLZ357" s="92"/>
      <c r="GMA357" s="92"/>
      <c r="GMB357" s="92"/>
      <c r="GMC357" s="92"/>
      <c r="GMD357" s="92"/>
      <c r="GME357" s="92"/>
      <c r="GMF357" s="92"/>
      <c r="GMG357" s="92"/>
      <c r="GMH357" s="92"/>
      <c r="GMI357" s="92"/>
      <c r="GMJ357" s="92"/>
      <c r="GMK357" s="92"/>
      <c r="GML357" s="92"/>
      <c r="GMM357" s="92"/>
      <c r="GMN357" s="92"/>
      <c r="GMO357" s="92"/>
      <c r="GMP357" s="92"/>
      <c r="GMQ357" s="92"/>
      <c r="GMR357" s="92"/>
      <c r="GMS357" s="92"/>
      <c r="GMT357" s="92"/>
      <c r="GMU357" s="92"/>
      <c r="GMV357" s="92"/>
      <c r="GMW357" s="92"/>
      <c r="GMX357" s="92"/>
      <c r="GMY357" s="92"/>
      <c r="GMZ357" s="92"/>
      <c r="GNA357" s="92"/>
      <c r="GNB357" s="92"/>
      <c r="GNC357" s="92"/>
      <c r="GND357" s="92"/>
      <c r="GNE357" s="92"/>
      <c r="GNF357" s="92"/>
      <c r="GNG357" s="92"/>
      <c r="GNH357" s="92"/>
      <c r="GNI357" s="92"/>
      <c r="GNJ357" s="92"/>
      <c r="GNK357" s="92"/>
      <c r="GNL357" s="92"/>
      <c r="GNM357" s="92"/>
      <c r="GNN357" s="92"/>
      <c r="GNO357" s="92"/>
      <c r="GNP357" s="92"/>
      <c r="GNQ357" s="92"/>
      <c r="GNR357" s="92"/>
      <c r="GNS357" s="92"/>
      <c r="GNT357" s="92"/>
      <c r="GNU357" s="92"/>
      <c r="GNV357" s="92"/>
      <c r="GNW357" s="92"/>
      <c r="GNX357" s="92"/>
      <c r="GNY357" s="92"/>
      <c r="GNZ357" s="92"/>
      <c r="GOA357" s="92"/>
      <c r="GOB357" s="92"/>
      <c r="GOC357" s="92"/>
      <c r="GOD357" s="92"/>
      <c r="GOE357" s="92"/>
      <c r="GOF357" s="92"/>
      <c r="GOG357" s="92"/>
      <c r="GOH357" s="92"/>
      <c r="GOI357" s="92"/>
      <c r="GOJ357" s="92"/>
      <c r="GOK357" s="92"/>
      <c r="GOL357" s="92"/>
      <c r="GOM357" s="92"/>
      <c r="GON357" s="92"/>
      <c r="GOO357" s="92"/>
      <c r="GOP357" s="92"/>
      <c r="GOQ357" s="92"/>
      <c r="GOR357" s="92"/>
      <c r="GOS357" s="92"/>
      <c r="GOT357" s="92"/>
      <c r="GOU357" s="92"/>
      <c r="GOV357" s="92"/>
      <c r="GOW357" s="92"/>
      <c r="GOX357" s="92"/>
      <c r="GOY357" s="92"/>
      <c r="GOZ357" s="92"/>
      <c r="GPA357" s="92"/>
      <c r="GPB357" s="92"/>
      <c r="GPC357" s="92"/>
      <c r="GPD357" s="92"/>
      <c r="GPE357" s="92"/>
      <c r="GPF357" s="92"/>
      <c r="GPG357" s="92"/>
      <c r="GPH357" s="92"/>
      <c r="GPI357" s="92"/>
      <c r="GPJ357" s="92"/>
      <c r="GPK357" s="92"/>
      <c r="GPL357" s="92"/>
      <c r="GPM357" s="92"/>
      <c r="GPN357" s="92"/>
      <c r="GPO357" s="92"/>
      <c r="GPP357" s="92"/>
      <c r="GPQ357" s="92"/>
      <c r="GPR357" s="92"/>
      <c r="GPS357" s="92"/>
      <c r="GPT357" s="92"/>
      <c r="GPU357" s="92"/>
      <c r="GPV357" s="92"/>
      <c r="GPW357" s="92"/>
      <c r="GPX357" s="92"/>
      <c r="GPY357" s="92"/>
      <c r="GPZ357" s="92"/>
      <c r="GQA357" s="92"/>
      <c r="GQB357" s="92"/>
      <c r="GQC357" s="92"/>
      <c r="GQD357" s="92"/>
      <c r="GQE357" s="92"/>
      <c r="GQF357" s="92"/>
      <c r="GQG357" s="92"/>
      <c r="GQH357" s="92"/>
      <c r="GQI357" s="92"/>
      <c r="GQJ357" s="92"/>
      <c r="GQK357" s="92"/>
      <c r="GQL357" s="92"/>
      <c r="GQM357" s="92"/>
      <c r="GQN357" s="92"/>
      <c r="GQO357" s="92"/>
      <c r="GQP357" s="92"/>
      <c r="GQQ357" s="92"/>
      <c r="GQR357" s="92"/>
      <c r="GQS357" s="92"/>
      <c r="GQT357" s="92"/>
      <c r="GQU357" s="92"/>
      <c r="GQV357" s="92"/>
      <c r="GQW357" s="92"/>
      <c r="GQX357" s="92"/>
      <c r="GQY357" s="92"/>
      <c r="GQZ357" s="92"/>
      <c r="GRA357" s="92"/>
      <c r="GRB357" s="92"/>
      <c r="GRC357" s="92"/>
      <c r="GRD357" s="92"/>
      <c r="GRE357" s="92"/>
      <c r="GRF357" s="92"/>
      <c r="GRG357" s="92"/>
      <c r="GRH357" s="92"/>
      <c r="GRI357" s="92"/>
      <c r="GRJ357" s="92"/>
      <c r="GRK357" s="92"/>
      <c r="GRL357" s="92"/>
      <c r="GRM357" s="92"/>
      <c r="GRN357" s="92"/>
      <c r="GRO357" s="92"/>
      <c r="GRP357" s="92"/>
      <c r="GRQ357" s="92"/>
      <c r="GRR357" s="92"/>
      <c r="GRS357" s="92"/>
      <c r="GRT357" s="92"/>
      <c r="GRU357" s="92"/>
      <c r="GRV357" s="92"/>
      <c r="GRW357" s="92"/>
      <c r="GRX357" s="92"/>
      <c r="GRY357" s="92"/>
      <c r="GRZ357" s="92"/>
      <c r="GSA357" s="92"/>
      <c r="GSB357" s="92"/>
      <c r="GSC357" s="92"/>
      <c r="GSD357" s="92"/>
      <c r="GSE357" s="92"/>
      <c r="GSF357" s="92"/>
      <c r="GSG357" s="92"/>
      <c r="GSH357" s="92"/>
      <c r="GSI357" s="92"/>
      <c r="GSJ357" s="92"/>
      <c r="GSK357" s="92"/>
      <c r="GSL357" s="92"/>
      <c r="GSM357" s="92"/>
      <c r="GSN357" s="92"/>
      <c r="GSO357" s="92"/>
      <c r="GSP357" s="92"/>
      <c r="GSQ357" s="92"/>
      <c r="GSR357" s="92"/>
      <c r="GSS357" s="92"/>
      <c r="GST357" s="92"/>
      <c r="GSU357" s="92"/>
      <c r="GSV357" s="92"/>
      <c r="GSW357" s="92"/>
      <c r="GSX357" s="92"/>
      <c r="GSY357" s="92"/>
      <c r="GSZ357" s="92"/>
      <c r="GTA357" s="92"/>
      <c r="GTB357" s="92"/>
      <c r="GTC357" s="92"/>
      <c r="GTD357" s="92"/>
      <c r="GTE357" s="92"/>
      <c r="GTF357" s="92"/>
      <c r="GTG357" s="92"/>
      <c r="GTH357" s="92"/>
      <c r="GTI357" s="92"/>
      <c r="GTJ357" s="92"/>
      <c r="GTK357" s="92"/>
      <c r="GTL357" s="92"/>
      <c r="GTM357" s="92"/>
      <c r="GTN357" s="92"/>
      <c r="GTO357" s="92"/>
      <c r="GTP357" s="92"/>
      <c r="GTQ357" s="92"/>
      <c r="GTR357" s="92"/>
      <c r="GTS357" s="92"/>
      <c r="GTT357" s="92"/>
      <c r="GTU357" s="92"/>
      <c r="GTV357" s="92"/>
      <c r="GTW357" s="92"/>
      <c r="GTX357" s="92"/>
      <c r="GTY357" s="92"/>
      <c r="GTZ357" s="92"/>
      <c r="GUA357" s="92"/>
      <c r="GUB357" s="92"/>
      <c r="GUC357" s="92"/>
      <c r="GUD357" s="92"/>
      <c r="GUE357" s="92"/>
      <c r="GUF357" s="92"/>
      <c r="GUG357" s="92"/>
      <c r="GUH357" s="92"/>
      <c r="GUI357" s="92"/>
      <c r="GUJ357" s="92"/>
      <c r="GUK357" s="92"/>
      <c r="GUL357" s="92"/>
      <c r="GUM357" s="92"/>
      <c r="GUN357" s="92"/>
      <c r="GUO357" s="92"/>
      <c r="GUP357" s="92"/>
      <c r="GUQ357" s="92"/>
      <c r="GUR357" s="92"/>
      <c r="GUS357" s="92"/>
      <c r="GUT357" s="92"/>
      <c r="GUU357" s="92"/>
      <c r="GUV357" s="92"/>
      <c r="GUW357" s="92"/>
      <c r="GUX357" s="92"/>
      <c r="GUY357" s="92"/>
      <c r="GUZ357" s="92"/>
      <c r="GVA357" s="92"/>
      <c r="GVB357" s="92"/>
      <c r="GVC357" s="92"/>
      <c r="GVD357" s="92"/>
      <c r="GVE357" s="92"/>
      <c r="GVF357" s="92"/>
      <c r="GVG357" s="92"/>
      <c r="GVH357" s="92"/>
      <c r="GVI357" s="92"/>
      <c r="GVJ357" s="92"/>
      <c r="GVK357" s="92"/>
      <c r="GVL357" s="92"/>
      <c r="GVM357" s="92"/>
      <c r="GVN357" s="92"/>
      <c r="GVO357" s="92"/>
      <c r="GVP357" s="92"/>
      <c r="GVQ357" s="92"/>
      <c r="GVR357" s="92"/>
      <c r="GVS357" s="92"/>
      <c r="GVT357" s="92"/>
      <c r="GVU357" s="92"/>
      <c r="GVV357" s="92"/>
      <c r="GVW357" s="92"/>
      <c r="GVX357" s="92"/>
      <c r="GVY357" s="92"/>
      <c r="GVZ357" s="92"/>
      <c r="GWA357" s="92"/>
      <c r="GWB357" s="92"/>
      <c r="GWC357" s="92"/>
      <c r="GWD357" s="92"/>
      <c r="GWE357" s="92"/>
      <c r="GWF357" s="92"/>
      <c r="GWG357" s="92"/>
      <c r="GWH357" s="92"/>
      <c r="GWI357" s="92"/>
      <c r="GWJ357" s="92"/>
      <c r="GWK357" s="92"/>
      <c r="GWL357" s="92"/>
      <c r="GWM357" s="92"/>
      <c r="GWN357" s="92"/>
      <c r="GWO357" s="92"/>
      <c r="GWP357" s="92"/>
      <c r="GWQ357" s="92"/>
      <c r="GWR357" s="92"/>
      <c r="GWS357" s="92"/>
      <c r="GWT357" s="92"/>
      <c r="GWU357" s="92"/>
      <c r="GWV357" s="92"/>
      <c r="GWW357" s="92"/>
      <c r="GWX357" s="92"/>
      <c r="GWY357" s="92"/>
      <c r="GWZ357" s="92"/>
      <c r="GXA357" s="92"/>
      <c r="GXB357" s="92"/>
      <c r="GXC357" s="92"/>
      <c r="GXD357" s="92"/>
      <c r="GXE357" s="92"/>
      <c r="GXF357" s="92"/>
      <c r="GXG357" s="92"/>
      <c r="GXH357" s="92"/>
      <c r="GXI357" s="92"/>
      <c r="GXJ357" s="92"/>
      <c r="GXK357" s="92"/>
      <c r="GXL357" s="92"/>
      <c r="GXM357" s="92"/>
      <c r="GXN357" s="92"/>
      <c r="GXO357" s="92"/>
      <c r="GXP357" s="92"/>
      <c r="GXQ357" s="92"/>
      <c r="GXR357" s="92"/>
      <c r="GXS357" s="92"/>
      <c r="GXT357" s="92"/>
      <c r="GXU357" s="92"/>
      <c r="GXV357" s="92"/>
      <c r="GXW357" s="92"/>
      <c r="GXX357" s="92"/>
      <c r="GXY357" s="92"/>
      <c r="GXZ357" s="92"/>
      <c r="GYA357" s="92"/>
      <c r="GYB357" s="92"/>
      <c r="GYC357" s="92"/>
      <c r="GYD357" s="92"/>
      <c r="GYE357" s="92"/>
      <c r="GYF357" s="92"/>
      <c r="GYG357" s="92"/>
      <c r="GYH357" s="92"/>
      <c r="GYI357" s="92"/>
      <c r="GYJ357" s="92"/>
      <c r="GYK357" s="92"/>
      <c r="GYL357" s="92"/>
      <c r="GYM357" s="92"/>
      <c r="GYN357" s="92"/>
      <c r="GYO357" s="92"/>
      <c r="GYP357" s="92"/>
      <c r="GYQ357" s="92"/>
      <c r="GYR357" s="92"/>
      <c r="GYS357" s="92"/>
      <c r="GYT357" s="92"/>
      <c r="GYU357" s="92"/>
      <c r="GYV357" s="92"/>
      <c r="GYW357" s="92"/>
      <c r="GYX357" s="92"/>
      <c r="GYY357" s="92"/>
      <c r="GYZ357" s="92"/>
      <c r="GZA357" s="92"/>
      <c r="GZB357" s="92"/>
      <c r="GZC357" s="92"/>
      <c r="GZD357" s="92"/>
      <c r="GZE357" s="92"/>
      <c r="GZF357" s="92"/>
      <c r="GZG357" s="92"/>
      <c r="GZH357" s="92"/>
      <c r="GZI357" s="92"/>
      <c r="GZJ357" s="92"/>
      <c r="GZK357" s="92"/>
      <c r="GZL357" s="92"/>
      <c r="GZM357" s="92"/>
      <c r="GZN357" s="92"/>
      <c r="GZO357" s="92"/>
      <c r="GZP357" s="92"/>
      <c r="GZQ357" s="92"/>
      <c r="GZR357" s="92"/>
      <c r="GZS357" s="92"/>
      <c r="GZT357" s="92"/>
      <c r="GZU357" s="92"/>
      <c r="GZV357" s="92"/>
      <c r="GZW357" s="92"/>
      <c r="GZX357" s="92"/>
      <c r="GZY357" s="92"/>
      <c r="GZZ357" s="92"/>
      <c r="HAA357" s="92"/>
      <c r="HAB357" s="92"/>
      <c r="HAC357" s="92"/>
      <c r="HAD357" s="92"/>
      <c r="HAE357" s="92"/>
      <c r="HAF357" s="92"/>
      <c r="HAG357" s="92"/>
      <c r="HAH357" s="92"/>
      <c r="HAI357" s="92"/>
      <c r="HAJ357" s="92"/>
      <c r="HAK357" s="92"/>
      <c r="HAL357" s="92"/>
      <c r="HAM357" s="92"/>
      <c r="HAN357" s="92"/>
      <c r="HAO357" s="92"/>
      <c r="HAP357" s="92"/>
      <c r="HAQ357" s="92"/>
      <c r="HAR357" s="92"/>
      <c r="HAS357" s="92"/>
      <c r="HAT357" s="92"/>
      <c r="HAU357" s="92"/>
      <c r="HAV357" s="92"/>
      <c r="HAW357" s="92"/>
      <c r="HAX357" s="92"/>
      <c r="HAY357" s="92"/>
      <c r="HAZ357" s="92"/>
      <c r="HBA357" s="92"/>
      <c r="HBB357" s="92"/>
      <c r="HBC357" s="92"/>
      <c r="HBD357" s="92"/>
      <c r="HBE357" s="92"/>
      <c r="HBF357" s="92"/>
      <c r="HBG357" s="92"/>
      <c r="HBH357" s="92"/>
      <c r="HBI357" s="92"/>
      <c r="HBJ357" s="92"/>
      <c r="HBK357" s="92"/>
      <c r="HBL357" s="92"/>
      <c r="HBM357" s="92"/>
      <c r="HBN357" s="92"/>
      <c r="HBO357" s="92"/>
      <c r="HBP357" s="92"/>
      <c r="HBQ357" s="92"/>
      <c r="HBR357" s="92"/>
      <c r="HBS357" s="92"/>
      <c r="HBT357" s="92"/>
      <c r="HBU357" s="92"/>
      <c r="HBV357" s="92"/>
      <c r="HBW357" s="92"/>
      <c r="HBX357" s="92"/>
      <c r="HBY357" s="92"/>
      <c r="HBZ357" s="92"/>
      <c r="HCA357" s="92"/>
      <c r="HCB357" s="92"/>
      <c r="HCC357" s="92"/>
      <c r="HCD357" s="92"/>
      <c r="HCE357" s="92"/>
      <c r="HCF357" s="92"/>
      <c r="HCG357" s="92"/>
      <c r="HCH357" s="92"/>
      <c r="HCI357" s="92"/>
      <c r="HCJ357" s="92"/>
      <c r="HCK357" s="92"/>
      <c r="HCL357" s="92"/>
      <c r="HCM357" s="92"/>
      <c r="HCN357" s="92"/>
      <c r="HCO357" s="92"/>
      <c r="HCP357" s="92"/>
      <c r="HCQ357" s="92"/>
      <c r="HCR357" s="92"/>
      <c r="HCS357" s="92"/>
      <c r="HCT357" s="92"/>
      <c r="HCU357" s="92"/>
      <c r="HCV357" s="92"/>
      <c r="HCW357" s="92"/>
      <c r="HCX357" s="92"/>
      <c r="HCY357" s="92"/>
      <c r="HCZ357" s="92"/>
      <c r="HDA357" s="92"/>
      <c r="HDB357" s="92"/>
      <c r="HDC357" s="92"/>
      <c r="HDD357" s="92"/>
      <c r="HDE357" s="92"/>
      <c r="HDF357" s="92"/>
      <c r="HDG357" s="92"/>
      <c r="HDH357" s="92"/>
      <c r="HDI357" s="92"/>
      <c r="HDJ357" s="92"/>
      <c r="HDK357" s="92"/>
      <c r="HDL357" s="92"/>
      <c r="HDM357" s="92"/>
      <c r="HDN357" s="92"/>
      <c r="HDO357" s="92"/>
      <c r="HDP357" s="92"/>
      <c r="HDQ357" s="92"/>
      <c r="HDR357" s="92"/>
      <c r="HDS357" s="92"/>
      <c r="HDT357" s="92"/>
      <c r="HDU357" s="92"/>
      <c r="HDV357" s="92"/>
      <c r="HDW357" s="92"/>
      <c r="HDX357" s="92"/>
      <c r="HDY357" s="92"/>
      <c r="HDZ357" s="92"/>
      <c r="HEA357" s="92"/>
      <c r="HEB357" s="92"/>
      <c r="HEC357" s="92"/>
      <c r="HED357" s="92"/>
      <c r="HEE357" s="92"/>
      <c r="HEF357" s="92"/>
      <c r="HEG357" s="92"/>
      <c r="HEH357" s="92"/>
      <c r="HEI357" s="92"/>
      <c r="HEJ357" s="92"/>
      <c r="HEK357" s="92"/>
      <c r="HEL357" s="92"/>
      <c r="HEM357" s="92"/>
      <c r="HEN357" s="92"/>
      <c r="HEO357" s="92"/>
      <c r="HEP357" s="92"/>
      <c r="HEQ357" s="92"/>
      <c r="HER357" s="92"/>
      <c r="HES357" s="92"/>
      <c r="HET357" s="92"/>
      <c r="HEU357" s="92"/>
      <c r="HEV357" s="92"/>
      <c r="HEW357" s="92"/>
      <c r="HEX357" s="92"/>
      <c r="HEY357" s="92"/>
      <c r="HEZ357" s="92"/>
      <c r="HFA357" s="92"/>
      <c r="HFB357" s="92"/>
      <c r="HFC357" s="92"/>
      <c r="HFD357" s="92"/>
      <c r="HFE357" s="92"/>
      <c r="HFF357" s="92"/>
      <c r="HFG357" s="92"/>
      <c r="HFH357" s="92"/>
      <c r="HFI357" s="92"/>
      <c r="HFJ357" s="92"/>
      <c r="HFK357" s="92"/>
      <c r="HFL357" s="92"/>
      <c r="HFM357" s="92"/>
      <c r="HFN357" s="92"/>
      <c r="HFO357" s="92"/>
      <c r="HFP357" s="92"/>
      <c r="HFQ357" s="92"/>
      <c r="HFR357" s="92"/>
      <c r="HFS357" s="92"/>
      <c r="HFT357" s="92"/>
      <c r="HFU357" s="92"/>
      <c r="HFV357" s="92"/>
      <c r="HFW357" s="92"/>
      <c r="HFX357" s="92"/>
      <c r="HFY357" s="92"/>
      <c r="HFZ357" s="92"/>
      <c r="HGA357" s="92"/>
      <c r="HGB357" s="92"/>
      <c r="HGC357" s="92"/>
      <c r="HGD357" s="92"/>
      <c r="HGE357" s="92"/>
      <c r="HGF357" s="92"/>
      <c r="HGG357" s="92"/>
      <c r="HGH357" s="92"/>
      <c r="HGI357" s="92"/>
      <c r="HGJ357" s="92"/>
      <c r="HGK357" s="92"/>
      <c r="HGL357" s="92"/>
      <c r="HGM357" s="92"/>
      <c r="HGN357" s="92"/>
      <c r="HGO357" s="92"/>
      <c r="HGP357" s="92"/>
      <c r="HGQ357" s="92"/>
      <c r="HGR357" s="92"/>
      <c r="HGS357" s="92"/>
      <c r="HGT357" s="92"/>
      <c r="HGU357" s="92"/>
      <c r="HGV357" s="92"/>
      <c r="HGW357" s="92"/>
      <c r="HGX357" s="92"/>
      <c r="HGY357" s="92"/>
      <c r="HGZ357" s="92"/>
      <c r="HHA357" s="92"/>
      <c r="HHB357" s="92"/>
      <c r="HHC357" s="92"/>
      <c r="HHD357" s="92"/>
      <c r="HHE357" s="92"/>
      <c r="HHF357" s="92"/>
      <c r="HHG357" s="92"/>
      <c r="HHH357" s="92"/>
      <c r="HHI357" s="92"/>
      <c r="HHJ357" s="92"/>
      <c r="HHK357" s="92"/>
      <c r="HHL357" s="92"/>
      <c r="HHM357" s="92"/>
      <c r="HHN357" s="92"/>
      <c r="HHO357" s="92"/>
      <c r="HHP357" s="92"/>
      <c r="HHQ357" s="92"/>
      <c r="HHR357" s="92"/>
      <c r="HHS357" s="92"/>
      <c r="HHT357" s="92"/>
      <c r="HHU357" s="92"/>
      <c r="HHV357" s="92"/>
      <c r="HHW357" s="92"/>
      <c r="HHX357" s="92"/>
      <c r="HHY357" s="92"/>
      <c r="HHZ357" s="92"/>
      <c r="HIA357" s="92"/>
      <c r="HIB357" s="92"/>
      <c r="HIC357" s="92"/>
      <c r="HID357" s="92"/>
      <c r="HIE357" s="92"/>
      <c r="HIF357" s="92"/>
      <c r="HIG357" s="92"/>
      <c r="HIH357" s="92"/>
      <c r="HII357" s="92"/>
      <c r="HIJ357" s="92"/>
      <c r="HIK357" s="92"/>
      <c r="HIL357" s="92"/>
      <c r="HIM357" s="92"/>
      <c r="HIN357" s="92"/>
      <c r="HIO357" s="92"/>
      <c r="HIP357" s="92"/>
      <c r="HIQ357" s="92"/>
      <c r="HIR357" s="92"/>
      <c r="HIS357" s="92"/>
      <c r="HIT357" s="92"/>
      <c r="HIU357" s="92"/>
      <c r="HIV357" s="92"/>
      <c r="HIW357" s="92"/>
      <c r="HIX357" s="92"/>
      <c r="HIY357" s="92"/>
      <c r="HIZ357" s="92"/>
      <c r="HJA357" s="92"/>
      <c r="HJB357" s="92"/>
      <c r="HJC357" s="92"/>
      <c r="HJD357" s="92"/>
      <c r="HJE357" s="92"/>
      <c r="HJF357" s="92"/>
      <c r="HJG357" s="92"/>
      <c r="HJH357" s="92"/>
      <c r="HJI357" s="92"/>
      <c r="HJJ357" s="92"/>
      <c r="HJK357" s="92"/>
      <c r="HJL357" s="92"/>
      <c r="HJM357" s="92"/>
      <c r="HJN357" s="92"/>
      <c r="HJO357" s="92"/>
      <c r="HJP357" s="92"/>
      <c r="HJQ357" s="92"/>
      <c r="HJR357" s="92"/>
      <c r="HJS357" s="92"/>
      <c r="HJT357" s="92"/>
      <c r="HJU357" s="92"/>
      <c r="HJV357" s="92"/>
      <c r="HJW357" s="92"/>
      <c r="HJX357" s="92"/>
      <c r="HJY357" s="92"/>
      <c r="HJZ357" s="92"/>
      <c r="HKA357" s="92"/>
      <c r="HKB357" s="92"/>
      <c r="HKC357" s="92"/>
      <c r="HKD357" s="92"/>
      <c r="HKE357" s="92"/>
      <c r="HKF357" s="92"/>
      <c r="HKG357" s="92"/>
      <c r="HKH357" s="92"/>
      <c r="HKI357" s="92"/>
      <c r="HKJ357" s="92"/>
      <c r="HKK357" s="92"/>
      <c r="HKL357" s="92"/>
      <c r="HKM357" s="92"/>
      <c r="HKN357" s="92"/>
      <c r="HKO357" s="92"/>
      <c r="HKP357" s="92"/>
      <c r="HKQ357" s="92"/>
      <c r="HKR357" s="92"/>
      <c r="HKS357" s="92"/>
      <c r="HKT357" s="92"/>
      <c r="HKU357" s="92"/>
      <c r="HKV357" s="92"/>
      <c r="HKW357" s="92"/>
      <c r="HKX357" s="92"/>
      <c r="HKY357" s="92"/>
      <c r="HKZ357" s="92"/>
      <c r="HLA357" s="92"/>
      <c r="HLB357" s="92"/>
      <c r="HLC357" s="92"/>
      <c r="HLD357" s="92"/>
      <c r="HLE357" s="92"/>
      <c r="HLF357" s="92"/>
      <c r="HLG357" s="92"/>
      <c r="HLH357" s="92"/>
      <c r="HLI357" s="92"/>
      <c r="HLJ357" s="92"/>
      <c r="HLK357" s="92"/>
      <c r="HLL357" s="92"/>
      <c r="HLM357" s="92"/>
      <c r="HLN357" s="92"/>
      <c r="HLO357" s="92"/>
      <c r="HLP357" s="92"/>
      <c r="HLQ357" s="92"/>
      <c r="HLR357" s="92"/>
      <c r="HLS357" s="92"/>
      <c r="HLT357" s="92"/>
      <c r="HLU357" s="92"/>
      <c r="HLV357" s="92"/>
      <c r="HLW357" s="92"/>
      <c r="HLX357" s="92"/>
      <c r="HLY357" s="92"/>
      <c r="HLZ357" s="92"/>
      <c r="HMA357" s="92"/>
      <c r="HMB357" s="92"/>
      <c r="HMC357" s="92"/>
      <c r="HMD357" s="92"/>
      <c r="HME357" s="92"/>
      <c r="HMF357" s="92"/>
      <c r="HMG357" s="92"/>
      <c r="HMH357" s="92"/>
      <c r="HMI357" s="92"/>
      <c r="HMJ357" s="92"/>
      <c r="HMK357" s="92"/>
      <c r="HML357" s="92"/>
      <c r="HMM357" s="92"/>
      <c r="HMN357" s="92"/>
      <c r="HMO357" s="92"/>
      <c r="HMP357" s="92"/>
      <c r="HMQ357" s="92"/>
      <c r="HMR357" s="92"/>
      <c r="HMS357" s="92"/>
      <c r="HMT357" s="92"/>
      <c r="HMU357" s="92"/>
      <c r="HMV357" s="92"/>
      <c r="HMW357" s="92"/>
      <c r="HMX357" s="92"/>
      <c r="HMY357" s="92"/>
      <c r="HMZ357" s="92"/>
      <c r="HNA357" s="92"/>
      <c r="HNB357" s="92"/>
      <c r="HNC357" s="92"/>
      <c r="HND357" s="92"/>
      <c r="HNE357" s="92"/>
      <c r="HNF357" s="92"/>
      <c r="HNG357" s="92"/>
      <c r="HNH357" s="92"/>
      <c r="HNI357" s="92"/>
      <c r="HNJ357" s="92"/>
      <c r="HNK357" s="92"/>
      <c r="HNL357" s="92"/>
      <c r="HNM357" s="92"/>
      <c r="HNN357" s="92"/>
      <c r="HNO357" s="92"/>
      <c r="HNP357" s="92"/>
      <c r="HNQ357" s="92"/>
      <c r="HNR357" s="92"/>
      <c r="HNS357" s="92"/>
      <c r="HNT357" s="92"/>
      <c r="HNU357" s="92"/>
      <c r="HNV357" s="92"/>
      <c r="HNW357" s="92"/>
      <c r="HNX357" s="92"/>
      <c r="HNY357" s="92"/>
      <c r="HNZ357" s="92"/>
      <c r="HOA357" s="92"/>
      <c r="HOB357" s="92"/>
      <c r="HOC357" s="92"/>
      <c r="HOD357" s="92"/>
      <c r="HOE357" s="92"/>
      <c r="HOF357" s="92"/>
      <c r="HOG357" s="92"/>
      <c r="HOH357" s="92"/>
      <c r="HOI357" s="92"/>
      <c r="HOJ357" s="92"/>
      <c r="HOK357" s="92"/>
      <c r="HOL357" s="92"/>
      <c r="HOM357" s="92"/>
      <c r="HON357" s="92"/>
      <c r="HOO357" s="92"/>
      <c r="HOP357" s="92"/>
      <c r="HOQ357" s="92"/>
      <c r="HOR357" s="92"/>
      <c r="HOS357" s="92"/>
      <c r="HOT357" s="92"/>
      <c r="HOU357" s="92"/>
      <c r="HOV357" s="92"/>
      <c r="HOW357" s="92"/>
      <c r="HOX357" s="92"/>
      <c r="HOY357" s="92"/>
      <c r="HOZ357" s="92"/>
      <c r="HPA357" s="92"/>
      <c r="HPB357" s="92"/>
      <c r="HPC357" s="92"/>
      <c r="HPD357" s="92"/>
      <c r="HPE357" s="92"/>
      <c r="HPF357" s="92"/>
      <c r="HPG357" s="92"/>
      <c r="HPH357" s="92"/>
      <c r="HPI357" s="92"/>
      <c r="HPJ357" s="92"/>
      <c r="HPK357" s="92"/>
      <c r="HPL357" s="92"/>
      <c r="HPM357" s="92"/>
      <c r="HPN357" s="92"/>
      <c r="HPO357" s="92"/>
      <c r="HPP357" s="92"/>
      <c r="HPQ357" s="92"/>
      <c r="HPR357" s="92"/>
      <c r="HPS357" s="92"/>
      <c r="HPT357" s="92"/>
      <c r="HPU357" s="92"/>
      <c r="HPV357" s="92"/>
      <c r="HPW357" s="92"/>
      <c r="HPX357" s="92"/>
      <c r="HPY357" s="92"/>
      <c r="HPZ357" s="92"/>
      <c r="HQA357" s="92"/>
      <c r="HQB357" s="92"/>
      <c r="HQC357" s="92"/>
      <c r="HQD357" s="92"/>
      <c r="HQE357" s="92"/>
      <c r="HQF357" s="92"/>
      <c r="HQG357" s="92"/>
      <c r="HQH357" s="92"/>
      <c r="HQI357" s="92"/>
      <c r="HQJ357" s="92"/>
      <c r="HQK357" s="92"/>
      <c r="HQL357" s="92"/>
      <c r="HQM357" s="92"/>
      <c r="HQN357" s="92"/>
      <c r="HQO357" s="92"/>
      <c r="HQP357" s="92"/>
      <c r="HQQ357" s="92"/>
      <c r="HQR357" s="92"/>
      <c r="HQS357" s="92"/>
      <c r="HQT357" s="92"/>
      <c r="HQU357" s="92"/>
      <c r="HQV357" s="92"/>
      <c r="HQW357" s="92"/>
      <c r="HQX357" s="92"/>
      <c r="HQY357" s="92"/>
      <c r="HQZ357" s="92"/>
      <c r="HRA357" s="92"/>
      <c r="HRB357" s="92"/>
      <c r="HRC357" s="92"/>
      <c r="HRD357" s="92"/>
      <c r="HRE357" s="92"/>
      <c r="HRF357" s="92"/>
      <c r="HRG357" s="92"/>
      <c r="HRH357" s="92"/>
      <c r="HRI357" s="92"/>
      <c r="HRJ357" s="92"/>
      <c r="HRK357" s="92"/>
      <c r="HRL357" s="92"/>
      <c r="HRM357" s="92"/>
      <c r="HRN357" s="92"/>
      <c r="HRO357" s="92"/>
      <c r="HRP357" s="92"/>
      <c r="HRQ357" s="92"/>
      <c r="HRR357" s="92"/>
      <c r="HRS357" s="92"/>
      <c r="HRT357" s="92"/>
      <c r="HRU357" s="92"/>
      <c r="HRV357" s="92"/>
      <c r="HRW357" s="92"/>
      <c r="HRX357" s="92"/>
      <c r="HRY357" s="92"/>
      <c r="HRZ357" s="92"/>
      <c r="HSA357" s="92"/>
      <c r="HSB357" s="92"/>
      <c r="HSC357" s="92"/>
      <c r="HSD357" s="92"/>
      <c r="HSE357" s="92"/>
      <c r="HSF357" s="92"/>
      <c r="HSG357" s="92"/>
      <c r="HSH357" s="92"/>
      <c r="HSI357" s="92"/>
      <c r="HSJ357" s="92"/>
      <c r="HSK357" s="92"/>
      <c r="HSL357" s="92"/>
      <c r="HSM357" s="92"/>
      <c r="HSN357" s="92"/>
      <c r="HSO357" s="92"/>
      <c r="HSP357" s="92"/>
      <c r="HSQ357" s="92"/>
      <c r="HSR357" s="92"/>
      <c r="HSS357" s="92"/>
      <c r="HST357" s="92"/>
      <c r="HSU357" s="92"/>
      <c r="HSV357" s="92"/>
      <c r="HSW357" s="92"/>
      <c r="HSX357" s="92"/>
      <c r="HSY357" s="92"/>
      <c r="HSZ357" s="92"/>
      <c r="HTA357" s="92"/>
      <c r="HTB357" s="92"/>
      <c r="HTC357" s="92"/>
      <c r="HTD357" s="92"/>
      <c r="HTE357" s="92"/>
      <c r="HTF357" s="92"/>
      <c r="HTG357" s="92"/>
      <c r="HTH357" s="92"/>
      <c r="HTI357" s="92"/>
      <c r="HTJ357" s="92"/>
      <c r="HTK357" s="92"/>
      <c r="HTL357" s="92"/>
      <c r="HTM357" s="92"/>
      <c r="HTN357" s="92"/>
      <c r="HTO357" s="92"/>
      <c r="HTP357" s="92"/>
      <c r="HTQ357" s="92"/>
      <c r="HTR357" s="92"/>
      <c r="HTS357" s="92"/>
      <c r="HTT357" s="92"/>
      <c r="HTU357" s="92"/>
      <c r="HTV357" s="92"/>
      <c r="HTW357" s="92"/>
      <c r="HTX357" s="92"/>
      <c r="HTY357" s="92"/>
      <c r="HTZ357" s="92"/>
      <c r="HUA357" s="92"/>
      <c r="HUB357" s="92"/>
      <c r="HUC357" s="92"/>
      <c r="HUD357" s="92"/>
      <c r="HUE357" s="92"/>
      <c r="HUF357" s="92"/>
      <c r="HUG357" s="92"/>
      <c r="HUH357" s="92"/>
      <c r="HUI357" s="92"/>
      <c r="HUJ357" s="92"/>
      <c r="HUK357" s="92"/>
      <c r="HUL357" s="92"/>
      <c r="HUM357" s="92"/>
      <c r="HUN357" s="92"/>
      <c r="HUO357" s="92"/>
      <c r="HUP357" s="92"/>
      <c r="HUQ357" s="92"/>
      <c r="HUR357" s="92"/>
      <c r="HUS357" s="92"/>
      <c r="HUT357" s="92"/>
      <c r="HUU357" s="92"/>
      <c r="HUV357" s="92"/>
      <c r="HUW357" s="92"/>
      <c r="HUX357" s="92"/>
      <c r="HUY357" s="92"/>
      <c r="HUZ357" s="92"/>
      <c r="HVA357" s="92"/>
      <c r="HVB357" s="92"/>
      <c r="HVC357" s="92"/>
      <c r="HVD357" s="92"/>
      <c r="HVE357" s="92"/>
      <c r="HVF357" s="92"/>
      <c r="HVG357" s="92"/>
      <c r="HVH357" s="92"/>
      <c r="HVI357" s="92"/>
      <c r="HVJ357" s="92"/>
      <c r="HVK357" s="92"/>
      <c r="HVL357" s="92"/>
      <c r="HVM357" s="92"/>
      <c r="HVN357" s="92"/>
      <c r="HVO357" s="92"/>
      <c r="HVP357" s="92"/>
      <c r="HVQ357" s="92"/>
      <c r="HVR357" s="92"/>
      <c r="HVS357" s="92"/>
      <c r="HVT357" s="92"/>
      <c r="HVU357" s="92"/>
      <c r="HVV357" s="92"/>
      <c r="HVW357" s="92"/>
      <c r="HVX357" s="92"/>
      <c r="HVY357" s="92"/>
      <c r="HVZ357" s="92"/>
      <c r="HWA357" s="92"/>
      <c r="HWB357" s="92"/>
      <c r="HWC357" s="92"/>
      <c r="HWD357" s="92"/>
      <c r="HWE357" s="92"/>
      <c r="HWF357" s="92"/>
      <c r="HWG357" s="92"/>
      <c r="HWH357" s="92"/>
      <c r="HWI357" s="92"/>
      <c r="HWJ357" s="92"/>
      <c r="HWK357" s="92"/>
      <c r="HWL357" s="92"/>
      <c r="HWM357" s="92"/>
      <c r="HWN357" s="92"/>
      <c r="HWO357" s="92"/>
      <c r="HWP357" s="92"/>
      <c r="HWQ357" s="92"/>
      <c r="HWR357" s="92"/>
      <c r="HWS357" s="92"/>
      <c r="HWT357" s="92"/>
      <c r="HWU357" s="92"/>
      <c r="HWV357" s="92"/>
      <c r="HWW357" s="92"/>
      <c r="HWX357" s="92"/>
      <c r="HWY357" s="92"/>
      <c r="HWZ357" s="92"/>
      <c r="HXA357" s="92"/>
      <c r="HXB357" s="92"/>
      <c r="HXC357" s="92"/>
      <c r="HXD357" s="92"/>
      <c r="HXE357" s="92"/>
      <c r="HXF357" s="92"/>
      <c r="HXG357" s="92"/>
      <c r="HXH357" s="92"/>
      <c r="HXI357" s="92"/>
      <c r="HXJ357" s="92"/>
      <c r="HXK357" s="92"/>
      <c r="HXL357" s="92"/>
      <c r="HXM357" s="92"/>
      <c r="HXN357" s="92"/>
      <c r="HXO357" s="92"/>
      <c r="HXP357" s="92"/>
      <c r="HXQ357" s="92"/>
      <c r="HXR357" s="92"/>
      <c r="HXS357" s="92"/>
      <c r="HXT357" s="92"/>
      <c r="HXU357" s="92"/>
      <c r="HXV357" s="92"/>
      <c r="HXW357" s="92"/>
      <c r="HXX357" s="92"/>
      <c r="HXY357" s="92"/>
      <c r="HXZ357" s="92"/>
      <c r="HYA357" s="92"/>
      <c r="HYB357" s="92"/>
      <c r="HYC357" s="92"/>
      <c r="HYD357" s="92"/>
      <c r="HYE357" s="92"/>
      <c r="HYF357" s="92"/>
      <c r="HYG357" s="92"/>
      <c r="HYH357" s="92"/>
      <c r="HYI357" s="92"/>
      <c r="HYJ357" s="92"/>
      <c r="HYK357" s="92"/>
      <c r="HYL357" s="92"/>
      <c r="HYM357" s="92"/>
      <c r="HYN357" s="92"/>
      <c r="HYO357" s="92"/>
      <c r="HYP357" s="92"/>
      <c r="HYQ357" s="92"/>
      <c r="HYR357" s="92"/>
      <c r="HYS357" s="92"/>
      <c r="HYT357" s="92"/>
      <c r="HYU357" s="92"/>
      <c r="HYV357" s="92"/>
      <c r="HYW357" s="92"/>
      <c r="HYX357" s="92"/>
      <c r="HYY357" s="92"/>
      <c r="HYZ357" s="92"/>
      <c r="HZA357" s="92"/>
      <c r="HZB357" s="92"/>
      <c r="HZC357" s="92"/>
      <c r="HZD357" s="92"/>
      <c r="HZE357" s="92"/>
      <c r="HZF357" s="92"/>
      <c r="HZG357" s="92"/>
      <c r="HZH357" s="92"/>
      <c r="HZI357" s="92"/>
      <c r="HZJ357" s="92"/>
      <c r="HZK357" s="92"/>
      <c r="HZL357" s="92"/>
      <c r="HZM357" s="92"/>
      <c r="HZN357" s="92"/>
      <c r="HZO357" s="92"/>
      <c r="HZP357" s="92"/>
      <c r="HZQ357" s="92"/>
      <c r="HZR357" s="92"/>
      <c r="HZS357" s="92"/>
      <c r="HZT357" s="92"/>
      <c r="HZU357" s="92"/>
      <c r="HZV357" s="92"/>
      <c r="HZW357" s="92"/>
      <c r="HZX357" s="92"/>
      <c r="HZY357" s="92"/>
      <c r="HZZ357" s="92"/>
      <c r="IAA357" s="92"/>
      <c r="IAB357" s="92"/>
      <c r="IAC357" s="92"/>
      <c r="IAD357" s="92"/>
      <c r="IAE357" s="92"/>
      <c r="IAF357" s="92"/>
      <c r="IAG357" s="92"/>
      <c r="IAH357" s="92"/>
      <c r="IAI357" s="92"/>
      <c r="IAJ357" s="92"/>
      <c r="IAK357" s="92"/>
      <c r="IAL357" s="92"/>
      <c r="IAM357" s="92"/>
      <c r="IAN357" s="92"/>
      <c r="IAO357" s="92"/>
      <c r="IAP357" s="92"/>
      <c r="IAQ357" s="92"/>
      <c r="IAR357" s="92"/>
      <c r="IAS357" s="92"/>
      <c r="IAT357" s="92"/>
      <c r="IAU357" s="92"/>
      <c r="IAV357" s="92"/>
      <c r="IAW357" s="92"/>
      <c r="IAX357" s="92"/>
      <c r="IAY357" s="92"/>
      <c r="IAZ357" s="92"/>
      <c r="IBA357" s="92"/>
      <c r="IBB357" s="92"/>
      <c r="IBC357" s="92"/>
      <c r="IBD357" s="92"/>
      <c r="IBE357" s="92"/>
      <c r="IBF357" s="92"/>
      <c r="IBG357" s="92"/>
      <c r="IBH357" s="92"/>
      <c r="IBI357" s="92"/>
      <c r="IBJ357" s="92"/>
      <c r="IBK357" s="92"/>
      <c r="IBL357" s="92"/>
      <c r="IBM357" s="92"/>
      <c r="IBN357" s="92"/>
      <c r="IBO357" s="92"/>
      <c r="IBP357" s="92"/>
      <c r="IBQ357" s="92"/>
      <c r="IBR357" s="92"/>
      <c r="IBS357" s="92"/>
      <c r="IBT357" s="92"/>
      <c r="IBU357" s="92"/>
      <c r="IBV357" s="92"/>
      <c r="IBW357" s="92"/>
      <c r="IBX357" s="92"/>
      <c r="IBY357" s="92"/>
      <c r="IBZ357" s="92"/>
      <c r="ICA357" s="92"/>
      <c r="ICB357" s="92"/>
      <c r="ICC357" s="92"/>
      <c r="ICD357" s="92"/>
      <c r="ICE357" s="92"/>
      <c r="ICF357" s="92"/>
      <c r="ICG357" s="92"/>
      <c r="ICH357" s="92"/>
      <c r="ICI357" s="92"/>
      <c r="ICJ357" s="92"/>
      <c r="ICK357" s="92"/>
      <c r="ICL357" s="92"/>
      <c r="ICM357" s="92"/>
      <c r="ICN357" s="92"/>
      <c r="ICO357" s="92"/>
      <c r="ICP357" s="92"/>
      <c r="ICQ357" s="92"/>
      <c r="ICR357" s="92"/>
      <c r="ICS357" s="92"/>
      <c r="ICT357" s="92"/>
      <c r="ICU357" s="92"/>
      <c r="ICV357" s="92"/>
      <c r="ICW357" s="92"/>
      <c r="ICX357" s="92"/>
      <c r="ICY357" s="92"/>
      <c r="ICZ357" s="92"/>
      <c r="IDA357" s="92"/>
      <c r="IDB357" s="92"/>
      <c r="IDC357" s="92"/>
      <c r="IDD357" s="92"/>
      <c r="IDE357" s="92"/>
      <c r="IDF357" s="92"/>
      <c r="IDG357" s="92"/>
      <c r="IDH357" s="92"/>
      <c r="IDI357" s="92"/>
      <c r="IDJ357" s="92"/>
      <c r="IDK357" s="92"/>
      <c r="IDL357" s="92"/>
      <c r="IDM357" s="92"/>
      <c r="IDN357" s="92"/>
      <c r="IDO357" s="92"/>
      <c r="IDP357" s="92"/>
      <c r="IDQ357" s="92"/>
      <c r="IDR357" s="92"/>
      <c r="IDS357" s="92"/>
      <c r="IDT357" s="92"/>
      <c r="IDU357" s="92"/>
      <c r="IDV357" s="92"/>
      <c r="IDW357" s="92"/>
      <c r="IDX357" s="92"/>
      <c r="IDY357" s="92"/>
      <c r="IDZ357" s="92"/>
      <c r="IEA357" s="92"/>
      <c r="IEB357" s="92"/>
      <c r="IEC357" s="92"/>
      <c r="IED357" s="92"/>
      <c r="IEE357" s="92"/>
      <c r="IEF357" s="92"/>
      <c r="IEG357" s="92"/>
      <c r="IEH357" s="92"/>
      <c r="IEI357" s="92"/>
      <c r="IEJ357" s="92"/>
      <c r="IEK357" s="92"/>
      <c r="IEL357" s="92"/>
      <c r="IEM357" s="92"/>
      <c r="IEN357" s="92"/>
      <c r="IEO357" s="92"/>
      <c r="IEP357" s="92"/>
      <c r="IEQ357" s="92"/>
      <c r="IER357" s="92"/>
      <c r="IES357" s="92"/>
      <c r="IET357" s="92"/>
      <c r="IEU357" s="92"/>
      <c r="IEV357" s="92"/>
      <c r="IEW357" s="92"/>
      <c r="IEX357" s="92"/>
      <c r="IEY357" s="92"/>
      <c r="IEZ357" s="92"/>
      <c r="IFA357" s="92"/>
      <c r="IFB357" s="92"/>
      <c r="IFC357" s="92"/>
      <c r="IFD357" s="92"/>
      <c r="IFE357" s="92"/>
      <c r="IFF357" s="92"/>
      <c r="IFG357" s="92"/>
      <c r="IFH357" s="92"/>
      <c r="IFI357" s="92"/>
      <c r="IFJ357" s="92"/>
      <c r="IFK357" s="92"/>
      <c r="IFL357" s="92"/>
      <c r="IFM357" s="92"/>
      <c r="IFN357" s="92"/>
      <c r="IFO357" s="92"/>
      <c r="IFP357" s="92"/>
      <c r="IFQ357" s="92"/>
      <c r="IFR357" s="92"/>
      <c r="IFS357" s="92"/>
      <c r="IFT357" s="92"/>
      <c r="IFU357" s="92"/>
      <c r="IFV357" s="92"/>
      <c r="IFW357" s="92"/>
      <c r="IFX357" s="92"/>
      <c r="IFY357" s="92"/>
      <c r="IFZ357" s="92"/>
      <c r="IGA357" s="92"/>
      <c r="IGB357" s="92"/>
      <c r="IGC357" s="92"/>
      <c r="IGD357" s="92"/>
      <c r="IGE357" s="92"/>
      <c r="IGF357" s="92"/>
      <c r="IGG357" s="92"/>
      <c r="IGH357" s="92"/>
      <c r="IGI357" s="92"/>
      <c r="IGJ357" s="92"/>
      <c r="IGK357" s="92"/>
      <c r="IGL357" s="92"/>
      <c r="IGM357" s="92"/>
      <c r="IGN357" s="92"/>
      <c r="IGO357" s="92"/>
      <c r="IGP357" s="92"/>
      <c r="IGQ357" s="92"/>
      <c r="IGR357" s="92"/>
      <c r="IGS357" s="92"/>
      <c r="IGT357" s="92"/>
      <c r="IGU357" s="92"/>
      <c r="IGV357" s="92"/>
      <c r="IGW357" s="92"/>
      <c r="IGX357" s="92"/>
      <c r="IGY357" s="92"/>
      <c r="IGZ357" s="92"/>
      <c r="IHA357" s="92"/>
      <c r="IHB357" s="92"/>
      <c r="IHC357" s="92"/>
      <c r="IHD357" s="92"/>
      <c r="IHE357" s="92"/>
      <c r="IHF357" s="92"/>
      <c r="IHG357" s="92"/>
      <c r="IHH357" s="92"/>
      <c r="IHI357" s="92"/>
      <c r="IHJ357" s="92"/>
      <c r="IHK357" s="92"/>
      <c r="IHL357" s="92"/>
      <c r="IHM357" s="92"/>
      <c r="IHN357" s="92"/>
      <c r="IHO357" s="92"/>
      <c r="IHP357" s="92"/>
      <c r="IHQ357" s="92"/>
      <c r="IHR357" s="92"/>
      <c r="IHS357" s="92"/>
      <c r="IHT357" s="92"/>
      <c r="IHU357" s="92"/>
      <c r="IHV357" s="92"/>
      <c r="IHW357" s="92"/>
      <c r="IHX357" s="92"/>
      <c r="IHY357" s="92"/>
      <c r="IHZ357" s="92"/>
      <c r="IIA357" s="92"/>
      <c r="IIB357" s="92"/>
      <c r="IIC357" s="92"/>
      <c r="IID357" s="92"/>
      <c r="IIE357" s="92"/>
      <c r="IIF357" s="92"/>
      <c r="IIG357" s="92"/>
      <c r="IIH357" s="92"/>
      <c r="III357" s="92"/>
      <c r="IIJ357" s="92"/>
      <c r="IIK357" s="92"/>
      <c r="IIL357" s="92"/>
      <c r="IIM357" s="92"/>
      <c r="IIN357" s="92"/>
      <c r="IIO357" s="92"/>
      <c r="IIP357" s="92"/>
      <c r="IIQ357" s="92"/>
      <c r="IIR357" s="92"/>
      <c r="IIS357" s="92"/>
      <c r="IIT357" s="92"/>
      <c r="IIU357" s="92"/>
      <c r="IIV357" s="92"/>
      <c r="IIW357" s="92"/>
      <c r="IIX357" s="92"/>
      <c r="IIY357" s="92"/>
      <c r="IIZ357" s="92"/>
      <c r="IJA357" s="92"/>
      <c r="IJB357" s="92"/>
      <c r="IJC357" s="92"/>
      <c r="IJD357" s="92"/>
      <c r="IJE357" s="92"/>
      <c r="IJF357" s="92"/>
      <c r="IJG357" s="92"/>
      <c r="IJH357" s="92"/>
      <c r="IJI357" s="92"/>
      <c r="IJJ357" s="92"/>
      <c r="IJK357" s="92"/>
      <c r="IJL357" s="92"/>
      <c r="IJM357" s="92"/>
      <c r="IJN357" s="92"/>
      <c r="IJO357" s="92"/>
      <c r="IJP357" s="92"/>
      <c r="IJQ357" s="92"/>
      <c r="IJR357" s="92"/>
      <c r="IJS357" s="92"/>
      <c r="IJT357" s="92"/>
      <c r="IJU357" s="92"/>
      <c r="IJV357" s="92"/>
      <c r="IJW357" s="92"/>
      <c r="IJX357" s="92"/>
      <c r="IJY357" s="92"/>
      <c r="IJZ357" s="92"/>
      <c r="IKA357" s="92"/>
      <c r="IKB357" s="92"/>
      <c r="IKC357" s="92"/>
      <c r="IKD357" s="92"/>
      <c r="IKE357" s="92"/>
      <c r="IKF357" s="92"/>
      <c r="IKG357" s="92"/>
      <c r="IKH357" s="92"/>
      <c r="IKI357" s="92"/>
      <c r="IKJ357" s="92"/>
      <c r="IKK357" s="92"/>
      <c r="IKL357" s="92"/>
      <c r="IKM357" s="92"/>
      <c r="IKN357" s="92"/>
      <c r="IKO357" s="92"/>
      <c r="IKP357" s="92"/>
      <c r="IKQ357" s="92"/>
      <c r="IKR357" s="92"/>
      <c r="IKS357" s="92"/>
      <c r="IKT357" s="92"/>
      <c r="IKU357" s="92"/>
      <c r="IKV357" s="92"/>
      <c r="IKW357" s="92"/>
      <c r="IKX357" s="92"/>
      <c r="IKY357" s="92"/>
      <c r="IKZ357" s="92"/>
      <c r="ILA357" s="92"/>
      <c r="ILB357" s="92"/>
      <c r="ILC357" s="92"/>
      <c r="ILD357" s="92"/>
      <c r="ILE357" s="92"/>
      <c r="ILF357" s="92"/>
      <c r="ILG357" s="92"/>
      <c r="ILH357" s="92"/>
      <c r="ILI357" s="92"/>
      <c r="ILJ357" s="92"/>
      <c r="ILK357" s="92"/>
      <c r="ILL357" s="92"/>
      <c r="ILM357" s="92"/>
      <c r="ILN357" s="92"/>
      <c r="ILO357" s="92"/>
      <c r="ILP357" s="92"/>
      <c r="ILQ357" s="92"/>
      <c r="ILR357" s="92"/>
      <c r="ILS357" s="92"/>
      <c r="ILT357" s="92"/>
      <c r="ILU357" s="92"/>
      <c r="ILV357" s="92"/>
      <c r="ILW357" s="92"/>
      <c r="ILX357" s="92"/>
      <c r="ILY357" s="92"/>
      <c r="ILZ357" s="92"/>
      <c r="IMA357" s="92"/>
      <c r="IMB357" s="92"/>
      <c r="IMC357" s="92"/>
      <c r="IMD357" s="92"/>
      <c r="IME357" s="92"/>
      <c r="IMF357" s="92"/>
      <c r="IMG357" s="92"/>
      <c r="IMH357" s="92"/>
      <c r="IMI357" s="92"/>
      <c r="IMJ357" s="92"/>
      <c r="IMK357" s="92"/>
      <c r="IML357" s="92"/>
      <c r="IMM357" s="92"/>
      <c r="IMN357" s="92"/>
      <c r="IMO357" s="92"/>
      <c r="IMP357" s="92"/>
      <c r="IMQ357" s="92"/>
      <c r="IMR357" s="92"/>
      <c r="IMS357" s="92"/>
      <c r="IMT357" s="92"/>
      <c r="IMU357" s="92"/>
      <c r="IMV357" s="92"/>
      <c r="IMW357" s="92"/>
      <c r="IMX357" s="92"/>
      <c r="IMY357" s="92"/>
      <c r="IMZ357" s="92"/>
      <c r="INA357" s="92"/>
      <c r="INB357" s="92"/>
      <c r="INC357" s="92"/>
      <c r="IND357" s="92"/>
      <c r="INE357" s="92"/>
      <c r="INF357" s="92"/>
      <c r="ING357" s="92"/>
      <c r="INH357" s="92"/>
      <c r="INI357" s="92"/>
      <c r="INJ357" s="92"/>
      <c r="INK357" s="92"/>
      <c r="INL357" s="92"/>
      <c r="INM357" s="92"/>
      <c r="INN357" s="92"/>
      <c r="INO357" s="92"/>
      <c r="INP357" s="92"/>
      <c r="INQ357" s="92"/>
      <c r="INR357" s="92"/>
      <c r="INS357" s="92"/>
      <c r="INT357" s="92"/>
      <c r="INU357" s="92"/>
      <c r="INV357" s="92"/>
      <c r="INW357" s="92"/>
      <c r="INX357" s="92"/>
      <c r="INY357" s="92"/>
      <c r="INZ357" s="92"/>
      <c r="IOA357" s="92"/>
      <c r="IOB357" s="92"/>
      <c r="IOC357" s="92"/>
      <c r="IOD357" s="92"/>
      <c r="IOE357" s="92"/>
      <c r="IOF357" s="92"/>
      <c r="IOG357" s="92"/>
      <c r="IOH357" s="92"/>
      <c r="IOI357" s="92"/>
      <c r="IOJ357" s="92"/>
      <c r="IOK357" s="92"/>
      <c r="IOL357" s="92"/>
      <c r="IOM357" s="92"/>
      <c r="ION357" s="92"/>
      <c r="IOO357" s="92"/>
      <c r="IOP357" s="92"/>
      <c r="IOQ357" s="92"/>
      <c r="IOR357" s="92"/>
      <c r="IOS357" s="92"/>
      <c r="IOT357" s="92"/>
      <c r="IOU357" s="92"/>
      <c r="IOV357" s="92"/>
      <c r="IOW357" s="92"/>
      <c r="IOX357" s="92"/>
      <c r="IOY357" s="92"/>
      <c r="IOZ357" s="92"/>
      <c r="IPA357" s="92"/>
      <c r="IPB357" s="92"/>
      <c r="IPC357" s="92"/>
      <c r="IPD357" s="92"/>
      <c r="IPE357" s="92"/>
      <c r="IPF357" s="92"/>
      <c r="IPG357" s="92"/>
      <c r="IPH357" s="92"/>
      <c r="IPI357" s="92"/>
      <c r="IPJ357" s="92"/>
      <c r="IPK357" s="92"/>
      <c r="IPL357" s="92"/>
      <c r="IPM357" s="92"/>
      <c r="IPN357" s="92"/>
      <c r="IPO357" s="92"/>
      <c r="IPP357" s="92"/>
      <c r="IPQ357" s="92"/>
      <c r="IPR357" s="92"/>
      <c r="IPS357" s="92"/>
      <c r="IPT357" s="92"/>
      <c r="IPU357" s="92"/>
      <c r="IPV357" s="92"/>
      <c r="IPW357" s="92"/>
      <c r="IPX357" s="92"/>
      <c r="IPY357" s="92"/>
      <c r="IPZ357" s="92"/>
      <c r="IQA357" s="92"/>
      <c r="IQB357" s="92"/>
      <c r="IQC357" s="92"/>
      <c r="IQD357" s="92"/>
      <c r="IQE357" s="92"/>
      <c r="IQF357" s="92"/>
      <c r="IQG357" s="92"/>
      <c r="IQH357" s="92"/>
      <c r="IQI357" s="92"/>
      <c r="IQJ357" s="92"/>
      <c r="IQK357" s="92"/>
      <c r="IQL357" s="92"/>
      <c r="IQM357" s="92"/>
      <c r="IQN357" s="92"/>
      <c r="IQO357" s="92"/>
      <c r="IQP357" s="92"/>
      <c r="IQQ357" s="92"/>
      <c r="IQR357" s="92"/>
      <c r="IQS357" s="92"/>
      <c r="IQT357" s="92"/>
      <c r="IQU357" s="92"/>
      <c r="IQV357" s="92"/>
      <c r="IQW357" s="92"/>
      <c r="IQX357" s="92"/>
      <c r="IQY357" s="92"/>
      <c r="IQZ357" s="92"/>
      <c r="IRA357" s="92"/>
      <c r="IRB357" s="92"/>
      <c r="IRC357" s="92"/>
      <c r="IRD357" s="92"/>
      <c r="IRE357" s="92"/>
      <c r="IRF357" s="92"/>
      <c r="IRG357" s="92"/>
      <c r="IRH357" s="92"/>
      <c r="IRI357" s="92"/>
      <c r="IRJ357" s="92"/>
      <c r="IRK357" s="92"/>
      <c r="IRL357" s="92"/>
      <c r="IRM357" s="92"/>
      <c r="IRN357" s="92"/>
      <c r="IRO357" s="92"/>
      <c r="IRP357" s="92"/>
      <c r="IRQ357" s="92"/>
      <c r="IRR357" s="92"/>
      <c r="IRS357" s="92"/>
      <c r="IRT357" s="92"/>
      <c r="IRU357" s="92"/>
      <c r="IRV357" s="92"/>
      <c r="IRW357" s="92"/>
      <c r="IRX357" s="92"/>
      <c r="IRY357" s="92"/>
      <c r="IRZ357" s="92"/>
      <c r="ISA357" s="92"/>
      <c r="ISB357" s="92"/>
      <c r="ISC357" s="92"/>
      <c r="ISD357" s="92"/>
      <c r="ISE357" s="92"/>
      <c r="ISF357" s="92"/>
      <c r="ISG357" s="92"/>
      <c r="ISH357" s="92"/>
      <c r="ISI357" s="92"/>
      <c r="ISJ357" s="92"/>
      <c r="ISK357" s="92"/>
      <c r="ISL357" s="92"/>
      <c r="ISM357" s="92"/>
      <c r="ISN357" s="92"/>
      <c r="ISO357" s="92"/>
      <c r="ISP357" s="92"/>
      <c r="ISQ357" s="92"/>
      <c r="ISR357" s="92"/>
      <c r="ISS357" s="92"/>
      <c r="IST357" s="92"/>
      <c r="ISU357" s="92"/>
      <c r="ISV357" s="92"/>
      <c r="ISW357" s="92"/>
      <c r="ISX357" s="92"/>
      <c r="ISY357" s="92"/>
      <c r="ISZ357" s="92"/>
      <c r="ITA357" s="92"/>
      <c r="ITB357" s="92"/>
      <c r="ITC357" s="92"/>
      <c r="ITD357" s="92"/>
      <c r="ITE357" s="92"/>
      <c r="ITF357" s="92"/>
      <c r="ITG357" s="92"/>
      <c r="ITH357" s="92"/>
      <c r="ITI357" s="92"/>
      <c r="ITJ357" s="92"/>
      <c r="ITK357" s="92"/>
      <c r="ITL357" s="92"/>
      <c r="ITM357" s="92"/>
      <c r="ITN357" s="92"/>
      <c r="ITO357" s="92"/>
      <c r="ITP357" s="92"/>
      <c r="ITQ357" s="92"/>
      <c r="ITR357" s="92"/>
      <c r="ITS357" s="92"/>
      <c r="ITT357" s="92"/>
      <c r="ITU357" s="92"/>
      <c r="ITV357" s="92"/>
      <c r="ITW357" s="92"/>
      <c r="ITX357" s="92"/>
      <c r="ITY357" s="92"/>
      <c r="ITZ357" s="92"/>
      <c r="IUA357" s="92"/>
      <c r="IUB357" s="92"/>
      <c r="IUC357" s="92"/>
      <c r="IUD357" s="92"/>
      <c r="IUE357" s="92"/>
      <c r="IUF357" s="92"/>
      <c r="IUG357" s="92"/>
      <c r="IUH357" s="92"/>
      <c r="IUI357" s="92"/>
      <c r="IUJ357" s="92"/>
      <c r="IUK357" s="92"/>
      <c r="IUL357" s="92"/>
      <c r="IUM357" s="92"/>
      <c r="IUN357" s="92"/>
      <c r="IUO357" s="92"/>
      <c r="IUP357" s="92"/>
      <c r="IUQ357" s="92"/>
      <c r="IUR357" s="92"/>
      <c r="IUS357" s="92"/>
      <c r="IUT357" s="92"/>
      <c r="IUU357" s="92"/>
      <c r="IUV357" s="92"/>
      <c r="IUW357" s="92"/>
      <c r="IUX357" s="92"/>
      <c r="IUY357" s="92"/>
      <c r="IUZ357" s="92"/>
      <c r="IVA357" s="92"/>
      <c r="IVB357" s="92"/>
      <c r="IVC357" s="92"/>
      <c r="IVD357" s="92"/>
      <c r="IVE357" s="92"/>
      <c r="IVF357" s="92"/>
      <c r="IVG357" s="92"/>
      <c r="IVH357" s="92"/>
      <c r="IVI357" s="92"/>
      <c r="IVJ357" s="92"/>
      <c r="IVK357" s="92"/>
      <c r="IVL357" s="92"/>
      <c r="IVM357" s="92"/>
      <c r="IVN357" s="92"/>
      <c r="IVO357" s="92"/>
      <c r="IVP357" s="92"/>
      <c r="IVQ357" s="92"/>
      <c r="IVR357" s="92"/>
      <c r="IVS357" s="92"/>
      <c r="IVT357" s="92"/>
      <c r="IVU357" s="92"/>
      <c r="IVV357" s="92"/>
      <c r="IVW357" s="92"/>
      <c r="IVX357" s="92"/>
      <c r="IVY357" s="92"/>
      <c r="IVZ357" s="92"/>
      <c r="IWA357" s="92"/>
      <c r="IWB357" s="92"/>
      <c r="IWC357" s="92"/>
      <c r="IWD357" s="92"/>
      <c r="IWE357" s="92"/>
      <c r="IWF357" s="92"/>
      <c r="IWG357" s="92"/>
      <c r="IWH357" s="92"/>
      <c r="IWI357" s="92"/>
      <c r="IWJ357" s="92"/>
      <c r="IWK357" s="92"/>
      <c r="IWL357" s="92"/>
      <c r="IWM357" s="92"/>
      <c r="IWN357" s="92"/>
      <c r="IWO357" s="92"/>
      <c r="IWP357" s="92"/>
      <c r="IWQ357" s="92"/>
      <c r="IWR357" s="92"/>
      <c r="IWS357" s="92"/>
      <c r="IWT357" s="92"/>
      <c r="IWU357" s="92"/>
      <c r="IWV357" s="92"/>
      <c r="IWW357" s="92"/>
      <c r="IWX357" s="92"/>
      <c r="IWY357" s="92"/>
      <c r="IWZ357" s="92"/>
      <c r="IXA357" s="92"/>
      <c r="IXB357" s="92"/>
      <c r="IXC357" s="92"/>
      <c r="IXD357" s="92"/>
      <c r="IXE357" s="92"/>
      <c r="IXF357" s="92"/>
      <c r="IXG357" s="92"/>
      <c r="IXH357" s="92"/>
      <c r="IXI357" s="92"/>
      <c r="IXJ357" s="92"/>
      <c r="IXK357" s="92"/>
      <c r="IXL357" s="92"/>
      <c r="IXM357" s="92"/>
      <c r="IXN357" s="92"/>
      <c r="IXO357" s="92"/>
      <c r="IXP357" s="92"/>
      <c r="IXQ357" s="92"/>
      <c r="IXR357" s="92"/>
      <c r="IXS357" s="92"/>
      <c r="IXT357" s="92"/>
      <c r="IXU357" s="92"/>
      <c r="IXV357" s="92"/>
      <c r="IXW357" s="92"/>
      <c r="IXX357" s="92"/>
      <c r="IXY357" s="92"/>
      <c r="IXZ357" s="92"/>
      <c r="IYA357" s="92"/>
      <c r="IYB357" s="92"/>
      <c r="IYC357" s="92"/>
      <c r="IYD357" s="92"/>
      <c r="IYE357" s="92"/>
      <c r="IYF357" s="92"/>
      <c r="IYG357" s="92"/>
      <c r="IYH357" s="92"/>
      <c r="IYI357" s="92"/>
      <c r="IYJ357" s="92"/>
      <c r="IYK357" s="92"/>
      <c r="IYL357" s="92"/>
      <c r="IYM357" s="92"/>
      <c r="IYN357" s="92"/>
      <c r="IYO357" s="92"/>
      <c r="IYP357" s="92"/>
      <c r="IYQ357" s="92"/>
      <c r="IYR357" s="92"/>
      <c r="IYS357" s="92"/>
      <c r="IYT357" s="92"/>
      <c r="IYU357" s="92"/>
      <c r="IYV357" s="92"/>
      <c r="IYW357" s="92"/>
      <c r="IYX357" s="92"/>
      <c r="IYY357" s="92"/>
      <c r="IYZ357" s="92"/>
      <c r="IZA357" s="92"/>
      <c r="IZB357" s="92"/>
      <c r="IZC357" s="92"/>
      <c r="IZD357" s="92"/>
      <c r="IZE357" s="92"/>
      <c r="IZF357" s="92"/>
      <c r="IZG357" s="92"/>
      <c r="IZH357" s="92"/>
      <c r="IZI357" s="92"/>
      <c r="IZJ357" s="92"/>
      <c r="IZK357" s="92"/>
      <c r="IZL357" s="92"/>
      <c r="IZM357" s="92"/>
      <c r="IZN357" s="92"/>
      <c r="IZO357" s="92"/>
      <c r="IZP357" s="92"/>
      <c r="IZQ357" s="92"/>
      <c r="IZR357" s="92"/>
      <c r="IZS357" s="92"/>
      <c r="IZT357" s="92"/>
      <c r="IZU357" s="92"/>
      <c r="IZV357" s="92"/>
      <c r="IZW357" s="92"/>
      <c r="IZX357" s="92"/>
      <c r="IZY357" s="92"/>
      <c r="IZZ357" s="92"/>
      <c r="JAA357" s="92"/>
      <c r="JAB357" s="92"/>
      <c r="JAC357" s="92"/>
      <c r="JAD357" s="92"/>
      <c r="JAE357" s="92"/>
      <c r="JAF357" s="92"/>
      <c r="JAG357" s="92"/>
      <c r="JAH357" s="92"/>
      <c r="JAI357" s="92"/>
      <c r="JAJ357" s="92"/>
      <c r="JAK357" s="92"/>
      <c r="JAL357" s="92"/>
      <c r="JAM357" s="92"/>
      <c r="JAN357" s="92"/>
      <c r="JAO357" s="92"/>
      <c r="JAP357" s="92"/>
      <c r="JAQ357" s="92"/>
      <c r="JAR357" s="92"/>
      <c r="JAS357" s="92"/>
      <c r="JAT357" s="92"/>
      <c r="JAU357" s="92"/>
      <c r="JAV357" s="92"/>
      <c r="JAW357" s="92"/>
      <c r="JAX357" s="92"/>
      <c r="JAY357" s="92"/>
      <c r="JAZ357" s="92"/>
      <c r="JBA357" s="92"/>
      <c r="JBB357" s="92"/>
      <c r="JBC357" s="92"/>
      <c r="JBD357" s="92"/>
      <c r="JBE357" s="92"/>
      <c r="JBF357" s="92"/>
      <c r="JBG357" s="92"/>
      <c r="JBH357" s="92"/>
      <c r="JBI357" s="92"/>
      <c r="JBJ357" s="92"/>
      <c r="JBK357" s="92"/>
      <c r="JBL357" s="92"/>
      <c r="JBM357" s="92"/>
      <c r="JBN357" s="92"/>
      <c r="JBO357" s="92"/>
      <c r="JBP357" s="92"/>
      <c r="JBQ357" s="92"/>
      <c r="JBR357" s="92"/>
      <c r="JBS357" s="92"/>
      <c r="JBT357" s="92"/>
      <c r="JBU357" s="92"/>
      <c r="JBV357" s="92"/>
      <c r="JBW357" s="92"/>
      <c r="JBX357" s="92"/>
      <c r="JBY357" s="92"/>
      <c r="JBZ357" s="92"/>
      <c r="JCA357" s="92"/>
      <c r="JCB357" s="92"/>
      <c r="JCC357" s="92"/>
      <c r="JCD357" s="92"/>
      <c r="JCE357" s="92"/>
      <c r="JCF357" s="92"/>
      <c r="JCG357" s="92"/>
      <c r="JCH357" s="92"/>
      <c r="JCI357" s="92"/>
      <c r="JCJ357" s="92"/>
      <c r="JCK357" s="92"/>
      <c r="JCL357" s="92"/>
      <c r="JCM357" s="92"/>
      <c r="JCN357" s="92"/>
      <c r="JCO357" s="92"/>
      <c r="JCP357" s="92"/>
      <c r="JCQ357" s="92"/>
      <c r="JCR357" s="92"/>
      <c r="JCS357" s="92"/>
      <c r="JCT357" s="92"/>
      <c r="JCU357" s="92"/>
      <c r="JCV357" s="92"/>
      <c r="JCW357" s="92"/>
      <c r="JCX357" s="92"/>
      <c r="JCY357" s="92"/>
      <c r="JCZ357" s="92"/>
      <c r="JDA357" s="92"/>
      <c r="JDB357" s="92"/>
      <c r="JDC357" s="92"/>
      <c r="JDD357" s="92"/>
      <c r="JDE357" s="92"/>
      <c r="JDF357" s="92"/>
      <c r="JDG357" s="92"/>
      <c r="JDH357" s="92"/>
      <c r="JDI357" s="92"/>
      <c r="JDJ357" s="92"/>
      <c r="JDK357" s="92"/>
      <c r="JDL357" s="92"/>
      <c r="JDM357" s="92"/>
      <c r="JDN357" s="92"/>
      <c r="JDO357" s="92"/>
      <c r="JDP357" s="92"/>
      <c r="JDQ357" s="92"/>
      <c r="JDR357" s="92"/>
      <c r="JDS357" s="92"/>
      <c r="JDT357" s="92"/>
      <c r="JDU357" s="92"/>
      <c r="JDV357" s="92"/>
      <c r="JDW357" s="92"/>
      <c r="JDX357" s="92"/>
      <c r="JDY357" s="92"/>
      <c r="JDZ357" s="92"/>
      <c r="JEA357" s="92"/>
      <c r="JEB357" s="92"/>
      <c r="JEC357" s="92"/>
      <c r="JED357" s="92"/>
      <c r="JEE357" s="92"/>
      <c r="JEF357" s="92"/>
      <c r="JEG357" s="92"/>
      <c r="JEH357" s="92"/>
      <c r="JEI357" s="92"/>
      <c r="JEJ357" s="92"/>
      <c r="JEK357" s="92"/>
      <c r="JEL357" s="92"/>
      <c r="JEM357" s="92"/>
      <c r="JEN357" s="92"/>
      <c r="JEO357" s="92"/>
      <c r="JEP357" s="92"/>
      <c r="JEQ357" s="92"/>
      <c r="JER357" s="92"/>
      <c r="JES357" s="92"/>
      <c r="JET357" s="92"/>
      <c r="JEU357" s="92"/>
      <c r="JEV357" s="92"/>
      <c r="JEW357" s="92"/>
      <c r="JEX357" s="92"/>
      <c r="JEY357" s="92"/>
      <c r="JEZ357" s="92"/>
      <c r="JFA357" s="92"/>
      <c r="JFB357" s="92"/>
      <c r="JFC357" s="92"/>
      <c r="JFD357" s="92"/>
      <c r="JFE357" s="92"/>
      <c r="JFF357" s="92"/>
      <c r="JFG357" s="92"/>
      <c r="JFH357" s="92"/>
      <c r="JFI357" s="92"/>
      <c r="JFJ357" s="92"/>
      <c r="JFK357" s="92"/>
      <c r="JFL357" s="92"/>
      <c r="JFM357" s="92"/>
      <c r="JFN357" s="92"/>
      <c r="JFO357" s="92"/>
      <c r="JFP357" s="92"/>
      <c r="JFQ357" s="92"/>
      <c r="JFR357" s="92"/>
      <c r="JFS357" s="92"/>
      <c r="JFT357" s="92"/>
      <c r="JFU357" s="92"/>
      <c r="JFV357" s="92"/>
      <c r="JFW357" s="92"/>
      <c r="JFX357" s="92"/>
      <c r="JFY357" s="92"/>
      <c r="JFZ357" s="92"/>
      <c r="JGA357" s="92"/>
      <c r="JGB357" s="92"/>
      <c r="JGC357" s="92"/>
      <c r="JGD357" s="92"/>
      <c r="JGE357" s="92"/>
      <c r="JGF357" s="92"/>
      <c r="JGG357" s="92"/>
      <c r="JGH357" s="92"/>
      <c r="JGI357" s="92"/>
      <c r="JGJ357" s="92"/>
      <c r="JGK357" s="92"/>
      <c r="JGL357" s="92"/>
      <c r="JGM357" s="92"/>
      <c r="JGN357" s="92"/>
      <c r="JGO357" s="92"/>
      <c r="JGP357" s="92"/>
      <c r="JGQ357" s="92"/>
      <c r="JGR357" s="92"/>
      <c r="JGS357" s="92"/>
      <c r="JGT357" s="92"/>
      <c r="JGU357" s="92"/>
      <c r="JGV357" s="92"/>
      <c r="JGW357" s="92"/>
      <c r="JGX357" s="92"/>
      <c r="JGY357" s="92"/>
      <c r="JGZ357" s="92"/>
      <c r="JHA357" s="92"/>
      <c r="JHB357" s="92"/>
      <c r="JHC357" s="92"/>
      <c r="JHD357" s="92"/>
      <c r="JHE357" s="92"/>
      <c r="JHF357" s="92"/>
      <c r="JHG357" s="92"/>
      <c r="JHH357" s="92"/>
      <c r="JHI357" s="92"/>
      <c r="JHJ357" s="92"/>
      <c r="JHK357" s="92"/>
      <c r="JHL357" s="92"/>
      <c r="JHM357" s="92"/>
      <c r="JHN357" s="92"/>
      <c r="JHO357" s="92"/>
      <c r="JHP357" s="92"/>
      <c r="JHQ357" s="92"/>
      <c r="JHR357" s="92"/>
      <c r="JHS357" s="92"/>
      <c r="JHT357" s="92"/>
      <c r="JHU357" s="92"/>
      <c r="JHV357" s="92"/>
      <c r="JHW357" s="92"/>
      <c r="JHX357" s="92"/>
      <c r="JHY357" s="92"/>
      <c r="JHZ357" s="92"/>
      <c r="JIA357" s="92"/>
      <c r="JIB357" s="92"/>
      <c r="JIC357" s="92"/>
      <c r="JID357" s="92"/>
      <c r="JIE357" s="92"/>
      <c r="JIF357" s="92"/>
      <c r="JIG357" s="92"/>
      <c r="JIH357" s="92"/>
      <c r="JII357" s="92"/>
      <c r="JIJ357" s="92"/>
      <c r="JIK357" s="92"/>
      <c r="JIL357" s="92"/>
      <c r="JIM357" s="92"/>
      <c r="JIN357" s="92"/>
      <c r="JIO357" s="92"/>
      <c r="JIP357" s="92"/>
      <c r="JIQ357" s="92"/>
      <c r="JIR357" s="92"/>
      <c r="JIS357" s="92"/>
      <c r="JIT357" s="92"/>
      <c r="JIU357" s="92"/>
      <c r="JIV357" s="92"/>
      <c r="JIW357" s="92"/>
      <c r="JIX357" s="92"/>
      <c r="JIY357" s="92"/>
      <c r="JIZ357" s="92"/>
      <c r="JJA357" s="92"/>
      <c r="JJB357" s="92"/>
      <c r="JJC357" s="92"/>
      <c r="JJD357" s="92"/>
      <c r="JJE357" s="92"/>
      <c r="JJF357" s="92"/>
      <c r="JJG357" s="92"/>
      <c r="JJH357" s="92"/>
      <c r="JJI357" s="92"/>
      <c r="JJJ357" s="92"/>
      <c r="JJK357" s="92"/>
      <c r="JJL357" s="92"/>
      <c r="JJM357" s="92"/>
      <c r="JJN357" s="92"/>
      <c r="JJO357" s="92"/>
      <c r="JJP357" s="92"/>
      <c r="JJQ357" s="92"/>
      <c r="JJR357" s="92"/>
      <c r="JJS357" s="92"/>
      <c r="JJT357" s="92"/>
      <c r="JJU357" s="92"/>
      <c r="JJV357" s="92"/>
      <c r="JJW357" s="92"/>
      <c r="JJX357" s="92"/>
      <c r="JJY357" s="92"/>
      <c r="JJZ357" s="92"/>
      <c r="JKA357" s="92"/>
      <c r="JKB357" s="92"/>
      <c r="JKC357" s="92"/>
      <c r="JKD357" s="92"/>
      <c r="JKE357" s="92"/>
      <c r="JKF357" s="92"/>
      <c r="JKG357" s="92"/>
      <c r="JKH357" s="92"/>
      <c r="JKI357" s="92"/>
      <c r="JKJ357" s="92"/>
      <c r="JKK357" s="92"/>
      <c r="JKL357" s="92"/>
      <c r="JKM357" s="92"/>
      <c r="JKN357" s="92"/>
      <c r="JKO357" s="92"/>
      <c r="JKP357" s="92"/>
      <c r="JKQ357" s="92"/>
      <c r="JKR357" s="92"/>
      <c r="JKS357" s="92"/>
      <c r="JKT357" s="92"/>
      <c r="JKU357" s="92"/>
      <c r="JKV357" s="92"/>
      <c r="JKW357" s="92"/>
      <c r="JKX357" s="92"/>
      <c r="JKY357" s="92"/>
      <c r="JKZ357" s="92"/>
      <c r="JLA357" s="92"/>
      <c r="JLB357" s="92"/>
      <c r="JLC357" s="92"/>
      <c r="JLD357" s="92"/>
      <c r="JLE357" s="92"/>
      <c r="JLF357" s="92"/>
      <c r="JLG357" s="92"/>
      <c r="JLH357" s="92"/>
      <c r="JLI357" s="92"/>
      <c r="JLJ357" s="92"/>
      <c r="JLK357" s="92"/>
      <c r="JLL357" s="92"/>
      <c r="JLM357" s="92"/>
      <c r="JLN357" s="92"/>
      <c r="JLO357" s="92"/>
      <c r="JLP357" s="92"/>
      <c r="JLQ357" s="92"/>
      <c r="JLR357" s="92"/>
      <c r="JLS357" s="92"/>
      <c r="JLT357" s="92"/>
      <c r="JLU357" s="92"/>
      <c r="JLV357" s="92"/>
      <c r="JLW357" s="92"/>
      <c r="JLX357" s="92"/>
      <c r="JLY357" s="92"/>
      <c r="JLZ357" s="92"/>
      <c r="JMA357" s="92"/>
      <c r="JMB357" s="92"/>
      <c r="JMC357" s="92"/>
      <c r="JMD357" s="92"/>
      <c r="JME357" s="92"/>
      <c r="JMF357" s="92"/>
      <c r="JMG357" s="92"/>
      <c r="JMH357" s="92"/>
      <c r="JMI357" s="92"/>
      <c r="JMJ357" s="92"/>
      <c r="JMK357" s="92"/>
      <c r="JML357" s="92"/>
      <c r="JMM357" s="92"/>
      <c r="JMN357" s="92"/>
      <c r="JMO357" s="92"/>
      <c r="JMP357" s="92"/>
      <c r="JMQ357" s="92"/>
      <c r="JMR357" s="92"/>
      <c r="JMS357" s="92"/>
      <c r="JMT357" s="92"/>
      <c r="JMU357" s="92"/>
      <c r="JMV357" s="92"/>
      <c r="JMW357" s="92"/>
      <c r="JMX357" s="92"/>
      <c r="JMY357" s="92"/>
      <c r="JMZ357" s="92"/>
      <c r="JNA357" s="92"/>
      <c r="JNB357" s="92"/>
      <c r="JNC357" s="92"/>
      <c r="JND357" s="92"/>
      <c r="JNE357" s="92"/>
      <c r="JNF357" s="92"/>
      <c r="JNG357" s="92"/>
      <c r="JNH357" s="92"/>
      <c r="JNI357" s="92"/>
      <c r="JNJ357" s="92"/>
      <c r="JNK357" s="92"/>
      <c r="JNL357" s="92"/>
      <c r="JNM357" s="92"/>
      <c r="JNN357" s="92"/>
      <c r="JNO357" s="92"/>
      <c r="JNP357" s="92"/>
      <c r="JNQ357" s="92"/>
      <c r="JNR357" s="92"/>
      <c r="JNS357" s="92"/>
      <c r="JNT357" s="92"/>
      <c r="JNU357" s="92"/>
      <c r="JNV357" s="92"/>
      <c r="JNW357" s="92"/>
      <c r="JNX357" s="92"/>
      <c r="JNY357" s="92"/>
      <c r="JNZ357" s="92"/>
      <c r="JOA357" s="92"/>
      <c r="JOB357" s="92"/>
      <c r="JOC357" s="92"/>
      <c r="JOD357" s="92"/>
      <c r="JOE357" s="92"/>
      <c r="JOF357" s="92"/>
      <c r="JOG357" s="92"/>
      <c r="JOH357" s="92"/>
      <c r="JOI357" s="92"/>
      <c r="JOJ357" s="92"/>
      <c r="JOK357" s="92"/>
      <c r="JOL357" s="92"/>
      <c r="JOM357" s="92"/>
      <c r="JON357" s="92"/>
      <c r="JOO357" s="92"/>
      <c r="JOP357" s="92"/>
      <c r="JOQ357" s="92"/>
      <c r="JOR357" s="92"/>
      <c r="JOS357" s="92"/>
      <c r="JOT357" s="92"/>
      <c r="JOU357" s="92"/>
      <c r="JOV357" s="92"/>
      <c r="JOW357" s="92"/>
      <c r="JOX357" s="92"/>
      <c r="JOY357" s="92"/>
      <c r="JOZ357" s="92"/>
      <c r="JPA357" s="92"/>
      <c r="JPB357" s="92"/>
      <c r="JPC357" s="92"/>
      <c r="JPD357" s="92"/>
      <c r="JPE357" s="92"/>
      <c r="JPF357" s="92"/>
      <c r="JPG357" s="92"/>
      <c r="JPH357" s="92"/>
      <c r="JPI357" s="92"/>
      <c r="JPJ357" s="92"/>
      <c r="JPK357" s="92"/>
      <c r="JPL357" s="92"/>
      <c r="JPM357" s="92"/>
      <c r="JPN357" s="92"/>
      <c r="JPO357" s="92"/>
      <c r="JPP357" s="92"/>
      <c r="JPQ357" s="92"/>
      <c r="JPR357" s="92"/>
      <c r="JPS357" s="92"/>
      <c r="JPT357" s="92"/>
      <c r="JPU357" s="92"/>
      <c r="JPV357" s="92"/>
      <c r="JPW357" s="92"/>
      <c r="JPX357" s="92"/>
      <c r="JPY357" s="92"/>
      <c r="JPZ357" s="92"/>
      <c r="JQA357" s="92"/>
      <c r="JQB357" s="92"/>
      <c r="JQC357" s="92"/>
      <c r="JQD357" s="92"/>
      <c r="JQE357" s="92"/>
      <c r="JQF357" s="92"/>
      <c r="JQG357" s="92"/>
      <c r="JQH357" s="92"/>
      <c r="JQI357" s="92"/>
      <c r="JQJ357" s="92"/>
      <c r="JQK357" s="92"/>
      <c r="JQL357" s="92"/>
      <c r="JQM357" s="92"/>
      <c r="JQN357" s="92"/>
      <c r="JQO357" s="92"/>
      <c r="JQP357" s="92"/>
      <c r="JQQ357" s="92"/>
      <c r="JQR357" s="92"/>
      <c r="JQS357" s="92"/>
      <c r="JQT357" s="92"/>
      <c r="JQU357" s="92"/>
      <c r="JQV357" s="92"/>
      <c r="JQW357" s="92"/>
      <c r="JQX357" s="92"/>
      <c r="JQY357" s="92"/>
      <c r="JQZ357" s="92"/>
      <c r="JRA357" s="92"/>
      <c r="JRB357" s="92"/>
      <c r="JRC357" s="92"/>
      <c r="JRD357" s="92"/>
      <c r="JRE357" s="92"/>
      <c r="JRF357" s="92"/>
      <c r="JRG357" s="92"/>
      <c r="JRH357" s="92"/>
      <c r="JRI357" s="92"/>
      <c r="JRJ357" s="92"/>
      <c r="JRK357" s="92"/>
      <c r="JRL357" s="92"/>
      <c r="JRM357" s="92"/>
      <c r="JRN357" s="92"/>
      <c r="JRO357" s="92"/>
      <c r="JRP357" s="92"/>
      <c r="JRQ357" s="92"/>
      <c r="JRR357" s="92"/>
      <c r="JRS357" s="92"/>
      <c r="JRT357" s="92"/>
      <c r="JRU357" s="92"/>
      <c r="JRV357" s="92"/>
      <c r="JRW357" s="92"/>
      <c r="JRX357" s="92"/>
      <c r="JRY357" s="92"/>
      <c r="JRZ357" s="92"/>
      <c r="JSA357" s="92"/>
      <c r="JSB357" s="92"/>
      <c r="JSC357" s="92"/>
      <c r="JSD357" s="92"/>
      <c r="JSE357" s="92"/>
      <c r="JSF357" s="92"/>
      <c r="JSG357" s="92"/>
      <c r="JSH357" s="92"/>
      <c r="JSI357" s="92"/>
      <c r="JSJ357" s="92"/>
      <c r="JSK357" s="92"/>
      <c r="JSL357" s="92"/>
      <c r="JSM357" s="92"/>
      <c r="JSN357" s="92"/>
      <c r="JSO357" s="92"/>
      <c r="JSP357" s="92"/>
      <c r="JSQ357" s="92"/>
      <c r="JSR357" s="92"/>
      <c r="JSS357" s="92"/>
      <c r="JST357" s="92"/>
      <c r="JSU357" s="92"/>
      <c r="JSV357" s="92"/>
      <c r="JSW357" s="92"/>
      <c r="JSX357" s="92"/>
      <c r="JSY357" s="92"/>
      <c r="JSZ357" s="92"/>
      <c r="JTA357" s="92"/>
      <c r="JTB357" s="92"/>
      <c r="JTC357" s="92"/>
      <c r="JTD357" s="92"/>
      <c r="JTE357" s="92"/>
      <c r="JTF357" s="92"/>
      <c r="JTG357" s="92"/>
      <c r="JTH357" s="92"/>
      <c r="JTI357" s="92"/>
      <c r="JTJ357" s="92"/>
      <c r="JTK357" s="92"/>
      <c r="JTL357" s="92"/>
      <c r="JTM357" s="92"/>
      <c r="JTN357" s="92"/>
      <c r="JTO357" s="92"/>
      <c r="JTP357" s="92"/>
      <c r="JTQ357" s="92"/>
      <c r="JTR357" s="92"/>
      <c r="JTS357" s="92"/>
      <c r="JTT357" s="92"/>
      <c r="JTU357" s="92"/>
      <c r="JTV357" s="92"/>
      <c r="JTW357" s="92"/>
      <c r="JTX357" s="92"/>
      <c r="JTY357" s="92"/>
      <c r="JTZ357" s="92"/>
      <c r="JUA357" s="92"/>
      <c r="JUB357" s="92"/>
      <c r="JUC357" s="92"/>
      <c r="JUD357" s="92"/>
      <c r="JUE357" s="92"/>
      <c r="JUF357" s="92"/>
      <c r="JUG357" s="92"/>
      <c r="JUH357" s="92"/>
      <c r="JUI357" s="92"/>
      <c r="JUJ357" s="92"/>
      <c r="JUK357" s="92"/>
      <c r="JUL357" s="92"/>
      <c r="JUM357" s="92"/>
      <c r="JUN357" s="92"/>
      <c r="JUO357" s="92"/>
      <c r="JUP357" s="92"/>
      <c r="JUQ357" s="92"/>
      <c r="JUR357" s="92"/>
      <c r="JUS357" s="92"/>
      <c r="JUT357" s="92"/>
      <c r="JUU357" s="92"/>
      <c r="JUV357" s="92"/>
      <c r="JUW357" s="92"/>
      <c r="JUX357" s="92"/>
      <c r="JUY357" s="92"/>
      <c r="JUZ357" s="92"/>
      <c r="JVA357" s="92"/>
      <c r="JVB357" s="92"/>
      <c r="JVC357" s="92"/>
      <c r="JVD357" s="92"/>
      <c r="JVE357" s="92"/>
      <c r="JVF357" s="92"/>
      <c r="JVG357" s="92"/>
      <c r="JVH357" s="92"/>
      <c r="JVI357" s="92"/>
      <c r="JVJ357" s="92"/>
      <c r="JVK357" s="92"/>
      <c r="JVL357" s="92"/>
      <c r="JVM357" s="92"/>
      <c r="JVN357" s="92"/>
      <c r="JVO357" s="92"/>
      <c r="JVP357" s="92"/>
      <c r="JVQ357" s="92"/>
      <c r="JVR357" s="92"/>
      <c r="JVS357" s="92"/>
      <c r="JVT357" s="92"/>
      <c r="JVU357" s="92"/>
      <c r="JVV357" s="92"/>
      <c r="JVW357" s="92"/>
      <c r="JVX357" s="92"/>
      <c r="JVY357" s="92"/>
      <c r="JVZ357" s="92"/>
      <c r="JWA357" s="92"/>
      <c r="JWB357" s="92"/>
      <c r="JWC357" s="92"/>
      <c r="JWD357" s="92"/>
      <c r="JWE357" s="92"/>
      <c r="JWF357" s="92"/>
      <c r="JWG357" s="92"/>
      <c r="JWH357" s="92"/>
      <c r="JWI357" s="92"/>
      <c r="JWJ357" s="92"/>
      <c r="JWK357" s="92"/>
      <c r="JWL357" s="92"/>
      <c r="JWM357" s="92"/>
      <c r="JWN357" s="92"/>
      <c r="JWO357" s="92"/>
      <c r="JWP357" s="92"/>
      <c r="JWQ357" s="92"/>
      <c r="JWR357" s="92"/>
      <c r="JWS357" s="92"/>
      <c r="JWT357" s="92"/>
      <c r="JWU357" s="92"/>
      <c r="JWV357" s="92"/>
      <c r="JWW357" s="92"/>
      <c r="JWX357" s="92"/>
      <c r="JWY357" s="92"/>
      <c r="JWZ357" s="92"/>
      <c r="JXA357" s="92"/>
      <c r="JXB357" s="92"/>
      <c r="JXC357" s="92"/>
      <c r="JXD357" s="92"/>
      <c r="JXE357" s="92"/>
      <c r="JXF357" s="92"/>
      <c r="JXG357" s="92"/>
      <c r="JXH357" s="92"/>
      <c r="JXI357" s="92"/>
      <c r="JXJ357" s="92"/>
      <c r="JXK357" s="92"/>
      <c r="JXL357" s="92"/>
      <c r="JXM357" s="92"/>
      <c r="JXN357" s="92"/>
      <c r="JXO357" s="92"/>
      <c r="JXP357" s="92"/>
      <c r="JXQ357" s="92"/>
      <c r="JXR357" s="92"/>
      <c r="JXS357" s="92"/>
      <c r="JXT357" s="92"/>
      <c r="JXU357" s="92"/>
      <c r="JXV357" s="92"/>
      <c r="JXW357" s="92"/>
      <c r="JXX357" s="92"/>
      <c r="JXY357" s="92"/>
      <c r="JXZ357" s="92"/>
      <c r="JYA357" s="92"/>
      <c r="JYB357" s="92"/>
      <c r="JYC357" s="92"/>
      <c r="JYD357" s="92"/>
      <c r="JYE357" s="92"/>
      <c r="JYF357" s="92"/>
      <c r="JYG357" s="92"/>
      <c r="JYH357" s="92"/>
      <c r="JYI357" s="92"/>
      <c r="JYJ357" s="92"/>
      <c r="JYK357" s="92"/>
      <c r="JYL357" s="92"/>
      <c r="JYM357" s="92"/>
      <c r="JYN357" s="92"/>
      <c r="JYO357" s="92"/>
      <c r="JYP357" s="92"/>
      <c r="JYQ357" s="92"/>
      <c r="JYR357" s="92"/>
      <c r="JYS357" s="92"/>
      <c r="JYT357" s="92"/>
      <c r="JYU357" s="92"/>
      <c r="JYV357" s="92"/>
      <c r="JYW357" s="92"/>
      <c r="JYX357" s="92"/>
      <c r="JYY357" s="92"/>
      <c r="JYZ357" s="92"/>
      <c r="JZA357" s="92"/>
      <c r="JZB357" s="92"/>
      <c r="JZC357" s="92"/>
      <c r="JZD357" s="92"/>
      <c r="JZE357" s="92"/>
      <c r="JZF357" s="92"/>
      <c r="JZG357" s="92"/>
      <c r="JZH357" s="92"/>
      <c r="JZI357" s="92"/>
      <c r="JZJ357" s="92"/>
      <c r="JZK357" s="92"/>
      <c r="JZL357" s="92"/>
      <c r="JZM357" s="92"/>
      <c r="JZN357" s="92"/>
      <c r="JZO357" s="92"/>
      <c r="JZP357" s="92"/>
      <c r="JZQ357" s="92"/>
      <c r="JZR357" s="92"/>
      <c r="JZS357" s="92"/>
      <c r="JZT357" s="92"/>
      <c r="JZU357" s="92"/>
      <c r="JZV357" s="92"/>
      <c r="JZW357" s="92"/>
      <c r="JZX357" s="92"/>
      <c r="JZY357" s="92"/>
      <c r="JZZ357" s="92"/>
      <c r="KAA357" s="92"/>
      <c r="KAB357" s="92"/>
      <c r="KAC357" s="92"/>
      <c r="KAD357" s="92"/>
      <c r="KAE357" s="92"/>
      <c r="KAF357" s="92"/>
      <c r="KAG357" s="92"/>
      <c r="KAH357" s="92"/>
      <c r="KAI357" s="92"/>
      <c r="KAJ357" s="92"/>
      <c r="KAK357" s="92"/>
      <c r="KAL357" s="92"/>
      <c r="KAM357" s="92"/>
      <c r="KAN357" s="92"/>
      <c r="KAO357" s="92"/>
      <c r="KAP357" s="92"/>
      <c r="KAQ357" s="92"/>
      <c r="KAR357" s="92"/>
      <c r="KAS357" s="92"/>
      <c r="KAT357" s="92"/>
      <c r="KAU357" s="92"/>
      <c r="KAV357" s="92"/>
      <c r="KAW357" s="92"/>
      <c r="KAX357" s="92"/>
      <c r="KAY357" s="92"/>
      <c r="KAZ357" s="92"/>
      <c r="KBA357" s="92"/>
      <c r="KBB357" s="92"/>
      <c r="KBC357" s="92"/>
      <c r="KBD357" s="92"/>
      <c r="KBE357" s="92"/>
      <c r="KBF357" s="92"/>
      <c r="KBG357" s="92"/>
      <c r="KBH357" s="92"/>
      <c r="KBI357" s="92"/>
      <c r="KBJ357" s="92"/>
      <c r="KBK357" s="92"/>
      <c r="KBL357" s="92"/>
      <c r="KBM357" s="92"/>
      <c r="KBN357" s="92"/>
      <c r="KBO357" s="92"/>
      <c r="KBP357" s="92"/>
      <c r="KBQ357" s="92"/>
      <c r="KBR357" s="92"/>
      <c r="KBS357" s="92"/>
      <c r="KBT357" s="92"/>
      <c r="KBU357" s="92"/>
      <c r="KBV357" s="92"/>
      <c r="KBW357" s="92"/>
      <c r="KBX357" s="92"/>
      <c r="KBY357" s="92"/>
      <c r="KBZ357" s="92"/>
      <c r="KCA357" s="92"/>
      <c r="KCB357" s="92"/>
      <c r="KCC357" s="92"/>
      <c r="KCD357" s="92"/>
      <c r="KCE357" s="92"/>
      <c r="KCF357" s="92"/>
      <c r="KCG357" s="92"/>
      <c r="KCH357" s="92"/>
      <c r="KCI357" s="92"/>
      <c r="KCJ357" s="92"/>
      <c r="KCK357" s="92"/>
      <c r="KCL357" s="92"/>
      <c r="KCM357" s="92"/>
      <c r="KCN357" s="92"/>
      <c r="KCO357" s="92"/>
      <c r="KCP357" s="92"/>
      <c r="KCQ357" s="92"/>
      <c r="KCR357" s="92"/>
      <c r="KCS357" s="92"/>
      <c r="KCT357" s="92"/>
      <c r="KCU357" s="92"/>
      <c r="KCV357" s="92"/>
      <c r="KCW357" s="92"/>
      <c r="KCX357" s="92"/>
      <c r="KCY357" s="92"/>
      <c r="KCZ357" s="92"/>
      <c r="KDA357" s="92"/>
      <c r="KDB357" s="92"/>
      <c r="KDC357" s="92"/>
      <c r="KDD357" s="92"/>
      <c r="KDE357" s="92"/>
      <c r="KDF357" s="92"/>
      <c r="KDG357" s="92"/>
      <c r="KDH357" s="92"/>
      <c r="KDI357" s="92"/>
      <c r="KDJ357" s="92"/>
      <c r="KDK357" s="92"/>
      <c r="KDL357" s="92"/>
      <c r="KDM357" s="92"/>
      <c r="KDN357" s="92"/>
      <c r="KDO357" s="92"/>
      <c r="KDP357" s="92"/>
      <c r="KDQ357" s="92"/>
      <c r="KDR357" s="92"/>
      <c r="KDS357" s="92"/>
      <c r="KDT357" s="92"/>
      <c r="KDU357" s="92"/>
      <c r="KDV357" s="92"/>
      <c r="KDW357" s="92"/>
      <c r="KDX357" s="92"/>
      <c r="KDY357" s="92"/>
      <c r="KDZ357" s="92"/>
      <c r="KEA357" s="92"/>
      <c r="KEB357" s="92"/>
      <c r="KEC357" s="92"/>
      <c r="KED357" s="92"/>
      <c r="KEE357" s="92"/>
      <c r="KEF357" s="92"/>
      <c r="KEG357" s="92"/>
      <c r="KEH357" s="92"/>
      <c r="KEI357" s="92"/>
      <c r="KEJ357" s="92"/>
      <c r="KEK357" s="92"/>
      <c r="KEL357" s="92"/>
      <c r="KEM357" s="92"/>
      <c r="KEN357" s="92"/>
      <c r="KEO357" s="92"/>
      <c r="KEP357" s="92"/>
      <c r="KEQ357" s="92"/>
      <c r="KER357" s="92"/>
      <c r="KES357" s="92"/>
      <c r="KET357" s="92"/>
      <c r="KEU357" s="92"/>
      <c r="KEV357" s="92"/>
      <c r="KEW357" s="92"/>
      <c r="KEX357" s="92"/>
      <c r="KEY357" s="92"/>
      <c r="KEZ357" s="92"/>
      <c r="KFA357" s="92"/>
      <c r="KFB357" s="92"/>
      <c r="KFC357" s="92"/>
      <c r="KFD357" s="92"/>
      <c r="KFE357" s="92"/>
      <c r="KFF357" s="92"/>
      <c r="KFG357" s="92"/>
      <c r="KFH357" s="92"/>
      <c r="KFI357" s="92"/>
      <c r="KFJ357" s="92"/>
      <c r="KFK357" s="92"/>
      <c r="KFL357" s="92"/>
      <c r="KFM357" s="92"/>
      <c r="KFN357" s="92"/>
      <c r="KFO357" s="92"/>
      <c r="KFP357" s="92"/>
      <c r="KFQ357" s="92"/>
      <c r="KFR357" s="92"/>
      <c r="KFS357" s="92"/>
      <c r="KFT357" s="92"/>
      <c r="KFU357" s="92"/>
      <c r="KFV357" s="92"/>
      <c r="KFW357" s="92"/>
      <c r="KFX357" s="92"/>
      <c r="KFY357" s="92"/>
      <c r="KFZ357" s="92"/>
      <c r="KGA357" s="92"/>
      <c r="KGB357" s="92"/>
      <c r="KGC357" s="92"/>
      <c r="KGD357" s="92"/>
      <c r="KGE357" s="92"/>
      <c r="KGF357" s="92"/>
      <c r="KGG357" s="92"/>
      <c r="KGH357" s="92"/>
      <c r="KGI357" s="92"/>
      <c r="KGJ357" s="92"/>
      <c r="KGK357" s="92"/>
      <c r="KGL357" s="92"/>
      <c r="KGM357" s="92"/>
      <c r="KGN357" s="92"/>
      <c r="KGO357" s="92"/>
      <c r="KGP357" s="92"/>
      <c r="KGQ357" s="92"/>
      <c r="KGR357" s="92"/>
      <c r="KGS357" s="92"/>
      <c r="KGT357" s="92"/>
      <c r="KGU357" s="92"/>
      <c r="KGV357" s="92"/>
      <c r="KGW357" s="92"/>
      <c r="KGX357" s="92"/>
      <c r="KGY357" s="92"/>
      <c r="KGZ357" s="92"/>
      <c r="KHA357" s="92"/>
      <c r="KHB357" s="92"/>
      <c r="KHC357" s="92"/>
      <c r="KHD357" s="92"/>
      <c r="KHE357" s="92"/>
      <c r="KHF357" s="92"/>
      <c r="KHG357" s="92"/>
      <c r="KHH357" s="92"/>
      <c r="KHI357" s="92"/>
      <c r="KHJ357" s="92"/>
      <c r="KHK357" s="92"/>
      <c r="KHL357" s="92"/>
      <c r="KHM357" s="92"/>
      <c r="KHN357" s="92"/>
      <c r="KHO357" s="92"/>
      <c r="KHP357" s="92"/>
      <c r="KHQ357" s="92"/>
      <c r="KHR357" s="92"/>
      <c r="KHS357" s="92"/>
      <c r="KHT357" s="92"/>
      <c r="KHU357" s="92"/>
      <c r="KHV357" s="92"/>
      <c r="KHW357" s="92"/>
      <c r="KHX357" s="92"/>
      <c r="KHY357" s="92"/>
      <c r="KHZ357" s="92"/>
      <c r="KIA357" s="92"/>
      <c r="KIB357" s="92"/>
      <c r="KIC357" s="92"/>
      <c r="KID357" s="92"/>
      <c r="KIE357" s="92"/>
      <c r="KIF357" s="92"/>
      <c r="KIG357" s="92"/>
      <c r="KIH357" s="92"/>
      <c r="KII357" s="92"/>
      <c r="KIJ357" s="92"/>
      <c r="KIK357" s="92"/>
      <c r="KIL357" s="92"/>
      <c r="KIM357" s="92"/>
      <c r="KIN357" s="92"/>
      <c r="KIO357" s="92"/>
      <c r="KIP357" s="92"/>
      <c r="KIQ357" s="92"/>
      <c r="KIR357" s="92"/>
      <c r="KIS357" s="92"/>
      <c r="KIT357" s="92"/>
      <c r="KIU357" s="92"/>
      <c r="KIV357" s="92"/>
      <c r="KIW357" s="92"/>
      <c r="KIX357" s="92"/>
      <c r="KIY357" s="92"/>
      <c r="KIZ357" s="92"/>
      <c r="KJA357" s="92"/>
      <c r="KJB357" s="92"/>
      <c r="KJC357" s="92"/>
      <c r="KJD357" s="92"/>
      <c r="KJE357" s="92"/>
      <c r="KJF357" s="92"/>
      <c r="KJG357" s="92"/>
      <c r="KJH357" s="92"/>
      <c r="KJI357" s="92"/>
      <c r="KJJ357" s="92"/>
      <c r="KJK357" s="92"/>
      <c r="KJL357" s="92"/>
      <c r="KJM357" s="92"/>
      <c r="KJN357" s="92"/>
      <c r="KJO357" s="92"/>
      <c r="KJP357" s="92"/>
      <c r="KJQ357" s="92"/>
      <c r="KJR357" s="92"/>
      <c r="KJS357" s="92"/>
      <c r="KJT357" s="92"/>
      <c r="KJU357" s="92"/>
      <c r="KJV357" s="92"/>
      <c r="KJW357" s="92"/>
      <c r="KJX357" s="92"/>
      <c r="KJY357" s="92"/>
      <c r="KJZ357" s="92"/>
      <c r="KKA357" s="92"/>
      <c r="KKB357" s="92"/>
      <c r="KKC357" s="92"/>
      <c r="KKD357" s="92"/>
      <c r="KKE357" s="92"/>
      <c r="KKF357" s="92"/>
      <c r="KKG357" s="92"/>
      <c r="KKH357" s="92"/>
      <c r="KKI357" s="92"/>
      <c r="KKJ357" s="92"/>
      <c r="KKK357" s="92"/>
      <c r="KKL357" s="92"/>
      <c r="KKM357" s="92"/>
      <c r="KKN357" s="92"/>
      <c r="KKO357" s="92"/>
      <c r="KKP357" s="92"/>
      <c r="KKQ357" s="92"/>
      <c r="KKR357" s="92"/>
      <c r="KKS357" s="92"/>
      <c r="KKT357" s="92"/>
      <c r="KKU357" s="92"/>
      <c r="KKV357" s="92"/>
      <c r="KKW357" s="92"/>
      <c r="KKX357" s="92"/>
      <c r="KKY357" s="92"/>
      <c r="KKZ357" s="92"/>
      <c r="KLA357" s="92"/>
      <c r="KLB357" s="92"/>
      <c r="KLC357" s="92"/>
      <c r="KLD357" s="92"/>
      <c r="KLE357" s="92"/>
      <c r="KLF357" s="92"/>
      <c r="KLG357" s="92"/>
      <c r="KLH357" s="92"/>
      <c r="KLI357" s="92"/>
      <c r="KLJ357" s="92"/>
      <c r="KLK357" s="92"/>
      <c r="KLL357" s="92"/>
      <c r="KLM357" s="92"/>
      <c r="KLN357" s="92"/>
      <c r="KLO357" s="92"/>
      <c r="KLP357" s="92"/>
      <c r="KLQ357" s="92"/>
      <c r="KLR357" s="92"/>
      <c r="KLS357" s="92"/>
      <c r="KLT357" s="92"/>
      <c r="KLU357" s="92"/>
      <c r="KLV357" s="92"/>
      <c r="KLW357" s="92"/>
      <c r="KLX357" s="92"/>
      <c r="KLY357" s="92"/>
      <c r="KLZ357" s="92"/>
      <c r="KMA357" s="92"/>
      <c r="KMB357" s="92"/>
      <c r="KMC357" s="92"/>
      <c r="KMD357" s="92"/>
      <c r="KME357" s="92"/>
      <c r="KMF357" s="92"/>
      <c r="KMG357" s="92"/>
      <c r="KMH357" s="92"/>
      <c r="KMI357" s="92"/>
      <c r="KMJ357" s="92"/>
      <c r="KMK357" s="92"/>
      <c r="KML357" s="92"/>
      <c r="KMM357" s="92"/>
      <c r="KMN357" s="92"/>
      <c r="KMO357" s="92"/>
      <c r="KMP357" s="92"/>
      <c r="KMQ357" s="92"/>
      <c r="KMR357" s="92"/>
      <c r="KMS357" s="92"/>
      <c r="KMT357" s="92"/>
      <c r="KMU357" s="92"/>
      <c r="KMV357" s="92"/>
      <c r="KMW357" s="92"/>
      <c r="KMX357" s="92"/>
      <c r="KMY357" s="92"/>
      <c r="KMZ357" s="92"/>
      <c r="KNA357" s="92"/>
      <c r="KNB357" s="92"/>
      <c r="KNC357" s="92"/>
      <c r="KND357" s="92"/>
      <c r="KNE357" s="92"/>
      <c r="KNF357" s="92"/>
      <c r="KNG357" s="92"/>
      <c r="KNH357" s="92"/>
      <c r="KNI357" s="92"/>
      <c r="KNJ357" s="92"/>
      <c r="KNK357" s="92"/>
      <c r="KNL357" s="92"/>
      <c r="KNM357" s="92"/>
      <c r="KNN357" s="92"/>
      <c r="KNO357" s="92"/>
      <c r="KNP357" s="92"/>
      <c r="KNQ357" s="92"/>
      <c r="KNR357" s="92"/>
      <c r="KNS357" s="92"/>
      <c r="KNT357" s="92"/>
      <c r="KNU357" s="92"/>
      <c r="KNV357" s="92"/>
      <c r="KNW357" s="92"/>
      <c r="KNX357" s="92"/>
      <c r="KNY357" s="92"/>
      <c r="KNZ357" s="92"/>
      <c r="KOA357" s="92"/>
      <c r="KOB357" s="92"/>
      <c r="KOC357" s="92"/>
      <c r="KOD357" s="92"/>
      <c r="KOE357" s="92"/>
      <c r="KOF357" s="92"/>
      <c r="KOG357" s="92"/>
      <c r="KOH357" s="92"/>
      <c r="KOI357" s="92"/>
      <c r="KOJ357" s="92"/>
      <c r="KOK357" s="92"/>
      <c r="KOL357" s="92"/>
      <c r="KOM357" s="92"/>
      <c r="KON357" s="92"/>
      <c r="KOO357" s="92"/>
      <c r="KOP357" s="92"/>
      <c r="KOQ357" s="92"/>
      <c r="KOR357" s="92"/>
      <c r="KOS357" s="92"/>
      <c r="KOT357" s="92"/>
      <c r="KOU357" s="92"/>
      <c r="KOV357" s="92"/>
      <c r="KOW357" s="92"/>
      <c r="KOX357" s="92"/>
      <c r="KOY357" s="92"/>
      <c r="KOZ357" s="92"/>
      <c r="KPA357" s="92"/>
      <c r="KPB357" s="92"/>
      <c r="KPC357" s="92"/>
      <c r="KPD357" s="92"/>
      <c r="KPE357" s="92"/>
      <c r="KPF357" s="92"/>
      <c r="KPG357" s="92"/>
      <c r="KPH357" s="92"/>
      <c r="KPI357" s="92"/>
      <c r="KPJ357" s="92"/>
      <c r="KPK357" s="92"/>
      <c r="KPL357" s="92"/>
      <c r="KPM357" s="92"/>
      <c r="KPN357" s="92"/>
      <c r="KPO357" s="92"/>
      <c r="KPP357" s="92"/>
      <c r="KPQ357" s="92"/>
      <c r="KPR357" s="92"/>
      <c r="KPS357" s="92"/>
      <c r="KPT357" s="92"/>
      <c r="KPU357" s="92"/>
      <c r="KPV357" s="92"/>
      <c r="KPW357" s="92"/>
      <c r="KPX357" s="92"/>
      <c r="KPY357" s="92"/>
      <c r="KPZ357" s="92"/>
      <c r="KQA357" s="92"/>
      <c r="KQB357" s="92"/>
      <c r="KQC357" s="92"/>
      <c r="KQD357" s="92"/>
      <c r="KQE357" s="92"/>
      <c r="KQF357" s="92"/>
      <c r="KQG357" s="92"/>
      <c r="KQH357" s="92"/>
      <c r="KQI357" s="92"/>
      <c r="KQJ357" s="92"/>
      <c r="KQK357" s="92"/>
      <c r="KQL357" s="92"/>
      <c r="KQM357" s="92"/>
      <c r="KQN357" s="92"/>
      <c r="KQO357" s="92"/>
      <c r="KQP357" s="92"/>
      <c r="KQQ357" s="92"/>
      <c r="KQR357" s="92"/>
      <c r="KQS357" s="92"/>
      <c r="KQT357" s="92"/>
      <c r="KQU357" s="92"/>
      <c r="KQV357" s="92"/>
      <c r="KQW357" s="92"/>
      <c r="KQX357" s="92"/>
      <c r="KQY357" s="92"/>
      <c r="KQZ357" s="92"/>
      <c r="KRA357" s="92"/>
      <c r="KRB357" s="92"/>
      <c r="KRC357" s="92"/>
      <c r="KRD357" s="92"/>
      <c r="KRE357" s="92"/>
      <c r="KRF357" s="92"/>
      <c r="KRG357" s="92"/>
      <c r="KRH357" s="92"/>
      <c r="KRI357" s="92"/>
      <c r="KRJ357" s="92"/>
      <c r="KRK357" s="92"/>
      <c r="KRL357" s="92"/>
      <c r="KRM357" s="92"/>
      <c r="KRN357" s="92"/>
      <c r="KRO357" s="92"/>
      <c r="KRP357" s="92"/>
      <c r="KRQ357" s="92"/>
      <c r="KRR357" s="92"/>
      <c r="KRS357" s="92"/>
      <c r="KRT357" s="92"/>
      <c r="KRU357" s="92"/>
      <c r="KRV357" s="92"/>
      <c r="KRW357" s="92"/>
      <c r="KRX357" s="92"/>
      <c r="KRY357" s="92"/>
      <c r="KRZ357" s="92"/>
      <c r="KSA357" s="92"/>
      <c r="KSB357" s="92"/>
      <c r="KSC357" s="92"/>
      <c r="KSD357" s="92"/>
      <c r="KSE357" s="92"/>
      <c r="KSF357" s="92"/>
      <c r="KSG357" s="92"/>
      <c r="KSH357" s="92"/>
      <c r="KSI357" s="92"/>
      <c r="KSJ357" s="92"/>
      <c r="KSK357" s="92"/>
      <c r="KSL357" s="92"/>
      <c r="KSM357" s="92"/>
      <c r="KSN357" s="92"/>
      <c r="KSO357" s="92"/>
      <c r="KSP357" s="92"/>
      <c r="KSQ357" s="92"/>
      <c r="KSR357" s="92"/>
      <c r="KSS357" s="92"/>
      <c r="KST357" s="92"/>
      <c r="KSU357" s="92"/>
      <c r="KSV357" s="92"/>
      <c r="KSW357" s="92"/>
      <c r="KSX357" s="92"/>
      <c r="KSY357" s="92"/>
      <c r="KSZ357" s="92"/>
      <c r="KTA357" s="92"/>
      <c r="KTB357" s="92"/>
      <c r="KTC357" s="92"/>
      <c r="KTD357" s="92"/>
      <c r="KTE357" s="92"/>
      <c r="KTF357" s="92"/>
      <c r="KTG357" s="92"/>
      <c r="KTH357" s="92"/>
      <c r="KTI357" s="92"/>
      <c r="KTJ357" s="92"/>
      <c r="KTK357" s="92"/>
      <c r="KTL357" s="92"/>
      <c r="KTM357" s="92"/>
      <c r="KTN357" s="92"/>
      <c r="KTO357" s="92"/>
      <c r="KTP357" s="92"/>
      <c r="KTQ357" s="92"/>
      <c r="KTR357" s="92"/>
      <c r="KTS357" s="92"/>
      <c r="KTT357" s="92"/>
      <c r="KTU357" s="92"/>
      <c r="KTV357" s="92"/>
      <c r="KTW357" s="92"/>
      <c r="KTX357" s="92"/>
      <c r="KTY357" s="92"/>
      <c r="KTZ357" s="92"/>
      <c r="KUA357" s="92"/>
      <c r="KUB357" s="92"/>
      <c r="KUC357" s="92"/>
      <c r="KUD357" s="92"/>
      <c r="KUE357" s="92"/>
      <c r="KUF357" s="92"/>
      <c r="KUG357" s="92"/>
      <c r="KUH357" s="92"/>
      <c r="KUI357" s="92"/>
      <c r="KUJ357" s="92"/>
      <c r="KUK357" s="92"/>
      <c r="KUL357" s="92"/>
      <c r="KUM357" s="92"/>
      <c r="KUN357" s="92"/>
      <c r="KUO357" s="92"/>
      <c r="KUP357" s="92"/>
      <c r="KUQ357" s="92"/>
      <c r="KUR357" s="92"/>
      <c r="KUS357" s="92"/>
      <c r="KUT357" s="92"/>
      <c r="KUU357" s="92"/>
      <c r="KUV357" s="92"/>
      <c r="KUW357" s="92"/>
      <c r="KUX357" s="92"/>
      <c r="KUY357" s="92"/>
      <c r="KUZ357" s="92"/>
      <c r="KVA357" s="92"/>
      <c r="KVB357" s="92"/>
      <c r="KVC357" s="92"/>
      <c r="KVD357" s="92"/>
      <c r="KVE357" s="92"/>
      <c r="KVF357" s="92"/>
      <c r="KVG357" s="92"/>
      <c r="KVH357" s="92"/>
      <c r="KVI357" s="92"/>
      <c r="KVJ357" s="92"/>
      <c r="KVK357" s="92"/>
      <c r="KVL357" s="92"/>
      <c r="KVM357" s="92"/>
      <c r="KVN357" s="92"/>
      <c r="KVO357" s="92"/>
      <c r="KVP357" s="92"/>
      <c r="KVQ357" s="92"/>
      <c r="KVR357" s="92"/>
      <c r="KVS357" s="92"/>
      <c r="KVT357" s="92"/>
      <c r="KVU357" s="92"/>
      <c r="KVV357" s="92"/>
      <c r="KVW357" s="92"/>
      <c r="KVX357" s="92"/>
      <c r="KVY357" s="92"/>
      <c r="KVZ357" s="92"/>
      <c r="KWA357" s="92"/>
      <c r="KWB357" s="92"/>
      <c r="KWC357" s="92"/>
      <c r="KWD357" s="92"/>
      <c r="KWE357" s="92"/>
      <c r="KWF357" s="92"/>
      <c r="KWG357" s="92"/>
      <c r="KWH357" s="92"/>
      <c r="KWI357" s="92"/>
      <c r="KWJ357" s="92"/>
      <c r="KWK357" s="92"/>
      <c r="KWL357" s="92"/>
      <c r="KWM357" s="92"/>
      <c r="KWN357" s="92"/>
      <c r="KWO357" s="92"/>
      <c r="KWP357" s="92"/>
      <c r="KWQ357" s="92"/>
      <c r="KWR357" s="92"/>
      <c r="KWS357" s="92"/>
      <c r="KWT357" s="92"/>
      <c r="KWU357" s="92"/>
      <c r="KWV357" s="92"/>
      <c r="KWW357" s="92"/>
      <c r="KWX357" s="92"/>
      <c r="KWY357" s="92"/>
      <c r="KWZ357" s="92"/>
      <c r="KXA357" s="92"/>
      <c r="KXB357" s="92"/>
      <c r="KXC357" s="92"/>
      <c r="KXD357" s="92"/>
      <c r="KXE357" s="92"/>
      <c r="KXF357" s="92"/>
      <c r="KXG357" s="92"/>
      <c r="KXH357" s="92"/>
      <c r="KXI357" s="92"/>
      <c r="KXJ357" s="92"/>
      <c r="KXK357" s="92"/>
      <c r="KXL357" s="92"/>
      <c r="KXM357" s="92"/>
      <c r="KXN357" s="92"/>
      <c r="KXO357" s="92"/>
      <c r="KXP357" s="92"/>
      <c r="KXQ357" s="92"/>
      <c r="KXR357" s="92"/>
      <c r="KXS357" s="92"/>
      <c r="KXT357" s="92"/>
      <c r="KXU357" s="92"/>
      <c r="KXV357" s="92"/>
      <c r="KXW357" s="92"/>
      <c r="KXX357" s="92"/>
      <c r="KXY357" s="92"/>
      <c r="KXZ357" s="92"/>
      <c r="KYA357" s="92"/>
      <c r="KYB357" s="92"/>
      <c r="KYC357" s="92"/>
      <c r="KYD357" s="92"/>
      <c r="KYE357" s="92"/>
      <c r="KYF357" s="92"/>
      <c r="KYG357" s="92"/>
      <c r="KYH357" s="92"/>
      <c r="KYI357" s="92"/>
      <c r="KYJ357" s="92"/>
      <c r="KYK357" s="92"/>
      <c r="KYL357" s="92"/>
      <c r="KYM357" s="92"/>
      <c r="KYN357" s="92"/>
      <c r="KYO357" s="92"/>
      <c r="KYP357" s="92"/>
      <c r="KYQ357" s="92"/>
      <c r="KYR357" s="92"/>
      <c r="KYS357" s="92"/>
      <c r="KYT357" s="92"/>
      <c r="KYU357" s="92"/>
      <c r="KYV357" s="92"/>
      <c r="KYW357" s="92"/>
      <c r="KYX357" s="92"/>
      <c r="KYY357" s="92"/>
      <c r="KYZ357" s="92"/>
      <c r="KZA357" s="92"/>
      <c r="KZB357" s="92"/>
      <c r="KZC357" s="92"/>
      <c r="KZD357" s="92"/>
      <c r="KZE357" s="92"/>
      <c r="KZF357" s="92"/>
      <c r="KZG357" s="92"/>
      <c r="KZH357" s="92"/>
      <c r="KZI357" s="92"/>
      <c r="KZJ357" s="92"/>
      <c r="KZK357" s="92"/>
      <c r="KZL357" s="92"/>
      <c r="KZM357" s="92"/>
      <c r="KZN357" s="92"/>
      <c r="KZO357" s="92"/>
      <c r="KZP357" s="92"/>
      <c r="KZQ357" s="92"/>
      <c r="KZR357" s="92"/>
      <c r="KZS357" s="92"/>
      <c r="KZT357" s="92"/>
      <c r="KZU357" s="92"/>
      <c r="KZV357" s="92"/>
      <c r="KZW357" s="92"/>
      <c r="KZX357" s="92"/>
      <c r="KZY357" s="92"/>
      <c r="KZZ357" s="92"/>
      <c r="LAA357" s="92"/>
      <c r="LAB357" s="92"/>
      <c r="LAC357" s="92"/>
      <c r="LAD357" s="92"/>
      <c r="LAE357" s="92"/>
      <c r="LAF357" s="92"/>
      <c r="LAG357" s="92"/>
      <c r="LAH357" s="92"/>
      <c r="LAI357" s="92"/>
      <c r="LAJ357" s="92"/>
      <c r="LAK357" s="92"/>
      <c r="LAL357" s="92"/>
      <c r="LAM357" s="92"/>
      <c r="LAN357" s="92"/>
      <c r="LAO357" s="92"/>
      <c r="LAP357" s="92"/>
      <c r="LAQ357" s="92"/>
      <c r="LAR357" s="92"/>
      <c r="LAS357" s="92"/>
      <c r="LAT357" s="92"/>
      <c r="LAU357" s="92"/>
      <c r="LAV357" s="92"/>
      <c r="LAW357" s="92"/>
      <c r="LAX357" s="92"/>
      <c r="LAY357" s="92"/>
      <c r="LAZ357" s="92"/>
      <c r="LBA357" s="92"/>
      <c r="LBB357" s="92"/>
      <c r="LBC357" s="92"/>
      <c r="LBD357" s="92"/>
      <c r="LBE357" s="92"/>
      <c r="LBF357" s="92"/>
      <c r="LBG357" s="92"/>
      <c r="LBH357" s="92"/>
      <c r="LBI357" s="92"/>
      <c r="LBJ357" s="92"/>
      <c r="LBK357" s="92"/>
      <c r="LBL357" s="92"/>
      <c r="LBM357" s="92"/>
      <c r="LBN357" s="92"/>
      <c r="LBO357" s="92"/>
      <c r="LBP357" s="92"/>
      <c r="LBQ357" s="92"/>
      <c r="LBR357" s="92"/>
      <c r="LBS357" s="92"/>
      <c r="LBT357" s="92"/>
      <c r="LBU357" s="92"/>
      <c r="LBV357" s="92"/>
      <c r="LBW357" s="92"/>
      <c r="LBX357" s="92"/>
      <c r="LBY357" s="92"/>
      <c r="LBZ357" s="92"/>
      <c r="LCA357" s="92"/>
      <c r="LCB357" s="92"/>
      <c r="LCC357" s="92"/>
      <c r="LCD357" s="92"/>
      <c r="LCE357" s="92"/>
      <c r="LCF357" s="92"/>
      <c r="LCG357" s="92"/>
      <c r="LCH357" s="92"/>
      <c r="LCI357" s="92"/>
      <c r="LCJ357" s="92"/>
      <c r="LCK357" s="92"/>
      <c r="LCL357" s="92"/>
      <c r="LCM357" s="92"/>
      <c r="LCN357" s="92"/>
      <c r="LCO357" s="92"/>
      <c r="LCP357" s="92"/>
      <c r="LCQ357" s="92"/>
      <c r="LCR357" s="92"/>
      <c r="LCS357" s="92"/>
      <c r="LCT357" s="92"/>
      <c r="LCU357" s="92"/>
      <c r="LCV357" s="92"/>
      <c r="LCW357" s="92"/>
      <c r="LCX357" s="92"/>
      <c r="LCY357" s="92"/>
      <c r="LCZ357" s="92"/>
      <c r="LDA357" s="92"/>
      <c r="LDB357" s="92"/>
      <c r="LDC357" s="92"/>
      <c r="LDD357" s="92"/>
      <c r="LDE357" s="92"/>
      <c r="LDF357" s="92"/>
      <c r="LDG357" s="92"/>
      <c r="LDH357" s="92"/>
      <c r="LDI357" s="92"/>
      <c r="LDJ357" s="92"/>
      <c r="LDK357" s="92"/>
      <c r="LDL357" s="92"/>
      <c r="LDM357" s="92"/>
      <c r="LDN357" s="92"/>
      <c r="LDO357" s="92"/>
      <c r="LDP357" s="92"/>
      <c r="LDQ357" s="92"/>
      <c r="LDR357" s="92"/>
      <c r="LDS357" s="92"/>
      <c r="LDT357" s="92"/>
      <c r="LDU357" s="92"/>
      <c r="LDV357" s="92"/>
      <c r="LDW357" s="92"/>
      <c r="LDX357" s="92"/>
      <c r="LDY357" s="92"/>
      <c r="LDZ357" s="92"/>
      <c r="LEA357" s="92"/>
      <c r="LEB357" s="92"/>
      <c r="LEC357" s="92"/>
      <c r="LED357" s="92"/>
      <c r="LEE357" s="92"/>
      <c r="LEF357" s="92"/>
      <c r="LEG357" s="92"/>
      <c r="LEH357" s="92"/>
      <c r="LEI357" s="92"/>
      <c r="LEJ357" s="92"/>
      <c r="LEK357" s="92"/>
      <c r="LEL357" s="92"/>
      <c r="LEM357" s="92"/>
      <c r="LEN357" s="92"/>
      <c r="LEO357" s="92"/>
      <c r="LEP357" s="92"/>
      <c r="LEQ357" s="92"/>
      <c r="LER357" s="92"/>
      <c r="LES357" s="92"/>
      <c r="LET357" s="92"/>
      <c r="LEU357" s="92"/>
      <c r="LEV357" s="92"/>
      <c r="LEW357" s="92"/>
      <c r="LEX357" s="92"/>
      <c r="LEY357" s="92"/>
      <c r="LEZ357" s="92"/>
      <c r="LFA357" s="92"/>
      <c r="LFB357" s="92"/>
      <c r="LFC357" s="92"/>
      <c r="LFD357" s="92"/>
      <c r="LFE357" s="92"/>
      <c r="LFF357" s="92"/>
      <c r="LFG357" s="92"/>
      <c r="LFH357" s="92"/>
      <c r="LFI357" s="92"/>
      <c r="LFJ357" s="92"/>
      <c r="LFK357" s="92"/>
      <c r="LFL357" s="92"/>
      <c r="LFM357" s="92"/>
      <c r="LFN357" s="92"/>
      <c r="LFO357" s="92"/>
      <c r="LFP357" s="92"/>
      <c r="LFQ357" s="92"/>
      <c r="LFR357" s="92"/>
      <c r="LFS357" s="92"/>
      <c r="LFT357" s="92"/>
      <c r="LFU357" s="92"/>
      <c r="LFV357" s="92"/>
      <c r="LFW357" s="92"/>
      <c r="LFX357" s="92"/>
      <c r="LFY357" s="92"/>
      <c r="LFZ357" s="92"/>
      <c r="LGA357" s="92"/>
      <c r="LGB357" s="92"/>
      <c r="LGC357" s="92"/>
      <c r="LGD357" s="92"/>
      <c r="LGE357" s="92"/>
      <c r="LGF357" s="92"/>
      <c r="LGG357" s="92"/>
      <c r="LGH357" s="92"/>
      <c r="LGI357" s="92"/>
      <c r="LGJ357" s="92"/>
      <c r="LGK357" s="92"/>
      <c r="LGL357" s="92"/>
      <c r="LGM357" s="92"/>
      <c r="LGN357" s="92"/>
      <c r="LGO357" s="92"/>
      <c r="LGP357" s="92"/>
      <c r="LGQ357" s="92"/>
      <c r="LGR357" s="92"/>
      <c r="LGS357" s="92"/>
      <c r="LGT357" s="92"/>
      <c r="LGU357" s="92"/>
      <c r="LGV357" s="92"/>
      <c r="LGW357" s="92"/>
      <c r="LGX357" s="92"/>
      <c r="LGY357" s="92"/>
      <c r="LGZ357" s="92"/>
      <c r="LHA357" s="92"/>
      <c r="LHB357" s="92"/>
      <c r="LHC357" s="92"/>
      <c r="LHD357" s="92"/>
      <c r="LHE357" s="92"/>
      <c r="LHF357" s="92"/>
      <c r="LHG357" s="92"/>
      <c r="LHH357" s="92"/>
      <c r="LHI357" s="92"/>
      <c r="LHJ357" s="92"/>
      <c r="LHK357" s="92"/>
      <c r="LHL357" s="92"/>
      <c r="LHM357" s="92"/>
      <c r="LHN357" s="92"/>
      <c r="LHO357" s="92"/>
      <c r="LHP357" s="92"/>
      <c r="LHQ357" s="92"/>
      <c r="LHR357" s="92"/>
      <c r="LHS357" s="92"/>
      <c r="LHT357" s="92"/>
      <c r="LHU357" s="92"/>
      <c r="LHV357" s="92"/>
      <c r="LHW357" s="92"/>
      <c r="LHX357" s="92"/>
      <c r="LHY357" s="92"/>
      <c r="LHZ357" s="92"/>
      <c r="LIA357" s="92"/>
      <c r="LIB357" s="92"/>
      <c r="LIC357" s="92"/>
      <c r="LID357" s="92"/>
      <c r="LIE357" s="92"/>
      <c r="LIF357" s="92"/>
      <c r="LIG357" s="92"/>
      <c r="LIH357" s="92"/>
      <c r="LII357" s="92"/>
      <c r="LIJ357" s="92"/>
      <c r="LIK357" s="92"/>
      <c r="LIL357" s="92"/>
      <c r="LIM357" s="92"/>
      <c r="LIN357" s="92"/>
      <c r="LIO357" s="92"/>
      <c r="LIP357" s="92"/>
      <c r="LIQ357" s="92"/>
      <c r="LIR357" s="92"/>
      <c r="LIS357" s="92"/>
      <c r="LIT357" s="92"/>
      <c r="LIU357" s="92"/>
      <c r="LIV357" s="92"/>
      <c r="LIW357" s="92"/>
      <c r="LIX357" s="92"/>
      <c r="LIY357" s="92"/>
      <c r="LIZ357" s="92"/>
      <c r="LJA357" s="92"/>
      <c r="LJB357" s="92"/>
      <c r="LJC357" s="92"/>
      <c r="LJD357" s="92"/>
      <c r="LJE357" s="92"/>
      <c r="LJF357" s="92"/>
      <c r="LJG357" s="92"/>
      <c r="LJH357" s="92"/>
      <c r="LJI357" s="92"/>
      <c r="LJJ357" s="92"/>
      <c r="LJK357" s="92"/>
      <c r="LJL357" s="92"/>
      <c r="LJM357" s="92"/>
      <c r="LJN357" s="92"/>
      <c r="LJO357" s="92"/>
      <c r="LJP357" s="92"/>
      <c r="LJQ357" s="92"/>
      <c r="LJR357" s="92"/>
      <c r="LJS357" s="92"/>
      <c r="LJT357" s="92"/>
      <c r="LJU357" s="92"/>
      <c r="LJV357" s="92"/>
      <c r="LJW357" s="92"/>
      <c r="LJX357" s="92"/>
      <c r="LJY357" s="92"/>
      <c r="LJZ357" s="92"/>
      <c r="LKA357" s="92"/>
      <c r="LKB357" s="92"/>
      <c r="LKC357" s="92"/>
      <c r="LKD357" s="92"/>
      <c r="LKE357" s="92"/>
      <c r="LKF357" s="92"/>
      <c r="LKG357" s="92"/>
      <c r="LKH357" s="92"/>
      <c r="LKI357" s="92"/>
      <c r="LKJ357" s="92"/>
      <c r="LKK357" s="92"/>
      <c r="LKL357" s="92"/>
      <c r="LKM357" s="92"/>
      <c r="LKN357" s="92"/>
      <c r="LKO357" s="92"/>
      <c r="LKP357" s="92"/>
      <c r="LKQ357" s="92"/>
      <c r="LKR357" s="92"/>
      <c r="LKS357" s="92"/>
      <c r="LKT357" s="92"/>
      <c r="LKU357" s="92"/>
      <c r="LKV357" s="92"/>
      <c r="LKW357" s="92"/>
      <c r="LKX357" s="92"/>
      <c r="LKY357" s="92"/>
      <c r="LKZ357" s="92"/>
      <c r="LLA357" s="92"/>
      <c r="LLB357" s="92"/>
      <c r="LLC357" s="92"/>
      <c r="LLD357" s="92"/>
      <c r="LLE357" s="92"/>
      <c r="LLF357" s="92"/>
      <c r="LLG357" s="92"/>
      <c r="LLH357" s="92"/>
      <c r="LLI357" s="92"/>
      <c r="LLJ357" s="92"/>
      <c r="LLK357" s="92"/>
      <c r="LLL357" s="92"/>
      <c r="LLM357" s="92"/>
      <c r="LLN357" s="92"/>
      <c r="LLO357" s="92"/>
      <c r="LLP357" s="92"/>
      <c r="LLQ357" s="92"/>
      <c r="LLR357" s="92"/>
      <c r="LLS357" s="92"/>
      <c r="LLT357" s="92"/>
      <c r="LLU357" s="92"/>
      <c r="LLV357" s="92"/>
      <c r="LLW357" s="92"/>
      <c r="LLX357" s="92"/>
      <c r="LLY357" s="92"/>
      <c r="LLZ357" s="92"/>
      <c r="LMA357" s="92"/>
      <c r="LMB357" s="92"/>
      <c r="LMC357" s="92"/>
      <c r="LMD357" s="92"/>
      <c r="LME357" s="92"/>
      <c r="LMF357" s="92"/>
      <c r="LMG357" s="92"/>
      <c r="LMH357" s="92"/>
      <c r="LMI357" s="92"/>
      <c r="LMJ357" s="92"/>
      <c r="LMK357" s="92"/>
      <c r="LML357" s="92"/>
      <c r="LMM357" s="92"/>
      <c r="LMN357" s="92"/>
      <c r="LMO357" s="92"/>
      <c r="LMP357" s="92"/>
      <c r="LMQ357" s="92"/>
      <c r="LMR357" s="92"/>
      <c r="LMS357" s="92"/>
      <c r="LMT357" s="92"/>
      <c r="LMU357" s="92"/>
      <c r="LMV357" s="92"/>
      <c r="LMW357" s="92"/>
      <c r="LMX357" s="92"/>
      <c r="LMY357" s="92"/>
      <c r="LMZ357" s="92"/>
      <c r="LNA357" s="92"/>
      <c r="LNB357" s="92"/>
      <c r="LNC357" s="92"/>
      <c r="LND357" s="92"/>
      <c r="LNE357" s="92"/>
      <c r="LNF357" s="92"/>
      <c r="LNG357" s="92"/>
      <c r="LNH357" s="92"/>
      <c r="LNI357" s="92"/>
      <c r="LNJ357" s="92"/>
      <c r="LNK357" s="92"/>
      <c r="LNL357" s="92"/>
      <c r="LNM357" s="92"/>
      <c r="LNN357" s="92"/>
      <c r="LNO357" s="92"/>
      <c r="LNP357" s="92"/>
      <c r="LNQ357" s="92"/>
      <c r="LNR357" s="92"/>
      <c r="LNS357" s="92"/>
      <c r="LNT357" s="92"/>
      <c r="LNU357" s="92"/>
      <c r="LNV357" s="92"/>
      <c r="LNW357" s="92"/>
      <c r="LNX357" s="92"/>
      <c r="LNY357" s="92"/>
      <c r="LNZ357" s="92"/>
      <c r="LOA357" s="92"/>
      <c r="LOB357" s="92"/>
      <c r="LOC357" s="92"/>
      <c r="LOD357" s="92"/>
      <c r="LOE357" s="92"/>
      <c r="LOF357" s="92"/>
      <c r="LOG357" s="92"/>
      <c r="LOH357" s="92"/>
      <c r="LOI357" s="92"/>
      <c r="LOJ357" s="92"/>
      <c r="LOK357" s="92"/>
      <c r="LOL357" s="92"/>
      <c r="LOM357" s="92"/>
      <c r="LON357" s="92"/>
      <c r="LOO357" s="92"/>
      <c r="LOP357" s="92"/>
      <c r="LOQ357" s="92"/>
      <c r="LOR357" s="92"/>
      <c r="LOS357" s="92"/>
      <c r="LOT357" s="92"/>
      <c r="LOU357" s="92"/>
      <c r="LOV357" s="92"/>
      <c r="LOW357" s="92"/>
      <c r="LOX357" s="92"/>
      <c r="LOY357" s="92"/>
      <c r="LOZ357" s="92"/>
      <c r="LPA357" s="92"/>
      <c r="LPB357" s="92"/>
      <c r="LPC357" s="92"/>
      <c r="LPD357" s="92"/>
      <c r="LPE357" s="92"/>
      <c r="LPF357" s="92"/>
      <c r="LPG357" s="92"/>
      <c r="LPH357" s="92"/>
      <c r="LPI357" s="92"/>
      <c r="LPJ357" s="92"/>
      <c r="LPK357" s="92"/>
      <c r="LPL357" s="92"/>
      <c r="LPM357" s="92"/>
      <c r="LPN357" s="92"/>
      <c r="LPO357" s="92"/>
      <c r="LPP357" s="92"/>
      <c r="LPQ357" s="92"/>
      <c r="LPR357" s="92"/>
      <c r="LPS357" s="92"/>
      <c r="LPT357" s="92"/>
      <c r="LPU357" s="92"/>
      <c r="LPV357" s="92"/>
      <c r="LPW357" s="92"/>
      <c r="LPX357" s="92"/>
      <c r="LPY357" s="92"/>
      <c r="LPZ357" s="92"/>
      <c r="LQA357" s="92"/>
      <c r="LQB357" s="92"/>
      <c r="LQC357" s="92"/>
      <c r="LQD357" s="92"/>
      <c r="LQE357" s="92"/>
      <c r="LQF357" s="92"/>
      <c r="LQG357" s="92"/>
      <c r="LQH357" s="92"/>
      <c r="LQI357" s="92"/>
      <c r="LQJ357" s="92"/>
      <c r="LQK357" s="92"/>
      <c r="LQL357" s="92"/>
      <c r="LQM357" s="92"/>
      <c r="LQN357" s="92"/>
      <c r="LQO357" s="92"/>
      <c r="LQP357" s="92"/>
      <c r="LQQ357" s="92"/>
      <c r="LQR357" s="92"/>
      <c r="LQS357" s="92"/>
      <c r="LQT357" s="92"/>
      <c r="LQU357" s="92"/>
      <c r="LQV357" s="92"/>
      <c r="LQW357" s="92"/>
      <c r="LQX357" s="92"/>
      <c r="LQY357" s="92"/>
      <c r="LQZ357" s="92"/>
      <c r="LRA357" s="92"/>
      <c r="LRB357" s="92"/>
      <c r="LRC357" s="92"/>
      <c r="LRD357" s="92"/>
      <c r="LRE357" s="92"/>
      <c r="LRF357" s="92"/>
      <c r="LRG357" s="92"/>
      <c r="LRH357" s="92"/>
      <c r="LRI357" s="92"/>
      <c r="LRJ357" s="92"/>
      <c r="LRK357" s="92"/>
      <c r="LRL357" s="92"/>
      <c r="LRM357" s="92"/>
      <c r="LRN357" s="92"/>
      <c r="LRO357" s="92"/>
      <c r="LRP357" s="92"/>
      <c r="LRQ357" s="92"/>
      <c r="LRR357" s="92"/>
      <c r="LRS357" s="92"/>
      <c r="LRT357" s="92"/>
      <c r="LRU357" s="92"/>
      <c r="LRV357" s="92"/>
      <c r="LRW357" s="92"/>
      <c r="LRX357" s="92"/>
      <c r="LRY357" s="92"/>
      <c r="LRZ357" s="92"/>
      <c r="LSA357" s="92"/>
      <c r="LSB357" s="92"/>
      <c r="LSC357" s="92"/>
      <c r="LSD357" s="92"/>
      <c r="LSE357" s="92"/>
      <c r="LSF357" s="92"/>
      <c r="LSG357" s="92"/>
      <c r="LSH357" s="92"/>
      <c r="LSI357" s="92"/>
      <c r="LSJ357" s="92"/>
      <c r="LSK357" s="92"/>
      <c r="LSL357" s="92"/>
      <c r="LSM357" s="92"/>
      <c r="LSN357" s="92"/>
      <c r="LSO357" s="92"/>
      <c r="LSP357" s="92"/>
      <c r="LSQ357" s="92"/>
      <c r="LSR357" s="92"/>
      <c r="LSS357" s="92"/>
      <c r="LST357" s="92"/>
      <c r="LSU357" s="92"/>
      <c r="LSV357" s="92"/>
      <c r="LSW357" s="92"/>
      <c r="LSX357" s="92"/>
      <c r="LSY357" s="92"/>
      <c r="LSZ357" s="92"/>
      <c r="LTA357" s="92"/>
      <c r="LTB357" s="92"/>
      <c r="LTC357" s="92"/>
      <c r="LTD357" s="92"/>
      <c r="LTE357" s="92"/>
      <c r="LTF357" s="92"/>
      <c r="LTG357" s="92"/>
      <c r="LTH357" s="92"/>
      <c r="LTI357" s="92"/>
      <c r="LTJ357" s="92"/>
      <c r="LTK357" s="92"/>
      <c r="LTL357" s="92"/>
      <c r="LTM357" s="92"/>
      <c r="LTN357" s="92"/>
      <c r="LTO357" s="92"/>
      <c r="LTP357" s="92"/>
      <c r="LTQ357" s="92"/>
      <c r="LTR357" s="92"/>
      <c r="LTS357" s="92"/>
      <c r="LTT357" s="92"/>
      <c r="LTU357" s="92"/>
      <c r="LTV357" s="92"/>
      <c r="LTW357" s="92"/>
      <c r="LTX357" s="92"/>
      <c r="LTY357" s="92"/>
      <c r="LTZ357" s="92"/>
      <c r="LUA357" s="92"/>
      <c r="LUB357" s="92"/>
      <c r="LUC357" s="92"/>
      <c r="LUD357" s="92"/>
      <c r="LUE357" s="92"/>
      <c r="LUF357" s="92"/>
      <c r="LUG357" s="92"/>
      <c r="LUH357" s="92"/>
      <c r="LUI357" s="92"/>
      <c r="LUJ357" s="92"/>
      <c r="LUK357" s="92"/>
      <c r="LUL357" s="92"/>
      <c r="LUM357" s="92"/>
      <c r="LUN357" s="92"/>
      <c r="LUO357" s="92"/>
      <c r="LUP357" s="92"/>
      <c r="LUQ357" s="92"/>
      <c r="LUR357" s="92"/>
      <c r="LUS357" s="92"/>
      <c r="LUT357" s="92"/>
      <c r="LUU357" s="92"/>
      <c r="LUV357" s="92"/>
      <c r="LUW357" s="92"/>
      <c r="LUX357" s="92"/>
      <c r="LUY357" s="92"/>
      <c r="LUZ357" s="92"/>
      <c r="LVA357" s="92"/>
      <c r="LVB357" s="92"/>
      <c r="LVC357" s="92"/>
      <c r="LVD357" s="92"/>
      <c r="LVE357" s="92"/>
      <c r="LVF357" s="92"/>
      <c r="LVG357" s="92"/>
      <c r="LVH357" s="92"/>
      <c r="LVI357" s="92"/>
      <c r="LVJ357" s="92"/>
      <c r="LVK357" s="92"/>
      <c r="LVL357" s="92"/>
      <c r="LVM357" s="92"/>
      <c r="LVN357" s="92"/>
      <c r="LVO357" s="92"/>
      <c r="LVP357" s="92"/>
      <c r="LVQ357" s="92"/>
      <c r="LVR357" s="92"/>
      <c r="LVS357" s="92"/>
      <c r="LVT357" s="92"/>
      <c r="LVU357" s="92"/>
      <c r="LVV357" s="92"/>
      <c r="LVW357" s="92"/>
      <c r="LVX357" s="92"/>
      <c r="LVY357" s="92"/>
      <c r="LVZ357" s="92"/>
      <c r="LWA357" s="92"/>
      <c r="LWB357" s="92"/>
      <c r="LWC357" s="92"/>
      <c r="LWD357" s="92"/>
      <c r="LWE357" s="92"/>
      <c r="LWF357" s="92"/>
      <c r="LWG357" s="92"/>
      <c r="LWH357" s="92"/>
      <c r="LWI357" s="92"/>
      <c r="LWJ357" s="92"/>
      <c r="LWK357" s="92"/>
      <c r="LWL357" s="92"/>
      <c r="LWM357" s="92"/>
      <c r="LWN357" s="92"/>
      <c r="LWO357" s="92"/>
      <c r="LWP357" s="92"/>
      <c r="LWQ357" s="92"/>
      <c r="LWR357" s="92"/>
      <c r="LWS357" s="92"/>
      <c r="LWT357" s="92"/>
      <c r="LWU357" s="92"/>
      <c r="LWV357" s="92"/>
      <c r="LWW357" s="92"/>
      <c r="LWX357" s="92"/>
      <c r="LWY357" s="92"/>
      <c r="LWZ357" s="92"/>
      <c r="LXA357" s="92"/>
      <c r="LXB357" s="92"/>
      <c r="LXC357" s="92"/>
      <c r="LXD357" s="92"/>
      <c r="LXE357" s="92"/>
      <c r="LXF357" s="92"/>
      <c r="LXG357" s="92"/>
      <c r="LXH357" s="92"/>
      <c r="LXI357" s="92"/>
      <c r="LXJ357" s="92"/>
      <c r="LXK357" s="92"/>
      <c r="LXL357" s="92"/>
      <c r="LXM357" s="92"/>
      <c r="LXN357" s="92"/>
      <c r="LXO357" s="92"/>
      <c r="LXP357" s="92"/>
      <c r="LXQ357" s="92"/>
      <c r="LXR357" s="92"/>
      <c r="LXS357" s="92"/>
      <c r="LXT357" s="92"/>
      <c r="LXU357" s="92"/>
      <c r="LXV357" s="92"/>
      <c r="LXW357" s="92"/>
      <c r="LXX357" s="92"/>
      <c r="LXY357" s="92"/>
      <c r="LXZ357" s="92"/>
      <c r="LYA357" s="92"/>
      <c r="LYB357" s="92"/>
      <c r="LYC357" s="92"/>
      <c r="LYD357" s="92"/>
      <c r="LYE357" s="92"/>
      <c r="LYF357" s="92"/>
      <c r="LYG357" s="92"/>
      <c r="LYH357" s="92"/>
      <c r="LYI357" s="92"/>
      <c r="LYJ357" s="92"/>
      <c r="LYK357" s="92"/>
      <c r="LYL357" s="92"/>
      <c r="LYM357" s="92"/>
      <c r="LYN357" s="92"/>
      <c r="LYO357" s="92"/>
      <c r="LYP357" s="92"/>
      <c r="LYQ357" s="92"/>
      <c r="LYR357" s="92"/>
      <c r="LYS357" s="92"/>
      <c r="LYT357" s="92"/>
      <c r="LYU357" s="92"/>
      <c r="LYV357" s="92"/>
      <c r="LYW357" s="92"/>
      <c r="LYX357" s="92"/>
      <c r="LYY357" s="92"/>
      <c r="LYZ357" s="92"/>
      <c r="LZA357" s="92"/>
      <c r="LZB357" s="92"/>
      <c r="LZC357" s="92"/>
      <c r="LZD357" s="92"/>
      <c r="LZE357" s="92"/>
      <c r="LZF357" s="92"/>
      <c r="LZG357" s="92"/>
      <c r="LZH357" s="92"/>
      <c r="LZI357" s="92"/>
      <c r="LZJ357" s="92"/>
      <c r="LZK357" s="92"/>
      <c r="LZL357" s="92"/>
      <c r="LZM357" s="92"/>
      <c r="LZN357" s="92"/>
      <c r="LZO357" s="92"/>
      <c r="LZP357" s="92"/>
      <c r="LZQ357" s="92"/>
      <c r="LZR357" s="92"/>
      <c r="LZS357" s="92"/>
      <c r="LZT357" s="92"/>
      <c r="LZU357" s="92"/>
      <c r="LZV357" s="92"/>
      <c r="LZW357" s="92"/>
      <c r="LZX357" s="92"/>
      <c r="LZY357" s="92"/>
      <c r="LZZ357" s="92"/>
      <c r="MAA357" s="92"/>
      <c r="MAB357" s="92"/>
      <c r="MAC357" s="92"/>
      <c r="MAD357" s="92"/>
      <c r="MAE357" s="92"/>
      <c r="MAF357" s="92"/>
      <c r="MAG357" s="92"/>
      <c r="MAH357" s="92"/>
      <c r="MAI357" s="92"/>
      <c r="MAJ357" s="92"/>
      <c r="MAK357" s="92"/>
      <c r="MAL357" s="92"/>
      <c r="MAM357" s="92"/>
      <c r="MAN357" s="92"/>
      <c r="MAO357" s="92"/>
      <c r="MAP357" s="92"/>
      <c r="MAQ357" s="92"/>
      <c r="MAR357" s="92"/>
      <c r="MAS357" s="92"/>
      <c r="MAT357" s="92"/>
      <c r="MAU357" s="92"/>
      <c r="MAV357" s="92"/>
      <c r="MAW357" s="92"/>
      <c r="MAX357" s="92"/>
      <c r="MAY357" s="92"/>
      <c r="MAZ357" s="92"/>
      <c r="MBA357" s="92"/>
      <c r="MBB357" s="92"/>
      <c r="MBC357" s="92"/>
      <c r="MBD357" s="92"/>
      <c r="MBE357" s="92"/>
      <c r="MBF357" s="92"/>
      <c r="MBG357" s="92"/>
      <c r="MBH357" s="92"/>
      <c r="MBI357" s="92"/>
      <c r="MBJ357" s="92"/>
      <c r="MBK357" s="92"/>
      <c r="MBL357" s="92"/>
      <c r="MBM357" s="92"/>
      <c r="MBN357" s="92"/>
      <c r="MBO357" s="92"/>
      <c r="MBP357" s="92"/>
      <c r="MBQ357" s="92"/>
      <c r="MBR357" s="92"/>
      <c r="MBS357" s="92"/>
      <c r="MBT357" s="92"/>
      <c r="MBU357" s="92"/>
      <c r="MBV357" s="92"/>
      <c r="MBW357" s="92"/>
      <c r="MBX357" s="92"/>
      <c r="MBY357" s="92"/>
      <c r="MBZ357" s="92"/>
      <c r="MCA357" s="92"/>
      <c r="MCB357" s="92"/>
      <c r="MCC357" s="92"/>
      <c r="MCD357" s="92"/>
      <c r="MCE357" s="92"/>
      <c r="MCF357" s="92"/>
      <c r="MCG357" s="92"/>
      <c r="MCH357" s="92"/>
      <c r="MCI357" s="92"/>
      <c r="MCJ357" s="92"/>
      <c r="MCK357" s="92"/>
      <c r="MCL357" s="92"/>
      <c r="MCM357" s="92"/>
      <c r="MCN357" s="92"/>
      <c r="MCO357" s="92"/>
      <c r="MCP357" s="92"/>
      <c r="MCQ357" s="92"/>
      <c r="MCR357" s="92"/>
      <c r="MCS357" s="92"/>
      <c r="MCT357" s="92"/>
      <c r="MCU357" s="92"/>
      <c r="MCV357" s="92"/>
      <c r="MCW357" s="92"/>
      <c r="MCX357" s="92"/>
      <c r="MCY357" s="92"/>
      <c r="MCZ357" s="92"/>
      <c r="MDA357" s="92"/>
      <c r="MDB357" s="92"/>
      <c r="MDC357" s="92"/>
      <c r="MDD357" s="92"/>
      <c r="MDE357" s="92"/>
      <c r="MDF357" s="92"/>
      <c r="MDG357" s="92"/>
      <c r="MDH357" s="92"/>
      <c r="MDI357" s="92"/>
      <c r="MDJ357" s="92"/>
      <c r="MDK357" s="92"/>
      <c r="MDL357" s="92"/>
      <c r="MDM357" s="92"/>
      <c r="MDN357" s="92"/>
      <c r="MDO357" s="92"/>
      <c r="MDP357" s="92"/>
      <c r="MDQ357" s="92"/>
      <c r="MDR357" s="92"/>
      <c r="MDS357" s="92"/>
      <c r="MDT357" s="92"/>
      <c r="MDU357" s="92"/>
      <c r="MDV357" s="92"/>
      <c r="MDW357" s="92"/>
      <c r="MDX357" s="92"/>
      <c r="MDY357" s="92"/>
      <c r="MDZ357" s="92"/>
      <c r="MEA357" s="92"/>
      <c r="MEB357" s="92"/>
      <c r="MEC357" s="92"/>
      <c r="MED357" s="92"/>
      <c r="MEE357" s="92"/>
      <c r="MEF357" s="92"/>
      <c r="MEG357" s="92"/>
      <c r="MEH357" s="92"/>
      <c r="MEI357" s="92"/>
      <c r="MEJ357" s="92"/>
      <c r="MEK357" s="92"/>
      <c r="MEL357" s="92"/>
      <c r="MEM357" s="92"/>
      <c r="MEN357" s="92"/>
      <c r="MEO357" s="92"/>
      <c r="MEP357" s="92"/>
      <c r="MEQ357" s="92"/>
      <c r="MER357" s="92"/>
      <c r="MES357" s="92"/>
      <c r="MET357" s="92"/>
      <c r="MEU357" s="92"/>
      <c r="MEV357" s="92"/>
      <c r="MEW357" s="92"/>
      <c r="MEX357" s="92"/>
      <c r="MEY357" s="92"/>
      <c r="MEZ357" s="92"/>
      <c r="MFA357" s="92"/>
      <c r="MFB357" s="92"/>
      <c r="MFC357" s="92"/>
      <c r="MFD357" s="92"/>
      <c r="MFE357" s="92"/>
      <c r="MFF357" s="92"/>
      <c r="MFG357" s="92"/>
      <c r="MFH357" s="92"/>
      <c r="MFI357" s="92"/>
      <c r="MFJ357" s="92"/>
      <c r="MFK357" s="92"/>
      <c r="MFL357" s="92"/>
      <c r="MFM357" s="92"/>
      <c r="MFN357" s="92"/>
      <c r="MFO357" s="92"/>
      <c r="MFP357" s="92"/>
      <c r="MFQ357" s="92"/>
      <c r="MFR357" s="92"/>
      <c r="MFS357" s="92"/>
      <c r="MFT357" s="92"/>
      <c r="MFU357" s="92"/>
      <c r="MFV357" s="92"/>
      <c r="MFW357" s="92"/>
      <c r="MFX357" s="92"/>
      <c r="MFY357" s="92"/>
      <c r="MFZ357" s="92"/>
      <c r="MGA357" s="92"/>
      <c r="MGB357" s="92"/>
      <c r="MGC357" s="92"/>
      <c r="MGD357" s="92"/>
      <c r="MGE357" s="92"/>
      <c r="MGF357" s="92"/>
      <c r="MGG357" s="92"/>
      <c r="MGH357" s="92"/>
      <c r="MGI357" s="92"/>
      <c r="MGJ357" s="92"/>
      <c r="MGK357" s="92"/>
      <c r="MGL357" s="92"/>
      <c r="MGM357" s="92"/>
      <c r="MGN357" s="92"/>
      <c r="MGO357" s="92"/>
      <c r="MGP357" s="92"/>
      <c r="MGQ357" s="92"/>
      <c r="MGR357" s="92"/>
      <c r="MGS357" s="92"/>
      <c r="MGT357" s="92"/>
      <c r="MGU357" s="92"/>
      <c r="MGV357" s="92"/>
      <c r="MGW357" s="92"/>
      <c r="MGX357" s="92"/>
      <c r="MGY357" s="92"/>
      <c r="MGZ357" s="92"/>
      <c r="MHA357" s="92"/>
      <c r="MHB357" s="92"/>
      <c r="MHC357" s="92"/>
      <c r="MHD357" s="92"/>
      <c r="MHE357" s="92"/>
      <c r="MHF357" s="92"/>
      <c r="MHG357" s="92"/>
      <c r="MHH357" s="92"/>
      <c r="MHI357" s="92"/>
      <c r="MHJ357" s="92"/>
      <c r="MHK357" s="92"/>
      <c r="MHL357" s="92"/>
      <c r="MHM357" s="92"/>
      <c r="MHN357" s="92"/>
      <c r="MHO357" s="92"/>
      <c r="MHP357" s="92"/>
      <c r="MHQ357" s="92"/>
      <c r="MHR357" s="92"/>
      <c r="MHS357" s="92"/>
      <c r="MHT357" s="92"/>
      <c r="MHU357" s="92"/>
      <c r="MHV357" s="92"/>
      <c r="MHW357" s="92"/>
      <c r="MHX357" s="92"/>
      <c r="MHY357" s="92"/>
      <c r="MHZ357" s="92"/>
      <c r="MIA357" s="92"/>
      <c r="MIB357" s="92"/>
      <c r="MIC357" s="92"/>
      <c r="MID357" s="92"/>
      <c r="MIE357" s="92"/>
      <c r="MIF357" s="92"/>
      <c r="MIG357" s="92"/>
      <c r="MIH357" s="92"/>
      <c r="MII357" s="92"/>
      <c r="MIJ357" s="92"/>
      <c r="MIK357" s="92"/>
      <c r="MIL357" s="92"/>
      <c r="MIM357" s="92"/>
      <c r="MIN357" s="92"/>
      <c r="MIO357" s="92"/>
      <c r="MIP357" s="92"/>
      <c r="MIQ357" s="92"/>
      <c r="MIR357" s="92"/>
      <c r="MIS357" s="92"/>
      <c r="MIT357" s="92"/>
      <c r="MIU357" s="92"/>
      <c r="MIV357" s="92"/>
      <c r="MIW357" s="92"/>
      <c r="MIX357" s="92"/>
      <c r="MIY357" s="92"/>
      <c r="MIZ357" s="92"/>
      <c r="MJA357" s="92"/>
      <c r="MJB357" s="92"/>
      <c r="MJC357" s="92"/>
      <c r="MJD357" s="92"/>
      <c r="MJE357" s="92"/>
      <c r="MJF357" s="92"/>
      <c r="MJG357" s="92"/>
      <c r="MJH357" s="92"/>
      <c r="MJI357" s="92"/>
      <c r="MJJ357" s="92"/>
      <c r="MJK357" s="92"/>
      <c r="MJL357" s="92"/>
      <c r="MJM357" s="92"/>
      <c r="MJN357" s="92"/>
      <c r="MJO357" s="92"/>
      <c r="MJP357" s="92"/>
      <c r="MJQ357" s="92"/>
      <c r="MJR357" s="92"/>
      <c r="MJS357" s="92"/>
      <c r="MJT357" s="92"/>
      <c r="MJU357" s="92"/>
      <c r="MJV357" s="92"/>
      <c r="MJW357" s="92"/>
      <c r="MJX357" s="92"/>
      <c r="MJY357" s="92"/>
      <c r="MJZ357" s="92"/>
      <c r="MKA357" s="92"/>
      <c r="MKB357" s="92"/>
      <c r="MKC357" s="92"/>
      <c r="MKD357" s="92"/>
      <c r="MKE357" s="92"/>
      <c r="MKF357" s="92"/>
      <c r="MKG357" s="92"/>
      <c r="MKH357" s="92"/>
      <c r="MKI357" s="92"/>
      <c r="MKJ357" s="92"/>
      <c r="MKK357" s="92"/>
      <c r="MKL357" s="92"/>
      <c r="MKM357" s="92"/>
      <c r="MKN357" s="92"/>
      <c r="MKO357" s="92"/>
      <c r="MKP357" s="92"/>
      <c r="MKQ357" s="92"/>
      <c r="MKR357" s="92"/>
      <c r="MKS357" s="92"/>
      <c r="MKT357" s="92"/>
      <c r="MKU357" s="92"/>
      <c r="MKV357" s="92"/>
      <c r="MKW357" s="92"/>
      <c r="MKX357" s="92"/>
      <c r="MKY357" s="92"/>
      <c r="MKZ357" s="92"/>
      <c r="MLA357" s="92"/>
      <c r="MLB357" s="92"/>
      <c r="MLC357" s="92"/>
      <c r="MLD357" s="92"/>
      <c r="MLE357" s="92"/>
      <c r="MLF357" s="92"/>
      <c r="MLG357" s="92"/>
      <c r="MLH357" s="92"/>
      <c r="MLI357" s="92"/>
      <c r="MLJ357" s="92"/>
      <c r="MLK357" s="92"/>
      <c r="MLL357" s="92"/>
      <c r="MLM357" s="92"/>
      <c r="MLN357" s="92"/>
      <c r="MLO357" s="92"/>
      <c r="MLP357" s="92"/>
      <c r="MLQ357" s="92"/>
      <c r="MLR357" s="92"/>
      <c r="MLS357" s="92"/>
      <c r="MLT357" s="92"/>
      <c r="MLU357" s="92"/>
      <c r="MLV357" s="92"/>
      <c r="MLW357" s="92"/>
      <c r="MLX357" s="92"/>
      <c r="MLY357" s="92"/>
      <c r="MLZ357" s="92"/>
      <c r="MMA357" s="92"/>
      <c r="MMB357" s="92"/>
      <c r="MMC357" s="92"/>
      <c r="MMD357" s="92"/>
      <c r="MME357" s="92"/>
      <c r="MMF357" s="92"/>
      <c r="MMG357" s="92"/>
      <c r="MMH357" s="92"/>
      <c r="MMI357" s="92"/>
      <c r="MMJ357" s="92"/>
      <c r="MMK357" s="92"/>
      <c r="MML357" s="92"/>
      <c r="MMM357" s="92"/>
      <c r="MMN357" s="92"/>
      <c r="MMO357" s="92"/>
      <c r="MMP357" s="92"/>
      <c r="MMQ357" s="92"/>
      <c r="MMR357" s="92"/>
      <c r="MMS357" s="92"/>
      <c r="MMT357" s="92"/>
      <c r="MMU357" s="92"/>
      <c r="MMV357" s="92"/>
      <c r="MMW357" s="92"/>
      <c r="MMX357" s="92"/>
      <c r="MMY357" s="92"/>
      <c r="MMZ357" s="92"/>
      <c r="MNA357" s="92"/>
      <c r="MNB357" s="92"/>
      <c r="MNC357" s="92"/>
      <c r="MND357" s="92"/>
      <c r="MNE357" s="92"/>
      <c r="MNF357" s="92"/>
      <c r="MNG357" s="92"/>
      <c r="MNH357" s="92"/>
      <c r="MNI357" s="92"/>
      <c r="MNJ357" s="92"/>
      <c r="MNK357" s="92"/>
      <c r="MNL357" s="92"/>
      <c r="MNM357" s="92"/>
      <c r="MNN357" s="92"/>
      <c r="MNO357" s="92"/>
      <c r="MNP357" s="92"/>
      <c r="MNQ357" s="92"/>
      <c r="MNR357" s="92"/>
      <c r="MNS357" s="92"/>
      <c r="MNT357" s="92"/>
      <c r="MNU357" s="92"/>
      <c r="MNV357" s="92"/>
      <c r="MNW357" s="92"/>
      <c r="MNX357" s="92"/>
      <c r="MNY357" s="92"/>
      <c r="MNZ357" s="92"/>
      <c r="MOA357" s="92"/>
      <c r="MOB357" s="92"/>
      <c r="MOC357" s="92"/>
      <c r="MOD357" s="92"/>
      <c r="MOE357" s="92"/>
      <c r="MOF357" s="92"/>
      <c r="MOG357" s="92"/>
      <c r="MOH357" s="92"/>
      <c r="MOI357" s="92"/>
      <c r="MOJ357" s="92"/>
      <c r="MOK357" s="92"/>
      <c r="MOL357" s="92"/>
      <c r="MOM357" s="92"/>
      <c r="MON357" s="92"/>
      <c r="MOO357" s="92"/>
      <c r="MOP357" s="92"/>
      <c r="MOQ357" s="92"/>
      <c r="MOR357" s="92"/>
      <c r="MOS357" s="92"/>
      <c r="MOT357" s="92"/>
      <c r="MOU357" s="92"/>
      <c r="MOV357" s="92"/>
      <c r="MOW357" s="92"/>
      <c r="MOX357" s="92"/>
      <c r="MOY357" s="92"/>
      <c r="MOZ357" s="92"/>
      <c r="MPA357" s="92"/>
      <c r="MPB357" s="92"/>
      <c r="MPC357" s="92"/>
      <c r="MPD357" s="92"/>
      <c r="MPE357" s="92"/>
      <c r="MPF357" s="92"/>
      <c r="MPG357" s="92"/>
      <c r="MPH357" s="92"/>
      <c r="MPI357" s="92"/>
      <c r="MPJ357" s="92"/>
      <c r="MPK357" s="92"/>
      <c r="MPL357" s="92"/>
      <c r="MPM357" s="92"/>
      <c r="MPN357" s="92"/>
      <c r="MPO357" s="92"/>
      <c r="MPP357" s="92"/>
      <c r="MPQ357" s="92"/>
      <c r="MPR357" s="92"/>
      <c r="MPS357" s="92"/>
      <c r="MPT357" s="92"/>
      <c r="MPU357" s="92"/>
      <c r="MPV357" s="92"/>
      <c r="MPW357" s="92"/>
      <c r="MPX357" s="92"/>
      <c r="MPY357" s="92"/>
      <c r="MPZ357" s="92"/>
      <c r="MQA357" s="92"/>
      <c r="MQB357" s="92"/>
      <c r="MQC357" s="92"/>
      <c r="MQD357" s="92"/>
      <c r="MQE357" s="92"/>
      <c r="MQF357" s="92"/>
      <c r="MQG357" s="92"/>
      <c r="MQH357" s="92"/>
      <c r="MQI357" s="92"/>
      <c r="MQJ357" s="92"/>
      <c r="MQK357" s="92"/>
      <c r="MQL357" s="92"/>
      <c r="MQM357" s="92"/>
      <c r="MQN357" s="92"/>
      <c r="MQO357" s="92"/>
      <c r="MQP357" s="92"/>
      <c r="MQQ357" s="92"/>
      <c r="MQR357" s="92"/>
      <c r="MQS357" s="92"/>
      <c r="MQT357" s="92"/>
      <c r="MQU357" s="92"/>
      <c r="MQV357" s="92"/>
      <c r="MQW357" s="92"/>
      <c r="MQX357" s="92"/>
      <c r="MQY357" s="92"/>
      <c r="MQZ357" s="92"/>
      <c r="MRA357" s="92"/>
      <c r="MRB357" s="92"/>
      <c r="MRC357" s="92"/>
      <c r="MRD357" s="92"/>
      <c r="MRE357" s="92"/>
      <c r="MRF357" s="92"/>
      <c r="MRG357" s="92"/>
      <c r="MRH357" s="92"/>
      <c r="MRI357" s="92"/>
      <c r="MRJ357" s="92"/>
      <c r="MRK357" s="92"/>
      <c r="MRL357" s="92"/>
      <c r="MRM357" s="92"/>
      <c r="MRN357" s="92"/>
      <c r="MRO357" s="92"/>
      <c r="MRP357" s="92"/>
      <c r="MRQ357" s="92"/>
      <c r="MRR357" s="92"/>
      <c r="MRS357" s="92"/>
      <c r="MRT357" s="92"/>
      <c r="MRU357" s="92"/>
      <c r="MRV357" s="92"/>
      <c r="MRW357" s="92"/>
      <c r="MRX357" s="92"/>
      <c r="MRY357" s="92"/>
      <c r="MRZ357" s="92"/>
      <c r="MSA357" s="92"/>
      <c r="MSB357" s="92"/>
      <c r="MSC357" s="92"/>
      <c r="MSD357" s="92"/>
      <c r="MSE357" s="92"/>
      <c r="MSF357" s="92"/>
      <c r="MSG357" s="92"/>
      <c r="MSH357" s="92"/>
      <c r="MSI357" s="92"/>
      <c r="MSJ357" s="92"/>
      <c r="MSK357" s="92"/>
      <c r="MSL357" s="92"/>
      <c r="MSM357" s="92"/>
      <c r="MSN357" s="92"/>
      <c r="MSO357" s="92"/>
      <c r="MSP357" s="92"/>
      <c r="MSQ357" s="92"/>
      <c r="MSR357" s="92"/>
      <c r="MSS357" s="92"/>
      <c r="MST357" s="92"/>
      <c r="MSU357" s="92"/>
      <c r="MSV357" s="92"/>
      <c r="MSW357" s="92"/>
      <c r="MSX357" s="92"/>
      <c r="MSY357" s="92"/>
      <c r="MSZ357" s="92"/>
      <c r="MTA357" s="92"/>
      <c r="MTB357" s="92"/>
      <c r="MTC357" s="92"/>
      <c r="MTD357" s="92"/>
      <c r="MTE357" s="92"/>
      <c r="MTF357" s="92"/>
      <c r="MTG357" s="92"/>
      <c r="MTH357" s="92"/>
      <c r="MTI357" s="92"/>
      <c r="MTJ357" s="92"/>
      <c r="MTK357" s="92"/>
      <c r="MTL357" s="92"/>
      <c r="MTM357" s="92"/>
      <c r="MTN357" s="92"/>
      <c r="MTO357" s="92"/>
      <c r="MTP357" s="92"/>
      <c r="MTQ357" s="92"/>
      <c r="MTR357" s="92"/>
      <c r="MTS357" s="92"/>
      <c r="MTT357" s="92"/>
      <c r="MTU357" s="92"/>
      <c r="MTV357" s="92"/>
      <c r="MTW357" s="92"/>
      <c r="MTX357" s="92"/>
      <c r="MTY357" s="92"/>
      <c r="MTZ357" s="92"/>
      <c r="MUA357" s="92"/>
      <c r="MUB357" s="92"/>
      <c r="MUC357" s="92"/>
      <c r="MUD357" s="92"/>
      <c r="MUE357" s="92"/>
      <c r="MUF357" s="92"/>
      <c r="MUG357" s="92"/>
      <c r="MUH357" s="92"/>
      <c r="MUI357" s="92"/>
      <c r="MUJ357" s="92"/>
      <c r="MUK357" s="92"/>
      <c r="MUL357" s="92"/>
      <c r="MUM357" s="92"/>
      <c r="MUN357" s="92"/>
      <c r="MUO357" s="92"/>
      <c r="MUP357" s="92"/>
      <c r="MUQ357" s="92"/>
      <c r="MUR357" s="92"/>
      <c r="MUS357" s="92"/>
      <c r="MUT357" s="92"/>
      <c r="MUU357" s="92"/>
      <c r="MUV357" s="92"/>
      <c r="MUW357" s="92"/>
      <c r="MUX357" s="92"/>
      <c r="MUY357" s="92"/>
      <c r="MUZ357" s="92"/>
      <c r="MVA357" s="92"/>
      <c r="MVB357" s="92"/>
      <c r="MVC357" s="92"/>
      <c r="MVD357" s="92"/>
      <c r="MVE357" s="92"/>
      <c r="MVF357" s="92"/>
      <c r="MVG357" s="92"/>
      <c r="MVH357" s="92"/>
      <c r="MVI357" s="92"/>
      <c r="MVJ357" s="92"/>
      <c r="MVK357" s="92"/>
      <c r="MVL357" s="92"/>
      <c r="MVM357" s="92"/>
      <c r="MVN357" s="92"/>
      <c r="MVO357" s="92"/>
      <c r="MVP357" s="92"/>
      <c r="MVQ357" s="92"/>
      <c r="MVR357" s="92"/>
      <c r="MVS357" s="92"/>
      <c r="MVT357" s="92"/>
      <c r="MVU357" s="92"/>
      <c r="MVV357" s="92"/>
      <c r="MVW357" s="92"/>
      <c r="MVX357" s="92"/>
      <c r="MVY357" s="92"/>
      <c r="MVZ357" s="92"/>
      <c r="MWA357" s="92"/>
      <c r="MWB357" s="92"/>
      <c r="MWC357" s="92"/>
      <c r="MWD357" s="92"/>
      <c r="MWE357" s="92"/>
      <c r="MWF357" s="92"/>
      <c r="MWG357" s="92"/>
      <c r="MWH357" s="92"/>
      <c r="MWI357" s="92"/>
      <c r="MWJ357" s="92"/>
      <c r="MWK357" s="92"/>
      <c r="MWL357" s="92"/>
      <c r="MWM357" s="92"/>
      <c r="MWN357" s="92"/>
      <c r="MWO357" s="92"/>
      <c r="MWP357" s="92"/>
      <c r="MWQ357" s="92"/>
      <c r="MWR357" s="92"/>
      <c r="MWS357" s="92"/>
      <c r="MWT357" s="92"/>
      <c r="MWU357" s="92"/>
      <c r="MWV357" s="92"/>
      <c r="MWW357" s="92"/>
      <c r="MWX357" s="92"/>
      <c r="MWY357" s="92"/>
      <c r="MWZ357" s="92"/>
      <c r="MXA357" s="92"/>
      <c r="MXB357" s="92"/>
      <c r="MXC357" s="92"/>
      <c r="MXD357" s="92"/>
      <c r="MXE357" s="92"/>
      <c r="MXF357" s="92"/>
      <c r="MXG357" s="92"/>
      <c r="MXH357" s="92"/>
      <c r="MXI357" s="92"/>
      <c r="MXJ357" s="92"/>
      <c r="MXK357" s="92"/>
      <c r="MXL357" s="92"/>
      <c r="MXM357" s="92"/>
      <c r="MXN357" s="92"/>
      <c r="MXO357" s="92"/>
      <c r="MXP357" s="92"/>
      <c r="MXQ357" s="92"/>
      <c r="MXR357" s="92"/>
      <c r="MXS357" s="92"/>
      <c r="MXT357" s="92"/>
      <c r="MXU357" s="92"/>
      <c r="MXV357" s="92"/>
      <c r="MXW357" s="92"/>
      <c r="MXX357" s="92"/>
      <c r="MXY357" s="92"/>
      <c r="MXZ357" s="92"/>
      <c r="MYA357" s="92"/>
      <c r="MYB357" s="92"/>
      <c r="MYC357" s="92"/>
      <c r="MYD357" s="92"/>
      <c r="MYE357" s="92"/>
      <c r="MYF357" s="92"/>
      <c r="MYG357" s="92"/>
      <c r="MYH357" s="92"/>
      <c r="MYI357" s="92"/>
      <c r="MYJ357" s="92"/>
      <c r="MYK357" s="92"/>
      <c r="MYL357" s="92"/>
      <c r="MYM357" s="92"/>
      <c r="MYN357" s="92"/>
      <c r="MYO357" s="92"/>
      <c r="MYP357" s="92"/>
      <c r="MYQ357" s="92"/>
      <c r="MYR357" s="92"/>
      <c r="MYS357" s="92"/>
      <c r="MYT357" s="92"/>
      <c r="MYU357" s="92"/>
      <c r="MYV357" s="92"/>
      <c r="MYW357" s="92"/>
      <c r="MYX357" s="92"/>
      <c r="MYY357" s="92"/>
      <c r="MYZ357" s="92"/>
      <c r="MZA357" s="92"/>
      <c r="MZB357" s="92"/>
      <c r="MZC357" s="92"/>
      <c r="MZD357" s="92"/>
      <c r="MZE357" s="92"/>
      <c r="MZF357" s="92"/>
      <c r="MZG357" s="92"/>
      <c r="MZH357" s="92"/>
      <c r="MZI357" s="92"/>
      <c r="MZJ357" s="92"/>
      <c r="MZK357" s="92"/>
      <c r="MZL357" s="92"/>
      <c r="MZM357" s="92"/>
      <c r="MZN357" s="92"/>
      <c r="MZO357" s="92"/>
      <c r="MZP357" s="92"/>
      <c r="MZQ357" s="92"/>
      <c r="MZR357" s="92"/>
      <c r="MZS357" s="92"/>
      <c r="MZT357" s="92"/>
      <c r="MZU357" s="92"/>
      <c r="MZV357" s="92"/>
      <c r="MZW357" s="92"/>
      <c r="MZX357" s="92"/>
      <c r="MZY357" s="92"/>
      <c r="MZZ357" s="92"/>
      <c r="NAA357" s="92"/>
      <c r="NAB357" s="92"/>
      <c r="NAC357" s="92"/>
      <c r="NAD357" s="92"/>
      <c r="NAE357" s="92"/>
      <c r="NAF357" s="92"/>
      <c r="NAG357" s="92"/>
      <c r="NAH357" s="92"/>
      <c r="NAI357" s="92"/>
      <c r="NAJ357" s="92"/>
      <c r="NAK357" s="92"/>
      <c r="NAL357" s="92"/>
      <c r="NAM357" s="92"/>
      <c r="NAN357" s="92"/>
      <c r="NAO357" s="92"/>
      <c r="NAP357" s="92"/>
      <c r="NAQ357" s="92"/>
      <c r="NAR357" s="92"/>
      <c r="NAS357" s="92"/>
      <c r="NAT357" s="92"/>
      <c r="NAU357" s="92"/>
      <c r="NAV357" s="92"/>
      <c r="NAW357" s="92"/>
      <c r="NAX357" s="92"/>
      <c r="NAY357" s="92"/>
      <c r="NAZ357" s="92"/>
      <c r="NBA357" s="92"/>
      <c r="NBB357" s="92"/>
      <c r="NBC357" s="92"/>
      <c r="NBD357" s="92"/>
      <c r="NBE357" s="92"/>
      <c r="NBF357" s="92"/>
      <c r="NBG357" s="92"/>
      <c r="NBH357" s="92"/>
      <c r="NBI357" s="92"/>
      <c r="NBJ357" s="92"/>
      <c r="NBK357" s="92"/>
      <c r="NBL357" s="92"/>
      <c r="NBM357" s="92"/>
      <c r="NBN357" s="92"/>
      <c r="NBO357" s="92"/>
      <c r="NBP357" s="92"/>
      <c r="NBQ357" s="92"/>
      <c r="NBR357" s="92"/>
      <c r="NBS357" s="92"/>
      <c r="NBT357" s="92"/>
      <c r="NBU357" s="92"/>
      <c r="NBV357" s="92"/>
      <c r="NBW357" s="92"/>
      <c r="NBX357" s="92"/>
      <c r="NBY357" s="92"/>
      <c r="NBZ357" s="92"/>
      <c r="NCA357" s="92"/>
      <c r="NCB357" s="92"/>
      <c r="NCC357" s="92"/>
      <c r="NCD357" s="92"/>
      <c r="NCE357" s="92"/>
      <c r="NCF357" s="92"/>
      <c r="NCG357" s="92"/>
      <c r="NCH357" s="92"/>
      <c r="NCI357" s="92"/>
      <c r="NCJ357" s="92"/>
      <c r="NCK357" s="92"/>
      <c r="NCL357" s="92"/>
      <c r="NCM357" s="92"/>
      <c r="NCN357" s="92"/>
      <c r="NCO357" s="92"/>
      <c r="NCP357" s="92"/>
      <c r="NCQ357" s="92"/>
      <c r="NCR357" s="92"/>
      <c r="NCS357" s="92"/>
      <c r="NCT357" s="92"/>
      <c r="NCU357" s="92"/>
      <c r="NCV357" s="92"/>
      <c r="NCW357" s="92"/>
      <c r="NCX357" s="92"/>
      <c r="NCY357" s="92"/>
      <c r="NCZ357" s="92"/>
      <c r="NDA357" s="92"/>
      <c r="NDB357" s="92"/>
      <c r="NDC357" s="92"/>
      <c r="NDD357" s="92"/>
      <c r="NDE357" s="92"/>
      <c r="NDF357" s="92"/>
      <c r="NDG357" s="92"/>
      <c r="NDH357" s="92"/>
      <c r="NDI357" s="92"/>
      <c r="NDJ357" s="92"/>
      <c r="NDK357" s="92"/>
      <c r="NDL357" s="92"/>
      <c r="NDM357" s="92"/>
      <c r="NDN357" s="92"/>
      <c r="NDO357" s="92"/>
      <c r="NDP357" s="92"/>
      <c r="NDQ357" s="92"/>
      <c r="NDR357" s="92"/>
      <c r="NDS357" s="92"/>
      <c r="NDT357" s="92"/>
      <c r="NDU357" s="92"/>
      <c r="NDV357" s="92"/>
      <c r="NDW357" s="92"/>
      <c r="NDX357" s="92"/>
      <c r="NDY357" s="92"/>
      <c r="NDZ357" s="92"/>
      <c r="NEA357" s="92"/>
      <c r="NEB357" s="92"/>
      <c r="NEC357" s="92"/>
      <c r="NED357" s="92"/>
      <c r="NEE357" s="92"/>
      <c r="NEF357" s="92"/>
      <c r="NEG357" s="92"/>
      <c r="NEH357" s="92"/>
      <c r="NEI357" s="92"/>
      <c r="NEJ357" s="92"/>
      <c r="NEK357" s="92"/>
      <c r="NEL357" s="92"/>
      <c r="NEM357" s="92"/>
      <c r="NEN357" s="92"/>
      <c r="NEO357" s="92"/>
      <c r="NEP357" s="92"/>
      <c r="NEQ357" s="92"/>
      <c r="NER357" s="92"/>
      <c r="NES357" s="92"/>
      <c r="NET357" s="92"/>
      <c r="NEU357" s="92"/>
      <c r="NEV357" s="92"/>
      <c r="NEW357" s="92"/>
      <c r="NEX357" s="92"/>
      <c r="NEY357" s="92"/>
      <c r="NEZ357" s="92"/>
      <c r="NFA357" s="92"/>
      <c r="NFB357" s="92"/>
      <c r="NFC357" s="92"/>
      <c r="NFD357" s="92"/>
      <c r="NFE357" s="92"/>
      <c r="NFF357" s="92"/>
      <c r="NFG357" s="92"/>
      <c r="NFH357" s="92"/>
      <c r="NFI357" s="92"/>
      <c r="NFJ357" s="92"/>
      <c r="NFK357" s="92"/>
      <c r="NFL357" s="92"/>
      <c r="NFM357" s="92"/>
      <c r="NFN357" s="92"/>
      <c r="NFO357" s="92"/>
      <c r="NFP357" s="92"/>
      <c r="NFQ357" s="92"/>
      <c r="NFR357" s="92"/>
      <c r="NFS357" s="92"/>
      <c r="NFT357" s="92"/>
      <c r="NFU357" s="92"/>
      <c r="NFV357" s="92"/>
      <c r="NFW357" s="92"/>
      <c r="NFX357" s="92"/>
      <c r="NFY357" s="92"/>
      <c r="NFZ357" s="92"/>
      <c r="NGA357" s="92"/>
      <c r="NGB357" s="92"/>
      <c r="NGC357" s="92"/>
      <c r="NGD357" s="92"/>
      <c r="NGE357" s="92"/>
      <c r="NGF357" s="92"/>
      <c r="NGG357" s="92"/>
      <c r="NGH357" s="92"/>
      <c r="NGI357" s="92"/>
      <c r="NGJ357" s="92"/>
      <c r="NGK357" s="92"/>
      <c r="NGL357" s="92"/>
      <c r="NGM357" s="92"/>
      <c r="NGN357" s="92"/>
      <c r="NGO357" s="92"/>
      <c r="NGP357" s="92"/>
      <c r="NGQ357" s="92"/>
      <c r="NGR357" s="92"/>
      <c r="NGS357" s="92"/>
      <c r="NGT357" s="92"/>
      <c r="NGU357" s="92"/>
      <c r="NGV357" s="92"/>
      <c r="NGW357" s="92"/>
      <c r="NGX357" s="92"/>
      <c r="NGY357" s="92"/>
      <c r="NGZ357" s="92"/>
      <c r="NHA357" s="92"/>
      <c r="NHB357" s="92"/>
      <c r="NHC357" s="92"/>
      <c r="NHD357" s="92"/>
      <c r="NHE357" s="92"/>
      <c r="NHF357" s="92"/>
      <c r="NHG357" s="92"/>
      <c r="NHH357" s="92"/>
      <c r="NHI357" s="92"/>
      <c r="NHJ357" s="92"/>
      <c r="NHK357" s="92"/>
      <c r="NHL357" s="92"/>
      <c r="NHM357" s="92"/>
      <c r="NHN357" s="92"/>
      <c r="NHO357" s="92"/>
      <c r="NHP357" s="92"/>
      <c r="NHQ357" s="92"/>
      <c r="NHR357" s="92"/>
      <c r="NHS357" s="92"/>
      <c r="NHT357" s="92"/>
      <c r="NHU357" s="92"/>
      <c r="NHV357" s="92"/>
      <c r="NHW357" s="92"/>
      <c r="NHX357" s="92"/>
      <c r="NHY357" s="92"/>
      <c r="NHZ357" s="92"/>
      <c r="NIA357" s="92"/>
      <c r="NIB357" s="92"/>
      <c r="NIC357" s="92"/>
      <c r="NID357" s="92"/>
      <c r="NIE357" s="92"/>
      <c r="NIF357" s="92"/>
      <c r="NIG357" s="92"/>
      <c r="NIH357" s="92"/>
      <c r="NII357" s="92"/>
      <c r="NIJ357" s="92"/>
      <c r="NIK357" s="92"/>
      <c r="NIL357" s="92"/>
      <c r="NIM357" s="92"/>
      <c r="NIN357" s="92"/>
      <c r="NIO357" s="92"/>
      <c r="NIP357" s="92"/>
      <c r="NIQ357" s="92"/>
      <c r="NIR357" s="92"/>
      <c r="NIS357" s="92"/>
      <c r="NIT357" s="92"/>
      <c r="NIU357" s="92"/>
      <c r="NIV357" s="92"/>
      <c r="NIW357" s="92"/>
      <c r="NIX357" s="92"/>
      <c r="NIY357" s="92"/>
      <c r="NIZ357" s="92"/>
      <c r="NJA357" s="92"/>
      <c r="NJB357" s="92"/>
      <c r="NJC357" s="92"/>
      <c r="NJD357" s="92"/>
      <c r="NJE357" s="92"/>
      <c r="NJF357" s="92"/>
      <c r="NJG357" s="92"/>
      <c r="NJH357" s="92"/>
      <c r="NJI357" s="92"/>
      <c r="NJJ357" s="92"/>
      <c r="NJK357" s="92"/>
      <c r="NJL357" s="92"/>
      <c r="NJM357" s="92"/>
      <c r="NJN357" s="92"/>
      <c r="NJO357" s="92"/>
      <c r="NJP357" s="92"/>
      <c r="NJQ357" s="92"/>
      <c r="NJR357" s="92"/>
      <c r="NJS357" s="92"/>
      <c r="NJT357" s="92"/>
      <c r="NJU357" s="92"/>
      <c r="NJV357" s="92"/>
      <c r="NJW357" s="92"/>
      <c r="NJX357" s="92"/>
      <c r="NJY357" s="92"/>
      <c r="NJZ357" s="92"/>
      <c r="NKA357" s="92"/>
      <c r="NKB357" s="92"/>
      <c r="NKC357" s="92"/>
      <c r="NKD357" s="92"/>
      <c r="NKE357" s="92"/>
      <c r="NKF357" s="92"/>
      <c r="NKG357" s="92"/>
      <c r="NKH357" s="92"/>
      <c r="NKI357" s="92"/>
      <c r="NKJ357" s="92"/>
      <c r="NKK357" s="92"/>
      <c r="NKL357" s="92"/>
      <c r="NKM357" s="92"/>
      <c r="NKN357" s="92"/>
      <c r="NKO357" s="92"/>
      <c r="NKP357" s="92"/>
      <c r="NKQ357" s="92"/>
      <c r="NKR357" s="92"/>
      <c r="NKS357" s="92"/>
      <c r="NKT357" s="92"/>
      <c r="NKU357" s="92"/>
      <c r="NKV357" s="92"/>
      <c r="NKW357" s="92"/>
      <c r="NKX357" s="92"/>
      <c r="NKY357" s="92"/>
      <c r="NKZ357" s="92"/>
      <c r="NLA357" s="92"/>
      <c r="NLB357" s="92"/>
      <c r="NLC357" s="92"/>
      <c r="NLD357" s="92"/>
      <c r="NLE357" s="92"/>
      <c r="NLF357" s="92"/>
      <c r="NLG357" s="92"/>
      <c r="NLH357" s="92"/>
      <c r="NLI357" s="92"/>
      <c r="NLJ357" s="92"/>
      <c r="NLK357" s="92"/>
      <c r="NLL357" s="92"/>
      <c r="NLM357" s="92"/>
      <c r="NLN357" s="92"/>
      <c r="NLO357" s="92"/>
      <c r="NLP357" s="92"/>
      <c r="NLQ357" s="92"/>
      <c r="NLR357" s="92"/>
      <c r="NLS357" s="92"/>
      <c r="NLT357" s="92"/>
      <c r="NLU357" s="92"/>
      <c r="NLV357" s="92"/>
      <c r="NLW357" s="92"/>
      <c r="NLX357" s="92"/>
      <c r="NLY357" s="92"/>
      <c r="NLZ357" s="92"/>
      <c r="NMA357" s="92"/>
      <c r="NMB357" s="92"/>
      <c r="NMC357" s="92"/>
      <c r="NMD357" s="92"/>
      <c r="NME357" s="92"/>
      <c r="NMF357" s="92"/>
      <c r="NMG357" s="92"/>
      <c r="NMH357" s="92"/>
      <c r="NMI357" s="92"/>
      <c r="NMJ357" s="92"/>
      <c r="NMK357" s="92"/>
      <c r="NML357" s="92"/>
      <c r="NMM357" s="92"/>
      <c r="NMN357" s="92"/>
      <c r="NMO357" s="92"/>
      <c r="NMP357" s="92"/>
      <c r="NMQ357" s="92"/>
      <c r="NMR357" s="92"/>
      <c r="NMS357" s="92"/>
      <c r="NMT357" s="92"/>
      <c r="NMU357" s="92"/>
      <c r="NMV357" s="92"/>
      <c r="NMW357" s="92"/>
      <c r="NMX357" s="92"/>
      <c r="NMY357" s="92"/>
      <c r="NMZ357" s="92"/>
      <c r="NNA357" s="92"/>
      <c r="NNB357" s="92"/>
      <c r="NNC357" s="92"/>
      <c r="NND357" s="92"/>
      <c r="NNE357" s="92"/>
      <c r="NNF357" s="92"/>
      <c r="NNG357" s="92"/>
      <c r="NNH357" s="92"/>
      <c r="NNI357" s="92"/>
      <c r="NNJ357" s="92"/>
      <c r="NNK357" s="92"/>
      <c r="NNL357" s="92"/>
      <c r="NNM357" s="92"/>
      <c r="NNN357" s="92"/>
      <c r="NNO357" s="92"/>
      <c r="NNP357" s="92"/>
      <c r="NNQ357" s="92"/>
      <c r="NNR357" s="92"/>
      <c r="NNS357" s="92"/>
      <c r="NNT357" s="92"/>
      <c r="NNU357" s="92"/>
      <c r="NNV357" s="92"/>
      <c r="NNW357" s="92"/>
      <c r="NNX357" s="92"/>
      <c r="NNY357" s="92"/>
      <c r="NNZ357" s="92"/>
      <c r="NOA357" s="92"/>
      <c r="NOB357" s="92"/>
      <c r="NOC357" s="92"/>
      <c r="NOD357" s="92"/>
      <c r="NOE357" s="92"/>
      <c r="NOF357" s="92"/>
      <c r="NOG357" s="92"/>
      <c r="NOH357" s="92"/>
      <c r="NOI357" s="92"/>
      <c r="NOJ357" s="92"/>
      <c r="NOK357" s="92"/>
      <c r="NOL357" s="92"/>
      <c r="NOM357" s="92"/>
      <c r="NON357" s="92"/>
      <c r="NOO357" s="92"/>
      <c r="NOP357" s="92"/>
      <c r="NOQ357" s="92"/>
      <c r="NOR357" s="92"/>
      <c r="NOS357" s="92"/>
      <c r="NOT357" s="92"/>
      <c r="NOU357" s="92"/>
      <c r="NOV357" s="92"/>
      <c r="NOW357" s="92"/>
      <c r="NOX357" s="92"/>
      <c r="NOY357" s="92"/>
      <c r="NOZ357" s="92"/>
      <c r="NPA357" s="92"/>
      <c r="NPB357" s="92"/>
      <c r="NPC357" s="92"/>
      <c r="NPD357" s="92"/>
      <c r="NPE357" s="92"/>
      <c r="NPF357" s="92"/>
      <c r="NPG357" s="92"/>
      <c r="NPH357" s="92"/>
      <c r="NPI357" s="92"/>
      <c r="NPJ357" s="92"/>
      <c r="NPK357" s="92"/>
      <c r="NPL357" s="92"/>
      <c r="NPM357" s="92"/>
      <c r="NPN357" s="92"/>
      <c r="NPO357" s="92"/>
      <c r="NPP357" s="92"/>
      <c r="NPQ357" s="92"/>
      <c r="NPR357" s="92"/>
      <c r="NPS357" s="92"/>
      <c r="NPT357" s="92"/>
      <c r="NPU357" s="92"/>
      <c r="NPV357" s="92"/>
      <c r="NPW357" s="92"/>
      <c r="NPX357" s="92"/>
      <c r="NPY357" s="92"/>
      <c r="NPZ357" s="92"/>
      <c r="NQA357" s="92"/>
      <c r="NQB357" s="92"/>
      <c r="NQC357" s="92"/>
      <c r="NQD357" s="92"/>
      <c r="NQE357" s="92"/>
      <c r="NQF357" s="92"/>
      <c r="NQG357" s="92"/>
      <c r="NQH357" s="92"/>
      <c r="NQI357" s="92"/>
      <c r="NQJ357" s="92"/>
      <c r="NQK357" s="92"/>
      <c r="NQL357" s="92"/>
      <c r="NQM357" s="92"/>
      <c r="NQN357" s="92"/>
      <c r="NQO357" s="92"/>
      <c r="NQP357" s="92"/>
      <c r="NQQ357" s="92"/>
      <c r="NQR357" s="92"/>
      <c r="NQS357" s="92"/>
      <c r="NQT357" s="92"/>
      <c r="NQU357" s="92"/>
      <c r="NQV357" s="92"/>
      <c r="NQW357" s="92"/>
      <c r="NQX357" s="92"/>
      <c r="NQY357" s="92"/>
      <c r="NQZ357" s="92"/>
      <c r="NRA357" s="92"/>
      <c r="NRB357" s="92"/>
      <c r="NRC357" s="92"/>
      <c r="NRD357" s="92"/>
      <c r="NRE357" s="92"/>
      <c r="NRF357" s="92"/>
      <c r="NRG357" s="92"/>
      <c r="NRH357" s="92"/>
      <c r="NRI357" s="92"/>
      <c r="NRJ357" s="92"/>
      <c r="NRK357" s="92"/>
      <c r="NRL357" s="92"/>
      <c r="NRM357" s="92"/>
      <c r="NRN357" s="92"/>
      <c r="NRO357" s="92"/>
      <c r="NRP357" s="92"/>
      <c r="NRQ357" s="92"/>
      <c r="NRR357" s="92"/>
      <c r="NRS357" s="92"/>
      <c r="NRT357" s="92"/>
      <c r="NRU357" s="92"/>
      <c r="NRV357" s="92"/>
      <c r="NRW357" s="92"/>
      <c r="NRX357" s="92"/>
      <c r="NRY357" s="92"/>
      <c r="NRZ357" s="92"/>
      <c r="NSA357" s="92"/>
      <c r="NSB357" s="92"/>
      <c r="NSC357" s="92"/>
      <c r="NSD357" s="92"/>
      <c r="NSE357" s="92"/>
      <c r="NSF357" s="92"/>
      <c r="NSG357" s="92"/>
      <c r="NSH357" s="92"/>
      <c r="NSI357" s="92"/>
      <c r="NSJ357" s="92"/>
      <c r="NSK357" s="92"/>
      <c r="NSL357" s="92"/>
      <c r="NSM357" s="92"/>
      <c r="NSN357" s="92"/>
      <c r="NSO357" s="92"/>
      <c r="NSP357" s="92"/>
      <c r="NSQ357" s="92"/>
      <c r="NSR357" s="92"/>
      <c r="NSS357" s="92"/>
      <c r="NST357" s="92"/>
      <c r="NSU357" s="92"/>
      <c r="NSV357" s="92"/>
      <c r="NSW357" s="92"/>
      <c r="NSX357" s="92"/>
      <c r="NSY357" s="92"/>
      <c r="NSZ357" s="92"/>
      <c r="NTA357" s="92"/>
      <c r="NTB357" s="92"/>
      <c r="NTC357" s="92"/>
      <c r="NTD357" s="92"/>
      <c r="NTE357" s="92"/>
      <c r="NTF357" s="92"/>
      <c r="NTG357" s="92"/>
      <c r="NTH357" s="92"/>
      <c r="NTI357" s="92"/>
      <c r="NTJ357" s="92"/>
      <c r="NTK357" s="92"/>
      <c r="NTL357" s="92"/>
      <c r="NTM357" s="92"/>
      <c r="NTN357" s="92"/>
      <c r="NTO357" s="92"/>
      <c r="NTP357" s="92"/>
      <c r="NTQ357" s="92"/>
      <c r="NTR357" s="92"/>
      <c r="NTS357" s="92"/>
      <c r="NTT357" s="92"/>
      <c r="NTU357" s="92"/>
      <c r="NTV357" s="92"/>
      <c r="NTW357" s="92"/>
      <c r="NTX357" s="92"/>
      <c r="NTY357" s="92"/>
      <c r="NTZ357" s="92"/>
      <c r="NUA357" s="92"/>
      <c r="NUB357" s="92"/>
      <c r="NUC357" s="92"/>
      <c r="NUD357" s="92"/>
      <c r="NUE357" s="92"/>
      <c r="NUF357" s="92"/>
      <c r="NUG357" s="92"/>
      <c r="NUH357" s="92"/>
      <c r="NUI357" s="92"/>
      <c r="NUJ357" s="92"/>
      <c r="NUK357" s="92"/>
      <c r="NUL357" s="92"/>
      <c r="NUM357" s="92"/>
      <c r="NUN357" s="92"/>
      <c r="NUO357" s="92"/>
      <c r="NUP357" s="92"/>
      <c r="NUQ357" s="92"/>
      <c r="NUR357" s="92"/>
      <c r="NUS357" s="92"/>
      <c r="NUT357" s="92"/>
      <c r="NUU357" s="92"/>
      <c r="NUV357" s="92"/>
      <c r="NUW357" s="92"/>
      <c r="NUX357" s="92"/>
      <c r="NUY357" s="92"/>
      <c r="NUZ357" s="92"/>
      <c r="NVA357" s="92"/>
      <c r="NVB357" s="92"/>
      <c r="NVC357" s="92"/>
      <c r="NVD357" s="92"/>
      <c r="NVE357" s="92"/>
      <c r="NVF357" s="92"/>
      <c r="NVG357" s="92"/>
      <c r="NVH357" s="92"/>
      <c r="NVI357" s="92"/>
      <c r="NVJ357" s="92"/>
      <c r="NVK357" s="92"/>
      <c r="NVL357" s="92"/>
      <c r="NVM357" s="92"/>
      <c r="NVN357" s="92"/>
      <c r="NVO357" s="92"/>
      <c r="NVP357" s="92"/>
      <c r="NVQ357" s="92"/>
      <c r="NVR357" s="92"/>
      <c r="NVS357" s="92"/>
      <c r="NVT357" s="92"/>
      <c r="NVU357" s="92"/>
      <c r="NVV357" s="92"/>
      <c r="NVW357" s="92"/>
      <c r="NVX357" s="92"/>
      <c r="NVY357" s="92"/>
      <c r="NVZ357" s="92"/>
      <c r="NWA357" s="92"/>
      <c r="NWB357" s="92"/>
      <c r="NWC357" s="92"/>
      <c r="NWD357" s="92"/>
      <c r="NWE357" s="92"/>
      <c r="NWF357" s="92"/>
      <c r="NWG357" s="92"/>
      <c r="NWH357" s="92"/>
      <c r="NWI357" s="92"/>
      <c r="NWJ357" s="92"/>
      <c r="NWK357" s="92"/>
      <c r="NWL357" s="92"/>
      <c r="NWM357" s="92"/>
      <c r="NWN357" s="92"/>
      <c r="NWO357" s="92"/>
      <c r="NWP357" s="92"/>
      <c r="NWQ357" s="92"/>
      <c r="NWR357" s="92"/>
      <c r="NWS357" s="92"/>
      <c r="NWT357" s="92"/>
      <c r="NWU357" s="92"/>
      <c r="NWV357" s="92"/>
      <c r="NWW357" s="92"/>
      <c r="NWX357" s="92"/>
      <c r="NWY357" s="92"/>
      <c r="NWZ357" s="92"/>
      <c r="NXA357" s="92"/>
      <c r="NXB357" s="92"/>
      <c r="NXC357" s="92"/>
      <c r="NXD357" s="92"/>
      <c r="NXE357" s="92"/>
      <c r="NXF357" s="92"/>
      <c r="NXG357" s="92"/>
      <c r="NXH357" s="92"/>
      <c r="NXI357" s="92"/>
      <c r="NXJ357" s="92"/>
      <c r="NXK357" s="92"/>
      <c r="NXL357" s="92"/>
      <c r="NXM357" s="92"/>
      <c r="NXN357" s="92"/>
      <c r="NXO357" s="92"/>
      <c r="NXP357" s="92"/>
      <c r="NXQ357" s="92"/>
      <c r="NXR357" s="92"/>
      <c r="NXS357" s="92"/>
      <c r="NXT357" s="92"/>
      <c r="NXU357" s="92"/>
      <c r="NXV357" s="92"/>
      <c r="NXW357" s="92"/>
      <c r="NXX357" s="92"/>
      <c r="NXY357" s="92"/>
      <c r="NXZ357" s="92"/>
      <c r="NYA357" s="92"/>
      <c r="NYB357" s="92"/>
      <c r="NYC357" s="92"/>
      <c r="NYD357" s="92"/>
      <c r="NYE357" s="92"/>
      <c r="NYF357" s="92"/>
      <c r="NYG357" s="92"/>
      <c r="NYH357" s="92"/>
      <c r="NYI357" s="92"/>
      <c r="NYJ357" s="92"/>
      <c r="NYK357" s="92"/>
      <c r="NYL357" s="92"/>
      <c r="NYM357" s="92"/>
      <c r="NYN357" s="92"/>
      <c r="NYO357" s="92"/>
      <c r="NYP357" s="92"/>
      <c r="NYQ357" s="92"/>
      <c r="NYR357" s="92"/>
      <c r="NYS357" s="92"/>
      <c r="NYT357" s="92"/>
      <c r="NYU357" s="92"/>
      <c r="NYV357" s="92"/>
      <c r="NYW357" s="92"/>
      <c r="NYX357" s="92"/>
      <c r="NYY357" s="92"/>
      <c r="NYZ357" s="92"/>
      <c r="NZA357" s="92"/>
      <c r="NZB357" s="92"/>
      <c r="NZC357" s="92"/>
      <c r="NZD357" s="92"/>
      <c r="NZE357" s="92"/>
      <c r="NZF357" s="92"/>
      <c r="NZG357" s="92"/>
      <c r="NZH357" s="92"/>
      <c r="NZI357" s="92"/>
      <c r="NZJ357" s="92"/>
      <c r="NZK357" s="92"/>
      <c r="NZL357" s="92"/>
      <c r="NZM357" s="92"/>
      <c r="NZN357" s="92"/>
      <c r="NZO357" s="92"/>
      <c r="NZP357" s="92"/>
      <c r="NZQ357" s="92"/>
      <c r="NZR357" s="92"/>
      <c r="NZS357" s="92"/>
      <c r="NZT357" s="92"/>
      <c r="NZU357" s="92"/>
      <c r="NZV357" s="92"/>
      <c r="NZW357" s="92"/>
      <c r="NZX357" s="92"/>
      <c r="NZY357" s="92"/>
      <c r="NZZ357" s="92"/>
      <c r="OAA357" s="92"/>
      <c r="OAB357" s="92"/>
      <c r="OAC357" s="92"/>
      <c r="OAD357" s="92"/>
      <c r="OAE357" s="92"/>
      <c r="OAF357" s="92"/>
      <c r="OAG357" s="92"/>
      <c r="OAH357" s="92"/>
      <c r="OAI357" s="92"/>
      <c r="OAJ357" s="92"/>
      <c r="OAK357" s="92"/>
      <c r="OAL357" s="92"/>
      <c r="OAM357" s="92"/>
      <c r="OAN357" s="92"/>
      <c r="OAO357" s="92"/>
      <c r="OAP357" s="92"/>
      <c r="OAQ357" s="92"/>
      <c r="OAR357" s="92"/>
      <c r="OAS357" s="92"/>
      <c r="OAT357" s="92"/>
      <c r="OAU357" s="92"/>
      <c r="OAV357" s="92"/>
      <c r="OAW357" s="92"/>
      <c r="OAX357" s="92"/>
      <c r="OAY357" s="92"/>
      <c r="OAZ357" s="92"/>
      <c r="OBA357" s="92"/>
      <c r="OBB357" s="92"/>
      <c r="OBC357" s="92"/>
      <c r="OBD357" s="92"/>
      <c r="OBE357" s="92"/>
      <c r="OBF357" s="92"/>
      <c r="OBG357" s="92"/>
      <c r="OBH357" s="92"/>
      <c r="OBI357" s="92"/>
      <c r="OBJ357" s="92"/>
      <c r="OBK357" s="92"/>
      <c r="OBL357" s="92"/>
      <c r="OBM357" s="92"/>
      <c r="OBN357" s="92"/>
      <c r="OBO357" s="92"/>
      <c r="OBP357" s="92"/>
      <c r="OBQ357" s="92"/>
      <c r="OBR357" s="92"/>
      <c r="OBS357" s="92"/>
      <c r="OBT357" s="92"/>
      <c r="OBU357" s="92"/>
      <c r="OBV357" s="92"/>
      <c r="OBW357" s="92"/>
      <c r="OBX357" s="92"/>
      <c r="OBY357" s="92"/>
      <c r="OBZ357" s="92"/>
      <c r="OCA357" s="92"/>
      <c r="OCB357" s="92"/>
      <c r="OCC357" s="92"/>
      <c r="OCD357" s="92"/>
      <c r="OCE357" s="92"/>
      <c r="OCF357" s="92"/>
      <c r="OCG357" s="92"/>
      <c r="OCH357" s="92"/>
      <c r="OCI357" s="92"/>
      <c r="OCJ357" s="92"/>
      <c r="OCK357" s="92"/>
      <c r="OCL357" s="92"/>
      <c r="OCM357" s="92"/>
      <c r="OCN357" s="92"/>
      <c r="OCO357" s="92"/>
      <c r="OCP357" s="92"/>
      <c r="OCQ357" s="92"/>
      <c r="OCR357" s="92"/>
      <c r="OCS357" s="92"/>
      <c r="OCT357" s="92"/>
      <c r="OCU357" s="92"/>
      <c r="OCV357" s="92"/>
      <c r="OCW357" s="92"/>
      <c r="OCX357" s="92"/>
      <c r="OCY357" s="92"/>
      <c r="OCZ357" s="92"/>
      <c r="ODA357" s="92"/>
      <c r="ODB357" s="92"/>
      <c r="ODC357" s="92"/>
      <c r="ODD357" s="92"/>
      <c r="ODE357" s="92"/>
      <c r="ODF357" s="92"/>
      <c r="ODG357" s="92"/>
      <c r="ODH357" s="92"/>
      <c r="ODI357" s="92"/>
      <c r="ODJ357" s="92"/>
      <c r="ODK357" s="92"/>
      <c r="ODL357" s="92"/>
      <c r="ODM357" s="92"/>
      <c r="ODN357" s="92"/>
      <c r="ODO357" s="92"/>
      <c r="ODP357" s="92"/>
      <c r="ODQ357" s="92"/>
      <c r="ODR357" s="92"/>
      <c r="ODS357" s="92"/>
      <c r="ODT357" s="92"/>
      <c r="ODU357" s="92"/>
      <c r="ODV357" s="92"/>
      <c r="ODW357" s="92"/>
      <c r="ODX357" s="92"/>
      <c r="ODY357" s="92"/>
      <c r="ODZ357" s="92"/>
      <c r="OEA357" s="92"/>
      <c r="OEB357" s="92"/>
      <c r="OEC357" s="92"/>
      <c r="OED357" s="92"/>
      <c r="OEE357" s="92"/>
      <c r="OEF357" s="92"/>
      <c r="OEG357" s="92"/>
      <c r="OEH357" s="92"/>
      <c r="OEI357" s="92"/>
      <c r="OEJ357" s="92"/>
      <c r="OEK357" s="92"/>
      <c r="OEL357" s="92"/>
      <c r="OEM357" s="92"/>
      <c r="OEN357" s="92"/>
      <c r="OEO357" s="92"/>
      <c r="OEP357" s="92"/>
      <c r="OEQ357" s="92"/>
      <c r="OER357" s="92"/>
      <c r="OES357" s="92"/>
      <c r="OET357" s="92"/>
      <c r="OEU357" s="92"/>
      <c r="OEV357" s="92"/>
      <c r="OEW357" s="92"/>
      <c r="OEX357" s="92"/>
      <c r="OEY357" s="92"/>
      <c r="OEZ357" s="92"/>
      <c r="OFA357" s="92"/>
      <c r="OFB357" s="92"/>
      <c r="OFC357" s="92"/>
      <c r="OFD357" s="92"/>
      <c r="OFE357" s="92"/>
      <c r="OFF357" s="92"/>
      <c r="OFG357" s="92"/>
      <c r="OFH357" s="92"/>
      <c r="OFI357" s="92"/>
      <c r="OFJ357" s="92"/>
      <c r="OFK357" s="92"/>
      <c r="OFL357" s="92"/>
      <c r="OFM357" s="92"/>
      <c r="OFN357" s="92"/>
      <c r="OFO357" s="92"/>
      <c r="OFP357" s="92"/>
      <c r="OFQ357" s="92"/>
      <c r="OFR357" s="92"/>
      <c r="OFS357" s="92"/>
      <c r="OFT357" s="92"/>
      <c r="OFU357" s="92"/>
      <c r="OFV357" s="92"/>
      <c r="OFW357" s="92"/>
      <c r="OFX357" s="92"/>
      <c r="OFY357" s="92"/>
      <c r="OFZ357" s="92"/>
      <c r="OGA357" s="92"/>
      <c r="OGB357" s="92"/>
      <c r="OGC357" s="92"/>
      <c r="OGD357" s="92"/>
      <c r="OGE357" s="92"/>
      <c r="OGF357" s="92"/>
      <c r="OGG357" s="92"/>
      <c r="OGH357" s="92"/>
      <c r="OGI357" s="92"/>
      <c r="OGJ357" s="92"/>
      <c r="OGK357" s="92"/>
      <c r="OGL357" s="92"/>
      <c r="OGM357" s="92"/>
      <c r="OGN357" s="92"/>
      <c r="OGO357" s="92"/>
      <c r="OGP357" s="92"/>
      <c r="OGQ357" s="92"/>
      <c r="OGR357" s="92"/>
      <c r="OGS357" s="92"/>
      <c r="OGT357" s="92"/>
      <c r="OGU357" s="92"/>
      <c r="OGV357" s="92"/>
      <c r="OGW357" s="92"/>
      <c r="OGX357" s="92"/>
      <c r="OGY357" s="92"/>
      <c r="OGZ357" s="92"/>
      <c r="OHA357" s="92"/>
      <c r="OHB357" s="92"/>
      <c r="OHC357" s="92"/>
      <c r="OHD357" s="92"/>
      <c r="OHE357" s="92"/>
      <c r="OHF357" s="92"/>
      <c r="OHG357" s="92"/>
      <c r="OHH357" s="92"/>
      <c r="OHI357" s="92"/>
      <c r="OHJ357" s="92"/>
      <c r="OHK357" s="92"/>
      <c r="OHL357" s="92"/>
      <c r="OHM357" s="92"/>
      <c r="OHN357" s="92"/>
      <c r="OHO357" s="92"/>
      <c r="OHP357" s="92"/>
      <c r="OHQ357" s="92"/>
      <c r="OHR357" s="92"/>
      <c r="OHS357" s="92"/>
      <c r="OHT357" s="92"/>
      <c r="OHU357" s="92"/>
      <c r="OHV357" s="92"/>
      <c r="OHW357" s="92"/>
      <c r="OHX357" s="92"/>
      <c r="OHY357" s="92"/>
      <c r="OHZ357" s="92"/>
      <c r="OIA357" s="92"/>
      <c r="OIB357" s="92"/>
      <c r="OIC357" s="92"/>
      <c r="OID357" s="92"/>
      <c r="OIE357" s="92"/>
      <c r="OIF357" s="92"/>
      <c r="OIG357" s="92"/>
      <c r="OIH357" s="92"/>
      <c r="OII357" s="92"/>
      <c r="OIJ357" s="92"/>
      <c r="OIK357" s="92"/>
      <c r="OIL357" s="92"/>
      <c r="OIM357" s="92"/>
      <c r="OIN357" s="92"/>
      <c r="OIO357" s="92"/>
      <c r="OIP357" s="92"/>
      <c r="OIQ357" s="92"/>
      <c r="OIR357" s="92"/>
      <c r="OIS357" s="92"/>
      <c r="OIT357" s="92"/>
      <c r="OIU357" s="92"/>
      <c r="OIV357" s="92"/>
      <c r="OIW357" s="92"/>
      <c r="OIX357" s="92"/>
      <c r="OIY357" s="92"/>
      <c r="OIZ357" s="92"/>
      <c r="OJA357" s="92"/>
      <c r="OJB357" s="92"/>
      <c r="OJC357" s="92"/>
      <c r="OJD357" s="92"/>
      <c r="OJE357" s="92"/>
      <c r="OJF357" s="92"/>
      <c r="OJG357" s="92"/>
      <c r="OJH357" s="92"/>
      <c r="OJI357" s="92"/>
      <c r="OJJ357" s="92"/>
      <c r="OJK357" s="92"/>
      <c r="OJL357" s="92"/>
      <c r="OJM357" s="92"/>
      <c r="OJN357" s="92"/>
      <c r="OJO357" s="92"/>
      <c r="OJP357" s="92"/>
      <c r="OJQ357" s="92"/>
      <c r="OJR357" s="92"/>
      <c r="OJS357" s="92"/>
      <c r="OJT357" s="92"/>
      <c r="OJU357" s="92"/>
      <c r="OJV357" s="92"/>
      <c r="OJW357" s="92"/>
      <c r="OJX357" s="92"/>
      <c r="OJY357" s="92"/>
      <c r="OJZ357" s="92"/>
      <c r="OKA357" s="92"/>
      <c r="OKB357" s="92"/>
      <c r="OKC357" s="92"/>
      <c r="OKD357" s="92"/>
      <c r="OKE357" s="92"/>
      <c r="OKF357" s="92"/>
      <c r="OKG357" s="92"/>
      <c r="OKH357" s="92"/>
      <c r="OKI357" s="92"/>
      <c r="OKJ357" s="92"/>
      <c r="OKK357" s="92"/>
      <c r="OKL357" s="92"/>
      <c r="OKM357" s="92"/>
      <c r="OKN357" s="92"/>
      <c r="OKO357" s="92"/>
      <c r="OKP357" s="92"/>
      <c r="OKQ357" s="92"/>
      <c r="OKR357" s="92"/>
      <c r="OKS357" s="92"/>
      <c r="OKT357" s="92"/>
      <c r="OKU357" s="92"/>
      <c r="OKV357" s="92"/>
      <c r="OKW357" s="92"/>
      <c r="OKX357" s="92"/>
      <c r="OKY357" s="92"/>
      <c r="OKZ357" s="92"/>
      <c r="OLA357" s="92"/>
      <c r="OLB357" s="92"/>
      <c r="OLC357" s="92"/>
      <c r="OLD357" s="92"/>
      <c r="OLE357" s="92"/>
      <c r="OLF357" s="92"/>
      <c r="OLG357" s="92"/>
      <c r="OLH357" s="92"/>
      <c r="OLI357" s="92"/>
      <c r="OLJ357" s="92"/>
      <c r="OLK357" s="92"/>
      <c r="OLL357" s="92"/>
      <c r="OLM357" s="92"/>
      <c r="OLN357" s="92"/>
      <c r="OLO357" s="92"/>
      <c r="OLP357" s="92"/>
      <c r="OLQ357" s="92"/>
      <c r="OLR357" s="92"/>
      <c r="OLS357" s="92"/>
      <c r="OLT357" s="92"/>
      <c r="OLU357" s="92"/>
      <c r="OLV357" s="92"/>
      <c r="OLW357" s="92"/>
      <c r="OLX357" s="92"/>
      <c r="OLY357" s="92"/>
      <c r="OLZ357" s="92"/>
      <c r="OMA357" s="92"/>
      <c r="OMB357" s="92"/>
      <c r="OMC357" s="92"/>
      <c r="OMD357" s="92"/>
      <c r="OME357" s="92"/>
      <c r="OMF357" s="92"/>
      <c r="OMG357" s="92"/>
      <c r="OMH357" s="92"/>
      <c r="OMI357" s="92"/>
      <c r="OMJ357" s="92"/>
      <c r="OMK357" s="92"/>
      <c r="OML357" s="92"/>
      <c r="OMM357" s="92"/>
      <c r="OMN357" s="92"/>
      <c r="OMO357" s="92"/>
      <c r="OMP357" s="92"/>
      <c r="OMQ357" s="92"/>
      <c r="OMR357" s="92"/>
      <c r="OMS357" s="92"/>
      <c r="OMT357" s="92"/>
      <c r="OMU357" s="92"/>
      <c r="OMV357" s="92"/>
      <c r="OMW357" s="92"/>
      <c r="OMX357" s="92"/>
      <c r="OMY357" s="92"/>
      <c r="OMZ357" s="92"/>
      <c r="ONA357" s="92"/>
      <c r="ONB357" s="92"/>
      <c r="ONC357" s="92"/>
      <c r="OND357" s="92"/>
      <c r="ONE357" s="92"/>
      <c r="ONF357" s="92"/>
      <c r="ONG357" s="92"/>
      <c r="ONH357" s="92"/>
      <c r="ONI357" s="92"/>
      <c r="ONJ357" s="92"/>
      <c r="ONK357" s="92"/>
      <c r="ONL357" s="92"/>
      <c r="ONM357" s="92"/>
      <c r="ONN357" s="92"/>
      <c r="ONO357" s="92"/>
      <c r="ONP357" s="92"/>
      <c r="ONQ357" s="92"/>
      <c r="ONR357" s="92"/>
      <c r="ONS357" s="92"/>
      <c r="ONT357" s="92"/>
      <c r="ONU357" s="92"/>
      <c r="ONV357" s="92"/>
      <c r="ONW357" s="92"/>
      <c r="ONX357" s="92"/>
      <c r="ONY357" s="92"/>
      <c r="ONZ357" s="92"/>
      <c r="OOA357" s="92"/>
      <c r="OOB357" s="92"/>
      <c r="OOC357" s="92"/>
      <c r="OOD357" s="92"/>
      <c r="OOE357" s="92"/>
      <c r="OOF357" s="92"/>
      <c r="OOG357" s="92"/>
      <c r="OOH357" s="92"/>
      <c r="OOI357" s="92"/>
      <c r="OOJ357" s="92"/>
      <c r="OOK357" s="92"/>
      <c r="OOL357" s="92"/>
      <c r="OOM357" s="92"/>
      <c r="OON357" s="92"/>
      <c r="OOO357" s="92"/>
      <c r="OOP357" s="92"/>
      <c r="OOQ357" s="92"/>
      <c r="OOR357" s="92"/>
      <c r="OOS357" s="92"/>
      <c r="OOT357" s="92"/>
      <c r="OOU357" s="92"/>
      <c r="OOV357" s="92"/>
      <c r="OOW357" s="92"/>
      <c r="OOX357" s="92"/>
      <c r="OOY357" s="92"/>
      <c r="OOZ357" s="92"/>
      <c r="OPA357" s="92"/>
      <c r="OPB357" s="92"/>
      <c r="OPC357" s="92"/>
      <c r="OPD357" s="92"/>
      <c r="OPE357" s="92"/>
      <c r="OPF357" s="92"/>
      <c r="OPG357" s="92"/>
      <c r="OPH357" s="92"/>
      <c r="OPI357" s="92"/>
      <c r="OPJ357" s="92"/>
      <c r="OPK357" s="92"/>
      <c r="OPL357" s="92"/>
      <c r="OPM357" s="92"/>
      <c r="OPN357" s="92"/>
      <c r="OPO357" s="92"/>
      <c r="OPP357" s="92"/>
      <c r="OPQ357" s="92"/>
      <c r="OPR357" s="92"/>
      <c r="OPS357" s="92"/>
      <c r="OPT357" s="92"/>
      <c r="OPU357" s="92"/>
      <c r="OPV357" s="92"/>
      <c r="OPW357" s="92"/>
      <c r="OPX357" s="92"/>
      <c r="OPY357" s="92"/>
      <c r="OPZ357" s="92"/>
      <c r="OQA357" s="92"/>
      <c r="OQB357" s="92"/>
      <c r="OQC357" s="92"/>
      <c r="OQD357" s="92"/>
      <c r="OQE357" s="92"/>
      <c r="OQF357" s="92"/>
      <c r="OQG357" s="92"/>
      <c r="OQH357" s="92"/>
      <c r="OQI357" s="92"/>
      <c r="OQJ357" s="92"/>
      <c r="OQK357" s="92"/>
      <c r="OQL357" s="92"/>
      <c r="OQM357" s="92"/>
      <c r="OQN357" s="92"/>
      <c r="OQO357" s="92"/>
      <c r="OQP357" s="92"/>
      <c r="OQQ357" s="92"/>
      <c r="OQR357" s="92"/>
      <c r="OQS357" s="92"/>
      <c r="OQT357" s="92"/>
      <c r="OQU357" s="92"/>
      <c r="OQV357" s="92"/>
      <c r="OQW357" s="92"/>
      <c r="OQX357" s="92"/>
      <c r="OQY357" s="92"/>
      <c r="OQZ357" s="92"/>
      <c r="ORA357" s="92"/>
      <c r="ORB357" s="92"/>
      <c r="ORC357" s="92"/>
      <c r="ORD357" s="92"/>
      <c r="ORE357" s="92"/>
      <c r="ORF357" s="92"/>
      <c r="ORG357" s="92"/>
      <c r="ORH357" s="92"/>
      <c r="ORI357" s="92"/>
      <c r="ORJ357" s="92"/>
      <c r="ORK357" s="92"/>
      <c r="ORL357" s="92"/>
      <c r="ORM357" s="92"/>
      <c r="ORN357" s="92"/>
      <c r="ORO357" s="92"/>
      <c r="ORP357" s="92"/>
      <c r="ORQ357" s="92"/>
      <c r="ORR357" s="92"/>
      <c r="ORS357" s="92"/>
      <c r="ORT357" s="92"/>
      <c r="ORU357" s="92"/>
      <c r="ORV357" s="92"/>
      <c r="ORW357" s="92"/>
      <c r="ORX357" s="92"/>
      <c r="ORY357" s="92"/>
      <c r="ORZ357" s="92"/>
      <c r="OSA357" s="92"/>
      <c r="OSB357" s="92"/>
      <c r="OSC357" s="92"/>
      <c r="OSD357" s="92"/>
      <c r="OSE357" s="92"/>
      <c r="OSF357" s="92"/>
      <c r="OSG357" s="92"/>
      <c r="OSH357" s="92"/>
      <c r="OSI357" s="92"/>
      <c r="OSJ357" s="92"/>
      <c r="OSK357" s="92"/>
      <c r="OSL357" s="92"/>
      <c r="OSM357" s="92"/>
      <c r="OSN357" s="92"/>
      <c r="OSO357" s="92"/>
      <c r="OSP357" s="92"/>
      <c r="OSQ357" s="92"/>
      <c r="OSR357" s="92"/>
      <c r="OSS357" s="92"/>
      <c r="OST357" s="92"/>
      <c r="OSU357" s="92"/>
      <c r="OSV357" s="92"/>
      <c r="OSW357" s="92"/>
      <c r="OSX357" s="92"/>
      <c r="OSY357" s="92"/>
      <c r="OSZ357" s="92"/>
      <c r="OTA357" s="92"/>
      <c r="OTB357" s="92"/>
      <c r="OTC357" s="92"/>
      <c r="OTD357" s="92"/>
      <c r="OTE357" s="92"/>
      <c r="OTF357" s="92"/>
      <c r="OTG357" s="92"/>
      <c r="OTH357" s="92"/>
      <c r="OTI357" s="92"/>
      <c r="OTJ357" s="92"/>
      <c r="OTK357" s="92"/>
      <c r="OTL357" s="92"/>
      <c r="OTM357" s="92"/>
      <c r="OTN357" s="92"/>
      <c r="OTO357" s="92"/>
      <c r="OTP357" s="92"/>
      <c r="OTQ357" s="92"/>
      <c r="OTR357" s="92"/>
      <c r="OTS357" s="92"/>
      <c r="OTT357" s="92"/>
      <c r="OTU357" s="92"/>
      <c r="OTV357" s="92"/>
      <c r="OTW357" s="92"/>
      <c r="OTX357" s="92"/>
      <c r="OTY357" s="92"/>
      <c r="OTZ357" s="92"/>
      <c r="OUA357" s="92"/>
      <c r="OUB357" s="92"/>
      <c r="OUC357" s="92"/>
      <c r="OUD357" s="92"/>
      <c r="OUE357" s="92"/>
      <c r="OUF357" s="92"/>
      <c r="OUG357" s="92"/>
      <c r="OUH357" s="92"/>
      <c r="OUI357" s="92"/>
      <c r="OUJ357" s="92"/>
      <c r="OUK357" s="92"/>
      <c r="OUL357" s="92"/>
      <c r="OUM357" s="92"/>
      <c r="OUN357" s="92"/>
      <c r="OUO357" s="92"/>
      <c r="OUP357" s="92"/>
      <c r="OUQ357" s="92"/>
      <c r="OUR357" s="92"/>
      <c r="OUS357" s="92"/>
      <c r="OUT357" s="92"/>
      <c r="OUU357" s="92"/>
      <c r="OUV357" s="92"/>
      <c r="OUW357" s="92"/>
      <c r="OUX357" s="92"/>
      <c r="OUY357" s="92"/>
      <c r="OUZ357" s="92"/>
      <c r="OVA357" s="92"/>
      <c r="OVB357" s="92"/>
      <c r="OVC357" s="92"/>
      <c r="OVD357" s="92"/>
      <c r="OVE357" s="92"/>
      <c r="OVF357" s="92"/>
      <c r="OVG357" s="92"/>
      <c r="OVH357" s="92"/>
      <c r="OVI357" s="92"/>
      <c r="OVJ357" s="92"/>
      <c r="OVK357" s="92"/>
      <c r="OVL357" s="92"/>
      <c r="OVM357" s="92"/>
      <c r="OVN357" s="92"/>
      <c r="OVO357" s="92"/>
      <c r="OVP357" s="92"/>
      <c r="OVQ357" s="92"/>
      <c r="OVR357" s="92"/>
      <c r="OVS357" s="92"/>
      <c r="OVT357" s="92"/>
      <c r="OVU357" s="92"/>
      <c r="OVV357" s="92"/>
      <c r="OVW357" s="92"/>
      <c r="OVX357" s="92"/>
      <c r="OVY357" s="92"/>
      <c r="OVZ357" s="92"/>
      <c r="OWA357" s="92"/>
      <c r="OWB357" s="92"/>
      <c r="OWC357" s="92"/>
      <c r="OWD357" s="92"/>
      <c r="OWE357" s="92"/>
      <c r="OWF357" s="92"/>
      <c r="OWG357" s="92"/>
      <c r="OWH357" s="92"/>
      <c r="OWI357" s="92"/>
      <c r="OWJ357" s="92"/>
      <c r="OWK357" s="92"/>
      <c r="OWL357" s="92"/>
      <c r="OWM357" s="92"/>
      <c r="OWN357" s="92"/>
      <c r="OWO357" s="92"/>
      <c r="OWP357" s="92"/>
      <c r="OWQ357" s="92"/>
      <c r="OWR357" s="92"/>
      <c r="OWS357" s="92"/>
      <c r="OWT357" s="92"/>
      <c r="OWU357" s="92"/>
      <c r="OWV357" s="92"/>
      <c r="OWW357" s="92"/>
      <c r="OWX357" s="92"/>
      <c r="OWY357" s="92"/>
      <c r="OWZ357" s="92"/>
      <c r="OXA357" s="92"/>
      <c r="OXB357" s="92"/>
      <c r="OXC357" s="92"/>
      <c r="OXD357" s="92"/>
      <c r="OXE357" s="92"/>
      <c r="OXF357" s="92"/>
      <c r="OXG357" s="92"/>
      <c r="OXH357" s="92"/>
      <c r="OXI357" s="92"/>
      <c r="OXJ357" s="92"/>
      <c r="OXK357" s="92"/>
      <c r="OXL357" s="92"/>
      <c r="OXM357" s="92"/>
      <c r="OXN357" s="92"/>
      <c r="OXO357" s="92"/>
      <c r="OXP357" s="92"/>
      <c r="OXQ357" s="92"/>
      <c r="OXR357" s="92"/>
      <c r="OXS357" s="92"/>
      <c r="OXT357" s="92"/>
      <c r="OXU357" s="92"/>
      <c r="OXV357" s="92"/>
      <c r="OXW357" s="92"/>
      <c r="OXX357" s="92"/>
      <c r="OXY357" s="92"/>
      <c r="OXZ357" s="92"/>
      <c r="OYA357" s="92"/>
      <c r="OYB357" s="92"/>
      <c r="OYC357" s="92"/>
      <c r="OYD357" s="92"/>
      <c r="OYE357" s="92"/>
      <c r="OYF357" s="92"/>
      <c r="OYG357" s="92"/>
      <c r="OYH357" s="92"/>
      <c r="OYI357" s="92"/>
      <c r="OYJ357" s="92"/>
      <c r="OYK357" s="92"/>
      <c r="OYL357" s="92"/>
      <c r="OYM357" s="92"/>
      <c r="OYN357" s="92"/>
      <c r="OYO357" s="92"/>
      <c r="OYP357" s="92"/>
      <c r="OYQ357" s="92"/>
      <c r="OYR357" s="92"/>
      <c r="OYS357" s="92"/>
      <c r="OYT357" s="92"/>
      <c r="OYU357" s="92"/>
      <c r="OYV357" s="92"/>
      <c r="OYW357" s="92"/>
      <c r="OYX357" s="92"/>
      <c r="OYY357" s="92"/>
      <c r="OYZ357" s="92"/>
      <c r="OZA357" s="92"/>
      <c r="OZB357" s="92"/>
      <c r="OZC357" s="92"/>
      <c r="OZD357" s="92"/>
      <c r="OZE357" s="92"/>
      <c r="OZF357" s="92"/>
      <c r="OZG357" s="92"/>
      <c r="OZH357" s="92"/>
      <c r="OZI357" s="92"/>
      <c r="OZJ357" s="92"/>
      <c r="OZK357" s="92"/>
      <c r="OZL357" s="92"/>
      <c r="OZM357" s="92"/>
      <c r="OZN357" s="92"/>
      <c r="OZO357" s="92"/>
      <c r="OZP357" s="92"/>
      <c r="OZQ357" s="92"/>
      <c r="OZR357" s="92"/>
      <c r="OZS357" s="92"/>
      <c r="OZT357" s="92"/>
      <c r="OZU357" s="92"/>
      <c r="OZV357" s="92"/>
      <c r="OZW357" s="92"/>
      <c r="OZX357" s="92"/>
      <c r="OZY357" s="92"/>
      <c r="OZZ357" s="92"/>
      <c r="PAA357" s="92"/>
      <c r="PAB357" s="92"/>
      <c r="PAC357" s="92"/>
      <c r="PAD357" s="92"/>
      <c r="PAE357" s="92"/>
      <c r="PAF357" s="92"/>
      <c r="PAG357" s="92"/>
      <c r="PAH357" s="92"/>
      <c r="PAI357" s="92"/>
      <c r="PAJ357" s="92"/>
      <c r="PAK357" s="92"/>
      <c r="PAL357" s="92"/>
      <c r="PAM357" s="92"/>
      <c r="PAN357" s="92"/>
      <c r="PAO357" s="92"/>
      <c r="PAP357" s="92"/>
      <c r="PAQ357" s="92"/>
      <c r="PAR357" s="92"/>
      <c r="PAS357" s="92"/>
      <c r="PAT357" s="92"/>
      <c r="PAU357" s="92"/>
      <c r="PAV357" s="92"/>
      <c r="PAW357" s="92"/>
      <c r="PAX357" s="92"/>
      <c r="PAY357" s="92"/>
      <c r="PAZ357" s="92"/>
      <c r="PBA357" s="92"/>
      <c r="PBB357" s="92"/>
      <c r="PBC357" s="92"/>
      <c r="PBD357" s="92"/>
      <c r="PBE357" s="92"/>
      <c r="PBF357" s="92"/>
      <c r="PBG357" s="92"/>
      <c r="PBH357" s="92"/>
      <c r="PBI357" s="92"/>
      <c r="PBJ357" s="92"/>
      <c r="PBK357" s="92"/>
      <c r="PBL357" s="92"/>
      <c r="PBM357" s="92"/>
      <c r="PBN357" s="92"/>
      <c r="PBO357" s="92"/>
      <c r="PBP357" s="92"/>
      <c r="PBQ357" s="92"/>
      <c r="PBR357" s="92"/>
      <c r="PBS357" s="92"/>
      <c r="PBT357" s="92"/>
      <c r="PBU357" s="92"/>
      <c r="PBV357" s="92"/>
      <c r="PBW357" s="92"/>
      <c r="PBX357" s="92"/>
      <c r="PBY357" s="92"/>
      <c r="PBZ357" s="92"/>
      <c r="PCA357" s="92"/>
      <c r="PCB357" s="92"/>
      <c r="PCC357" s="92"/>
      <c r="PCD357" s="92"/>
      <c r="PCE357" s="92"/>
      <c r="PCF357" s="92"/>
      <c r="PCG357" s="92"/>
      <c r="PCH357" s="92"/>
      <c r="PCI357" s="92"/>
      <c r="PCJ357" s="92"/>
      <c r="PCK357" s="92"/>
      <c r="PCL357" s="92"/>
      <c r="PCM357" s="92"/>
      <c r="PCN357" s="92"/>
      <c r="PCO357" s="92"/>
      <c r="PCP357" s="92"/>
      <c r="PCQ357" s="92"/>
      <c r="PCR357" s="92"/>
      <c r="PCS357" s="92"/>
      <c r="PCT357" s="92"/>
      <c r="PCU357" s="92"/>
      <c r="PCV357" s="92"/>
      <c r="PCW357" s="92"/>
      <c r="PCX357" s="92"/>
      <c r="PCY357" s="92"/>
      <c r="PCZ357" s="92"/>
      <c r="PDA357" s="92"/>
      <c r="PDB357" s="92"/>
      <c r="PDC357" s="92"/>
      <c r="PDD357" s="92"/>
      <c r="PDE357" s="92"/>
      <c r="PDF357" s="92"/>
      <c r="PDG357" s="92"/>
      <c r="PDH357" s="92"/>
      <c r="PDI357" s="92"/>
      <c r="PDJ357" s="92"/>
      <c r="PDK357" s="92"/>
      <c r="PDL357" s="92"/>
      <c r="PDM357" s="92"/>
      <c r="PDN357" s="92"/>
      <c r="PDO357" s="92"/>
      <c r="PDP357" s="92"/>
      <c r="PDQ357" s="92"/>
      <c r="PDR357" s="92"/>
      <c r="PDS357" s="92"/>
      <c r="PDT357" s="92"/>
      <c r="PDU357" s="92"/>
      <c r="PDV357" s="92"/>
      <c r="PDW357" s="92"/>
      <c r="PDX357" s="92"/>
      <c r="PDY357" s="92"/>
      <c r="PDZ357" s="92"/>
      <c r="PEA357" s="92"/>
      <c r="PEB357" s="92"/>
      <c r="PEC357" s="92"/>
      <c r="PED357" s="92"/>
      <c r="PEE357" s="92"/>
      <c r="PEF357" s="92"/>
      <c r="PEG357" s="92"/>
      <c r="PEH357" s="92"/>
      <c r="PEI357" s="92"/>
      <c r="PEJ357" s="92"/>
      <c r="PEK357" s="92"/>
      <c r="PEL357" s="92"/>
      <c r="PEM357" s="92"/>
      <c r="PEN357" s="92"/>
      <c r="PEO357" s="92"/>
      <c r="PEP357" s="92"/>
      <c r="PEQ357" s="92"/>
      <c r="PER357" s="92"/>
      <c r="PES357" s="92"/>
      <c r="PET357" s="92"/>
      <c r="PEU357" s="92"/>
      <c r="PEV357" s="92"/>
      <c r="PEW357" s="92"/>
      <c r="PEX357" s="92"/>
      <c r="PEY357" s="92"/>
      <c r="PEZ357" s="92"/>
      <c r="PFA357" s="92"/>
      <c r="PFB357" s="92"/>
      <c r="PFC357" s="92"/>
      <c r="PFD357" s="92"/>
      <c r="PFE357" s="92"/>
      <c r="PFF357" s="92"/>
      <c r="PFG357" s="92"/>
      <c r="PFH357" s="92"/>
      <c r="PFI357" s="92"/>
      <c r="PFJ357" s="92"/>
      <c r="PFK357" s="92"/>
      <c r="PFL357" s="92"/>
      <c r="PFM357" s="92"/>
      <c r="PFN357" s="92"/>
      <c r="PFO357" s="92"/>
      <c r="PFP357" s="92"/>
      <c r="PFQ357" s="92"/>
      <c r="PFR357" s="92"/>
      <c r="PFS357" s="92"/>
      <c r="PFT357" s="92"/>
      <c r="PFU357" s="92"/>
      <c r="PFV357" s="92"/>
      <c r="PFW357" s="92"/>
      <c r="PFX357" s="92"/>
      <c r="PFY357" s="92"/>
      <c r="PFZ357" s="92"/>
      <c r="PGA357" s="92"/>
      <c r="PGB357" s="92"/>
      <c r="PGC357" s="92"/>
      <c r="PGD357" s="92"/>
      <c r="PGE357" s="92"/>
      <c r="PGF357" s="92"/>
      <c r="PGG357" s="92"/>
      <c r="PGH357" s="92"/>
      <c r="PGI357" s="92"/>
      <c r="PGJ357" s="92"/>
      <c r="PGK357" s="92"/>
      <c r="PGL357" s="92"/>
      <c r="PGM357" s="92"/>
      <c r="PGN357" s="92"/>
      <c r="PGO357" s="92"/>
      <c r="PGP357" s="92"/>
      <c r="PGQ357" s="92"/>
      <c r="PGR357" s="92"/>
      <c r="PGS357" s="92"/>
      <c r="PGT357" s="92"/>
      <c r="PGU357" s="92"/>
      <c r="PGV357" s="92"/>
      <c r="PGW357" s="92"/>
      <c r="PGX357" s="92"/>
      <c r="PGY357" s="92"/>
      <c r="PGZ357" s="92"/>
      <c r="PHA357" s="92"/>
      <c r="PHB357" s="92"/>
      <c r="PHC357" s="92"/>
      <c r="PHD357" s="92"/>
      <c r="PHE357" s="92"/>
      <c r="PHF357" s="92"/>
      <c r="PHG357" s="92"/>
      <c r="PHH357" s="92"/>
      <c r="PHI357" s="92"/>
      <c r="PHJ357" s="92"/>
      <c r="PHK357" s="92"/>
      <c r="PHL357" s="92"/>
      <c r="PHM357" s="92"/>
      <c r="PHN357" s="92"/>
      <c r="PHO357" s="92"/>
      <c r="PHP357" s="92"/>
      <c r="PHQ357" s="92"/>
      <c r="PHR357" s="92"/>
      <c r="PHS357" s="92"/>
      <c r="PHT357" s="92"/>
      <c r="PHU357" s="92"/>
      <c r="PHV357" s="92"/>
      <c r="PHW357" s="92"/>
      <c r="PHX357" s="92"/>
      <c r="PHY357" s="92"/>
      <c r="PHZ357" s="92"/>
      <c r="PIA357" s="92"/>
      <c r="PIB357" s="92"/>
      <c r="PIC357" s="92"/>
      <c r="PID357" s="92"/>
      <c r="PIE357" s="92"/>
      <c r="PIF357" s="92"/>
      <c r="PIG357" s="92"/>
      <c r="PIH357" s="92"/>
      <c r="PII357" s="92"/>
      <c r="PIJ357" s="92"/>
      <c r="PIK357" s="92"/>
      <c r="PIL357" s="92"/>
      <c r="PIM357" s="92"/>
      <c r="PIN357" s="92"/>
      <c r="PIO357" s="92"/>
      <c r="PIP357" s="92"/>
      <c r="PIQ357" s="92"/>
      <c r="PIR357" s="92"/>
      <c r="PIS357" s="92"/>
      <c r="PIT357" s="92"/>
      <c r="PIU357" s="92"/>
      <c r="PIV357" s="92"/>
      <c r="PIW357" s="92"/>
      <c r="PIX357" s="92"/>
      <c r="PIY357" s="92"/>
      <c r="PIZ357" s="92"/>
      <c r="PJA357" s="92"/>
      <c r="PJB357" s="92"/>
      <c r="PJC357" s="92"/>
      <c r="PJD357" s="92"/>
      <c r="PJE357" s="92"/>
      <c r="PJF357" s="92"/>
      <c r="PJG357" s="92"/>
      <c r="PJH357" s="92"/>
      <c r="PJI357" s="92"/>
      <c r="PJJ357" s="92"/>
      <c r="PJK357" s="92"/>
      <c r="PJL357" s="92"/>
      <c r="PJM357" s="92"/>
      <c r="PJN357" s="92"/>
      <c r="PJO357" s="92"/>
      <c r="PJP357" s="92"/>
      <c r="PJQ357" s="92"/>
      <c r="PJR357" s="92"/>
      <c r="PJS357" s="92"/>
      <c r="PJT357" s="92"/>
      <c r="PJU357" s="92"/>
      <c r="PJV357" s="92"/>
      <c r="PJW357" s="92"/>
      <c r="PJX357" s="92"/>
      <c r="PJY357" s="92"/>
      <c r="PJZ357" s="92"/>
      <c r="PKA357" s="92"/>
      <c r="PKB357" s="92"/>
      <c r="PKC357" s="92"/>
      <c r="PKD357" s="92"/>
      <c r="PKE357" s="92"/>
      <c r="PKF357" s="92"/>
      <c r="PKG357" s="92"/>
      <c r="PKH357" s="92"/>
      <c r="PKI357" s="92"/>
      <c r="PKJ357" s="92"/>
      <c r="PKK357" s="92"/>
      <c r="PKL357" s="92"/>
      <c r="PKM357" s="92"/>
      <c r="PKN357" s="92"/>
      <c r="PKO357" s="92"/>
      <c r="PKP357" s="92"/>
      <c r="PKQ357" s="92"/>
      <c r="PKR357" s="92"/>
      <c r="PKS357" s="92"/>
      <c r="PKT357" s="92"/>
      <c r="PKU357" s="92"/>
      <c r="PKV357" s="92"/>
      <c r="PKW357" s="92"/>
      <c r="PKX357" s="92"/>
      <c r="PKY357" s="92"/>
      <c r="PKZ357" s="92"/>
      <c r="PLA357" s="92"/>
      <c r="PLB357" s="92"/>
      <c r="PLC357" s="92"/>
      <c r="PLD357" s="92"/>
      <c r="PLE357" s="92"/>
      <c r="PLF357" s="92"/>
      <c r="PLG357" s="92"/>
      <c r="PLH357" s="92"/>
      <c r="PLI357" s="92"/>
      <c r="PLJ357" s="92"/>
      <c r="PLK357" s="92"/>
      <c r="PLL357" s="92"/>
      <c r="PLM357" s="92"/>
      <c r="PLN357" s="92"/>
      <c r="PLO357" s="92"/>
      <c r="PLP357" s="92"/>
      <c r="PLQ357" s="92"/>
      <c r="PLR357" s="92"/>
      <c r="PLS357" s="92"/>
      <c r="PLT357" s="92"/>
      <c r="PLU357" s="92"/>
      <c r="PLV357" s="92"/>
      <c r="PLW357" s="92"/>
      <c r="PLX357" s="92"/>
      <c r="PLY357" s="92"/>
      <c r="PLZ357" s="92"/>
      <c r="PMA357" s="92"/>
      <c r="PMB357" s="92"/>
      <c r="PMC357" s="92"/>
      <c r="PMD357" s="92"/>
      <c r="PME357" s="92"/>
      <c r="PMF357" s="92"/>
      <c r="PMG357" s="92"/>
      <c r="PMH357" s="92"/>
      <c r="PMI357" s="92"/>
      <c r="PMJ357" s="92"/>
      <c r="PMK357" s="92"/>
      <c r="PML357" s="92"/>
      <c r="PMM357" s="92"/>
      <c r="PMN357" s="92"/>
      <c r="PMO357" s="92"/>
      <c r="PMP357" s="92"/>
      <c r="PMQ357" s="92"/>
      <c r="PMR357" s="92"/>
      <c r="PMS357" s="92"/>
      <c r="PMT357" s="92"/>
      <c r="PMU357" s="92"/>
      <c r="PMV357" s="92"/>
      <c r="PMW357" s="92"/>
      <c r="PMX357" s="92"/>
      <c r="PMY357" s="92"/>
      <c r="PMZ357" s="92"/>
      <c r="PNA357" s="92"/>
      <c r="PNB357" s="92"/>
      <c r="PNC357" s="92"/>
      <c r="PND357" s="92"/>
      <c r="PNE357" s="92"/>
      <c r="PNF357" s="92"/>
      <c r="PNG357" s="92"/>
      <c r="PNH357" s="92"/>
      <c r="PNI357" s="92"/>
      <c r="PNJ357" s="92"/>
      <c r="PNK357" s="92"/>
      <c r="PNL357" s="92"/>
      <c r="PNM357" s="92"/>
      <c r="PNN357" s="92"/>
      <c r="PNO357" s="92"/>
      <c r="PNP357" s="92"/>
      <c r="PNQ357" s="92"/>
      <c r="PNR357" s="92"/>
      <c r="PNS357" s="92"/>
      <c r="PNT357" s="92"/>
      <c r="PNU357" s="92"/>
      <c r="PNV357" s="92"/>
      <c r="PNW357" s="92"/>
      <c r="PNX357" s="92"/>
      <c r="PNY357" s="92"/>
      <c r="PNZ357" s="92"/>
      <c r="POA357" s="92"/>
      <c r="POB357" s="92"/>
      <c r="POC357" s="92"/>
      <c r="POD357" s="92"/>
      <c r="POE357" s="92"/>
      <c r="POF357" s="92"/>
      <c r="POG357" s="92"/>
      <c r="POH357" s="92"/>
      <c r="POI357" s="92"/>
      <c r="POJ357" s="92"/>
      <c r="POK357" s="92"/>
      <c r="POL357" s="92"/>
      <c r="POM357" s="92"/>
      <c r="PON357" s="92"/>
      <c r="POO357" s="92"/>
      <c r="POP357" s="92"/>
      <c r="POQ357" s="92"/>
      <c r="POR357" s="92"/>
      <c r="POS357" s="92"/>
      <c r="POT357" s="92"/>
      <c r="POU357" s="92"/>
      <c r="POV357" s="92"/>
      <c r="POW357" s="92"/>
      <c r="POX357" s="92"/>
      <c r="POY357" s="92"/>
      <c r="POZ357" s="92"/>
      <c r="PPA357" s="92"/>
      <c r="PPB357" s="92"/>
      <c r="PPC357" s="92"/>
      <c r="PPD357" s="92"/>
      <c r="PPE357" s="92"/>
      <c r="PPF357" s="92"/>
      <c r="PPG357" s="92"/>
      <c r="PPH357" s="92"/>
      <c r="PPI357" s="92"/>
      <c r="PPJ357" s="92"/>
      <c r="PPK357" s="92"/>
      <c r="PPL357" s="92"/>
      <c r="PPM357" s="92"/>
      <c r="PPN357" s="92"/>
      <c r="PPO357" s="92"/>
      <c r="PPP357" s="92"/>
      <c r="PPQ357" s="92"/>
      <c r="PPR357" s="92"/>
      <c r="PPS357" s="92"/>
      <c r="PPT357" s="92"/>
      <c r="PPU357" s="92"/>
      <c r="PPV357" s="92"/>
      <c r="PPW357" s="92"/>
      <c r="PPX357" s="92"/>
      <c r="PPY357" s="92"/>
      <c r="PPZ357" s="92"/>
      <c r="PQA357" s="92"/>
      <c r="PQB357" s="92"/>
      <c r="PQC357" s="92"/>
      <c r="PQD357" s="92"/>
      <c r="PQE357" s="92"/>
      <c r="PQF357" s="92"/>
      <c r="PQG357" s="92"/>
      <c r="PQH357" s="92"/>
      <c r="PQI357" s="92"/>
      <c r="PQJ357" s="92"/>
      <c r="PQK357" s="92"/>
      <c r="PQL357" s="92"/>
      <c r="PQM357" s="92"/>
      <c r="PQN357" s="92"/>
      <c r="PQO357" s="92"/>
      <c r="PQP357" s="92"/>
      <c r="PQQ357" s="92"/>
      <c r="PQR357" s="92"/>
      <c r="PQS357" s="92"/>
      <c r="PQT357" s="92"/>
      <c r="PQU357" s="92"/>
      <c r="PQV357" s="92"/>
      <c r="PQW357" s="92"/>
      <c r="PQX357" s="92"/>
      <c r="PQY357" s="92"/>
      <c r="PQZ357" s="92"/>
      <c r="PRA357" s="92"/>
      <c r="PRB357" s="92"/>
      <c r="PRC357" s="92"/>
      <c r="PRD357" s="92"/>
      <c r="PRE357" s="92"/>
      <c r="PRF357" s="92"/>
      <c r="PRG357" s="92"/>
      <c r="PRH357" s="92"/>
      <c r="PRI357" s="92"/>
      <c r="PRJ357" s="92"/>
      <c r="PRK357" s="92"/>
      <c r="PRL357" s="92"/>
      <c r="PRM357" s="92"/>
      <c r="PRN357" s="92"/>
      <c r="PRO357" s="92"/>
      <c r="PRP357" s="92"/>
      <c r="PRQ357" s="92"/>
      <c r="PRR357" s="92"/>
      <c r="PRS357" s="92"/>
      <c r="PRT357" s="92"/>
      <c r="PRU357" s="92"/>
      <c r="PRV357" s="92"/>
      <c r="PRW357" s="92"/>
      <c r="PRX357" s="92"/>
      <c r="PRY357" s="92"/>
      <c r="PRZ357" s="92"/>
      <c r="PSA357" s="92"/>
      <c r="PSB357" s="92"/>
      <c r="PSC357" s="92"/>
      <c r="PSD357" s="92"/>
      <c r="PSE357" s="92"/>
      <c r="PSF357" s="92"/>
      <c r="PSG357" s="92"/>
      <c r="PSH357" s="92"/>
      <c r="PSI357" s="92"/>
      <c r="PSJ357" s="92"/>
      <c r="PSK357" s="92"/>
      <c r="PSL357" s="92"/>
      <c r="PSM357" s="92"/>
      <c r="PSN357" s="92"/>
      <c r="PSO357" s="92"/>
      <c r="PSP357" s="92"/>
      <c r="PSQ357" s="92"/>
      <c r="PSR357" s="92"/>
      <c r="PSS357" s="92"/>
      <c r="PST357" s="92"/>
      <c r="PSU357" s="92"/>
      <c r="PSV357" s="92"/>
      <c r="PSW357" s="92"/>
      <c r="PSX357" s="92"/>
      <c r="PSY357" s="92"/>
      <c r="PSZ357" s="92"/>
      <c r="PTA357" s="92"/>
      <c r="PTB357" s="92"/>
      <c r="PTC357" s="92"/>
      <c r="PTD357" s="92"/>
      <c r="PTE357" s="92"/>
      <c r="PTF357" s="92"/>
      <c r="PTG357" s="92"/>
      <c r="PTH357" s="92"/>
      <c r="PTI357" s="92"/>
      <c r="PTJ357" s="92"/>
      <c r="PTK357" s="92"/>
      <c r="PTL357" s="92"/>
      <c r="PTM357" s="92"/>
      <c r="PTN357" s="92"/>
      <c r="PTO357" s="92"/>
      <c r="PTP357" s="92"/>
      <c r="PTQ357" s="92"/>
      <c r="PTR357" s="92"/>
      <c r="PTS357" s="92"/>
      <c r="PTT357" s="92"/>
      <c r="PTU357" s="92"/>
      <c r="PTV357" s="92"/>
      <c r="PTW357" s="92"/>
      <c r="PTX357" s="92"/>
      <c r="PTY357" s="92"/>
      <c r="PTZ357" s="92"/>
      <c r="PUA357" s="92"/>
      <c r="PUB357" s="92"/>
      <c r="PUC357" s="92"/>
      <c r="PUD357" s="92"/>
      <c r="PUE357" s="92"/>
      <c r="PUF357" s="92"/>
      <c r="PUG357" s="92"/>
      <c r="PUH357" s="92"/>
      <c r="PUI357" s="92"/>
      <c r="PUJ357" s="92"/>
      <c r="PUK357" s="92"/>
      <c r="PUL357" s="92"/>
      <c r="PUM357" s="92"/>
      <c r="PUN357" s="92"/>
      <c r="PUO357" s="92"/>
      <c r="PUP357" s="92"/>
      <c r="PUQ357" s="92"/>
      <c r="PUR357" s="92"/>
      <c r="PUS357" s="92"/>
      <c r="PUT357" s="92"/>
      <c r="PUU357" s="92"/>
      <c r="PUV357" s="92"/>
      <c r="PUW357" s="92"/>
      <c r="PUX357" s="92"/>
      <c r="PUY357" s="92"/>
      <c r="PUZ357" s="92"/>
      <c r="PVA357" s="92"/>
      <c r="PVB357" s="92"/>
      <c r="PVC357" s="92"/>
      <c r="PVD357" s="92"/>
      <c r="PVE357" s="92"/>
      <c r="PVF357" s="92"/>
      <c r="PVG357" s="92"/>
      <c r="PVH357" s="92"/>
      <c r="PVI357" s="92"/>
      <c r="PVJ357" s="92"/>
      <c r="PVK357" s="92"/>
      <c r="PVL357" s="92"/>
      <c r="PVM357" s="92"/>
      <c r="PVN357" s="92"/>
      <c r="PVO357" s="92"/>
      <c r="PVP357" s="92"/>
      <c r="PVQ357" s="92"/>
      <c r="PVR357" s="92"/>
      <c r="PVS357" s="92"/>
      <c r="PVT357" s="92"/>
      <c r="PVU357" s="92"/>
      <c r="PVV357" s="92"/>
      <c r="PVW357" s="92"/>
      <c r="PVX357" s="92"/>
      <c r="PVY357" s="92"/>
      <c r="PVZ357" s="92"/>
      <c r="PWA357" s="92"/>
      <c r="PWB357" s="92"/>
      <c r="PWC357" s="92"/>
      <c r="PWD357" s="92"/>
      <c r="PWE357" s="92"/>
      <c r="PWF357" s="92"/>
      <c r="PWG357" s="92"/>
      <c r="PWH357" s="92"/>
      <c r="PWI357" s="92"/>
      <c r="PWJ357" s="92"/>
      <c r="PWK357" s="92"/>
      <c r="PWL357" s="92"/>
      <c r="PWM357" s="92"/>
      <c r="PWN357" s="92"/>
      <c r="PWO357" s="92"/>
      <c r="PWP357" s="92"/>
      <c r="PWQ357" s="92"/>
      <c r="PWR357" s="92"/>
      <c r="PWS357" s="92"/>
      <c r="PWT357" s="92"/>
      <c r="PWU357" s="92"/>
      <c r="PWV357" s="92"/>
      <c r="PWW357" s="92"/>
      <c r="PWX357" s="92"/>
      <c r="PWY357" s="92"/>
      <c r="PWZ357" s="92"/>
      <c r="PXA357" s="92"/>
      <c r="PXB357" s="92"/>
      <c r="PXC357" s="92"/>
      <c r="PXD357" s="92"/>
      <c r="PXE357" s="92"/>
      <c r="PXF357" s="92"/>
      <c r="PXG357" s="92"/>
      <c r="PXH357" s="92"/>
      <c r="PXI357" s="92"/>
      <c r="PXJ357" s="92"/>
      <c r="PXK357" s="92"/>
      <c r="PXL357" s="92"/>
      <c r="PXM357" s="92"/>
      <c r="PXN357" s="92"/>
      <c r="PXO357" s="92"/>
      <c r="PXP357" s="92"/>
      <c r="PXQ357" s="92"/>
      <c r="PXR357" s="92"/>
      <c r="PXS357" s="92"/>
      <c r="PXT357" s="92"/>
      <c r="PXU357" s="92"/>
      <c r="PXV357" s="92"/>
      <c r="PXW357" s="92"/>
      <c r="PXX357" s="92"/>
      <c r="PXY357" s="92"/>
      <c r="PXZ357" s="92"/>
      <c r="PYA357" s="92"/>
      <c r="PYB357" s="92"/>
      <c r="PYC357" s="92"/>
      <c r="PYD357" s="92"/>
      <c r="PYE357" s="92"/>
      <c r="PYF357" s="92"/>
      <c r="PYG357" s="92"/>
      <c r="PYH357" s="92"/>
      <c r="PYI357" s="92"/>
      <c r="PYJ357" s="92"/>
      <c r="PYK357" s="92"/>
      <c r="PYL357" s="92"/>
      <c r="PYM357" s="92"/>
      <c r="PYN357" s="92"/>
      <c r="PYO357" s="92"/>
      <c r="PYP357" s="92"/>
      <c r="PYQ357" s="92"/>
      <c r="PYR357" s="92"/>
      <c r="PYS357" s="92"/>
      <c r="PYT357" s="92"/>
      <c r="PYU357" s="92"/>
      <c r="PYV357" s="92"/>
      <c r="PYW357" s="92"/>
      <c r="PYX357" s="92"/>
      <c r="PYY357" s="92"/>
      <c r="PYZ357" s="92"/>
      <c r="PZA357" s="92"/>
      <c r="PZB357" s="92"/>
      <c r="PZC357" s="92"/>
      <c r="PZD357" s="92"/>
      <c r="PZE357" s="92"/>
      <c r="PZF357" s="92"/>
      <c r="PZG357" s="92"/>
      <c r="PZH357" s="92"/>
      <c r="PZI357" s="92"/>
      <c r="PZJ357" s="92"/>
      <c r="PZK357" s="92"/>
      <c r="PZL357" s="92"/>
      <c r="PZM357" s="92"/>
      <c r="PZN357" s="92"/>
      <c r="PZO357" s="92"/>
      <c r="PZP357" s="92"/>
      <c r="PZQ357" s="92"/>
      <c r="PZR357" s="92"/>
      <c r="PZS357" s="92"/>
      <c r="PZT357" s="92"/>
      <c r="PZU357" s="92"/>
      <c r="PZV357" s="92"/>
      <c r="PZW357" s="92"/>
      <c r="PZX357" s="92"/>
      <c r="PZY357" s="92"/>
      <c r="PZZ357" s="92"/>
      <c r="QAA357" s="92"/>
      <c r="QAB357" s="92"/>
      <c r="QAC357" s="92"/>
      <c r="QAD357" s="92"/>
      <c r="QAE357" s="92"/>
      <c r="QAF357" s="92"/>
      <c r="QAG357" s="92"/>
      <c r="QAH357" s="92"/>
      <c r="QAI357" s="92"/>
      <c r="QAJ357" s="92"/>
      <c r="QAK357" s="92"/>
      <c r="QAL357" s="92"/>
      <c r="QAM357" s="92"/>
      <c r="QAN357" s="92"/>
      <c r="QAO357" s="92"/>
      <c r="QAP357" s="92"/>
      <c r="QAQ357" s="92"/>
      <c r="QAR357" s="92"/>
      <c r="QAS357" s="92"/>
      <c r="QAT357" s="92"/>
      <c r="QAU357" s="92"/>
      <c r="QAV357" s="92"/>
      <c r="QAW357" s="92"/>
      <c r="QAX357" s="92"/>
      <c r="QAY357" s="92"/>
      <c r="QAZ357" s="92"/>
      <c r="QBA357" s="92"/>
      <c r="QBB357" s="92"/>
      <c r="QBC357" s="92"/>
      <c r="QBD357" s="92"/>
      <c r="QBE357" s="92"/>
      <c r="QBF357" s="92"/>
      <c r="QBG357" s="92"/>
      <c r="QBH357" s="92"/>
      <c r="QBI357" s="92"/>
      <c r="QBJ357" s="92"/>
      <c r="QBK357" s="92"/>
      <c r="QBL357" s="92"/>
      <c r="QBM357" s="92"/>
      <c r="QBN357" s="92"/>
      <c r="QBO357" s="92"/>
      <c r="QBP357" s="92"/>
      <c r="QBQ357" s="92"/>
      <c r="QBR357" s="92"/>
      <c r="QBS357" s="92"/>
      <c r="QBT357" s="92"/>
      <c r="QBU357" s="92"/>
      <c r="QBV357" s="92"/>
      <c r="QBW357" s="92"/>
      <c r="QBX357" s="92"/>
      <c r="QBY357" s="92"/>
      <c r="QBZ357" s="92"/>
      <c r="QCA357" s="92"/>
      <c r="QCB357" s="92"/>
      <c r="QCC357" s="92"/>
      <c r="QCD357" s="92"/>
      <c r="QCE357" s="92"/>
      <c r="QCF357" s="92"/>
      <c r="QCG357" s="92"/>
      <c r="QCH357" s="92"/>
      <c r="QCI357" s="92"/>
      <c r="QCJ357" s="92"/>
      <c r="QCK357" s="92"/>
      <c r="QCL357" s="92"/>
      <c r="QCM357" s="92"/>
      <c r="QCN357" s="92"/>
      <c r="QCO357" s="92"/>
      <c r="QCP357" s="92"/>
      <c r="QCQ357" s="92"/>
      <c r="QCR357" s="92"/>
      <c r="QCS357" s="92"/>
      <c r="QCT357" s="92"/>
      <c r="QCU357" s="92"/>
      <c r="QCV357" s="92"/>
      <c r="QCW357" s="92"/>
      <c r="QCX357" s="92"/>
      <c r="QCY357" s="92"/>
      <c r="QCZ357" s="92"/>
      <c r="QDA357" s="92"/>
      <c r="QDB357" s="92"/>
      <c r="QDC357" s="92"/>
      <c r="QDD357" s="92"/>
      <c r="QDE357" s="92"/>
      <c r="QDF357" s="92"/>
      <c r="QDG357" s="92"/>
      <c r="QDH357" s="92"/>
      <c r="QDI357" s="92"/>
      <c r="QDJ357" s="92"/>
      <c r="QDK357" s="92"/>
      <c r="QDL357" s="92"/>
      <c r="QDM357" s="92"/>
      <c r="QDN357" s="92"/>
      <c r="QDO357" s="92"/>
      <c r="QDP357" s="92"/>
      <c r="QDQ357" s="92"/>
      <c r="QDR357" s="92"/>
      <c r="QDS357" s="92"/>
      <c r="QDT357" s="92"/>
      <c r="QDU357" s="92"/>
      <c r="QDV357" s="92"/>
      <c r="QDW357" s="92"/>
      <c r="QDX357" s="92"/>
      <c r="QDY357" s="92"/>
      <c r="QDZ357" s="92"/>
      <c r="QEA357" s="92"/>
      <c r="QEB357" s="92"/>
      <c r="QEC357" s="92"/>
      <c r="QED357" s="92"/>
      <c r="QEE357" s="92"/>
      <c r="QEF357" s="92"/>
      <c r="QEG357" s="92"/>
      <c r="QEH357" s="92"/>
      <c r="QEI357" s="92"/>
      <c r="QEJ357" s="92"/>
      <c r="QEK357" s="92"/>
      <c r="QEL357" s="92"/>
      <c r="QEM357" s="92"/>
      <c r="QEN357" s="92"/>
      <c r="QEO357" s="92"/>
      <c r="QEP357" s="92"/>
      <c r="QEQ357" s="92"/>
      <c r="QER357" s="92"/>
      <c r="QES357" s="92"/>
      <c r="QET357" s="92"/>
      <c r="QEU357" s="92"/>
      <c r="QEV357" s="92"/>
      <c r="QEW357" s="92"/>
      <c r="QEX357" s="92"/>
      <c r="QEY357" s="92"/>
      <c r="QEZ357" s="92"/>
      <c r="QFA357" s="92"/>
      <c r="QFB357" s="92"/>
      <c r="QFC357" s="92"/>
      <c r="QFD357" s="92"/>
      <c r="QFE357" s="92"/>
      <c r="QFF357" s="92"/>
      <c r="QFG357" s="92"/>
      <c r="QFH357" s="92"/>
      <c r="QFI357" s="92"/>
      <c r="QFJ357" s="92"/>
      <c r="QFK357" s="92"/>
      <c r="QFL357" s="92"/>
      <c r="QFM357" s="92"/>
      <c r="QFN357" s="92"/>
      <c r="QFO357" s="92"/>
      <c r="QFP357" s="92"/>
      <c r="QFQ357" s="92"/>
      <c r="QFR357" s="92"/>
      <c r="QFS357" s="92"/>
      <c r="QFT357" s="92"/>
      <c r="QFU357" s="92"/>
      <c r="QFV357" s="92"/>
      <c r="QFW357" s="92"/>
      <c r="QFX357" s="92"/>
      <c r="QFY357" s="92"/>
      <c r="QFZ357" s="92"/>
      <c r="QGA357" s="92"/>
      <c r="QGB357" s="92"/>
      <c r="QGC357" s="92"/>
      <c r="QGD357" s="92"/>
      <c r="QGE357" s="92"/>
      <c r="QGF357" s="92"/>
      <c r="QGG357" s="92"/>
      <c r="QGH357" s="92"/>
      <c r="QGI357" s="92"/>
      <c r="QGJ357" s="92"/>
      <c r="QGK357" s="92"/>
      <c r="QGL357" s="92"/>
      <c r="QGM357" s="92"/>
      <c r="QGN357" s="92"/>
      <c r="QGO357" s="92"/>
      <c r="QGP357" s="92"/>
      <c r="QGQ357" s="92"/>
      <c r="QGR357" s="92"/>
      <c r="QGS357" s="92"/>
      <c r="QGT357" s="92"/>
      <c r="QGU357" s="92"/>
      <c r="QGV357" s="92"/>
      <c r="QGW357" s="92"/>
      <c r="QGX357" s="92"/>
      <c r="QGY357" s="92"/>
      <c r="QGZ357" s="92"/>
      <c r="QHA357" s="92"/>
      <c r="QHB357" s="92"/>
      <c r="QHC357" s="92"/>
      <c r="QHD357" s="92"/>
      <c r="QHE357" s="92"/>
      <c r="QHF357" s="92"/>
      <c r="QHG357" s="92"/>
      <c r="QHH357" s="92"/>
      <c r="QHI357" s="92"/>
      <c r="QHJ357" s="92"/>
      <c r="QHK357" s="92"/>
      <c r="QHL357" s="92"/>
      <c r="QHM357" s="92"/>
      <c r="QHN357" s="92"/>
      <c r="QHO357" s="92"/>
      <c r="QHP357" s="92"/>
      <c r="QHQ357" s="92"/>
      <c r="QHR357" s="92"/>
      <c r="QHS357" s="92"/>
      <c r="QHT357" s="92"/>
      <c r="QHU357" s="92"/>
      <c r="QHV357" s="92"/>
      <c r="QHW357" s="92"/>
      <c r="QHX357" s="92"/>
      <c r="QHY357" s="92"/>
      <c r="QHZ357" s="92"/>
      <c r="QIA357" s="92"/>
      <c r="QIB357" s="92"/>
      <c r="QIC357" s="92"/>
      <c r="QID357" s="92"/>
      <c r="QIE357" s="92"/>
      <c r="QIF357" s="92"/>
      <c r="QIG357" s="92"/>
      <c r="QIH357" s="92"/>
      <c r="QII357" s="92"/>
      <c r="QIJ357" s="92"/>
      <c r="QIK357" s="92"/>
      <c r="QIL357" s="92"/>
      <c r="QIM357" s="92"/>
      <c r="QIN357" s="92"/>
      <c r="QIO357" s="92"/>
      <c r="QIP357" s="92"/>
      <c r="QIQ357" s="92"/>
      <c r="QIR357" s="92"/>
      <c r="QIS357" s="92"/>
      <c r="QIT357" s="92"/>
      <c r="QIU357" s="92"/>
      <c r="QIV357" s="92"/>
      <c r="QIW357" s="92"/>
      <c r="QIX357" s="92"/>
      <c r="QIY357" s="92"/>
      <c r="QIZ357" s="92"/>
      <c r="QJA357" s="92"/>
      <c r="QJB357" s="92"/>
      <c r="QJC357" s="92"/>
      <c r="QJD357" s="92"/>
      <c r="QJE357" s="92"/>
      <c r="QJF357" s="92"/>
      <c r="QJG357" s="92"/>
      <c r="QJH357" s="92"/>
      <c r="QJI357" s="92"/>
      <c r="QJJ357" s="92"/>
      <c r="QJK357" s="92"/>
      <c r="QJL357" s="92"/>
      <c r="QJM357" s="92"/>
      <c r="QJN357" s="92"/>
      <c r="QJO357" s="92"/>
      <c r="QJP357" s="92"/>
      <c r="QJQ357" s="92"/>
      <c r="QJR357" s="92"/>
      <c r="QJS357" s="92"/>
      <c r="QJT357" s="92"/>
      <c r="QJU357" s="92"/>
      <c r="QJV357" s="92"/>
      <c r="QJW357" s="92"/>
      <c r="QJX357" s="92"/>
      <c r="QJY357" s="92"/>
      <c r="QJZ357" s="92"/>
      <c r="QKA357" s="92"/>
      <c r="QKB357" s="92"/>
      <c r="QKC357" s="92"/>
      <c r="QKD357" s="92"/>
      <c r="QKE357" s="92"/>
      <c r="QKF357" s="92"/>
      <c r="QKG357" s="92"/>
      <c r="QKH357" s="92"/>
      <c r="QKI357" s="92"/>
      <c r="QKJ357" s="92"/>
      <c r="QKK357" s="92"/>
      <c r="QKL357" s="92"/>
      <c r="QKM357" s="92"/>
      <c r="QKN357" s="92"/>
      <c r="QKO357" s="92"/>
      <c r="QKP357" s="92"/>
      <c r="QKQ357" s="92"/>
      <c r="QKR357" s="92"/>
      <c r="QKS357" s="92"/>
      <c r="QKT357" s="92"/>
      <c r="QKU357" s="92"/>
      <c r="QKV357" s="92"/>
      <c r="QKW357" s="92"/>
      <c r="QKX357" s="92"/>
      <c r="QKY357" s="92"/>
      <c r="QKZ357" s="92"/>
      <c r="QLA357" s="92"/>
      <c r="QLB357" s="92"/>
      <c r="QLC357" s="92"/>
      <c r="QLD357" s="92"/>
      <c r="QLE357" s="92"/>
      <c r="QLF357" s="92"/>
      <c r="QLG357" s="92"/>
      <c r="QLH357" s="92"/>
      <c r="QLI357" s="92"/>
      <c r="QLJ357" s="92"/>
      <c r="QLK357" s="92"/>
      <c r="QLL357" s="92"/>
      <c r="QLM357" s="92"/>
      <c r="QLN357" s="92"/>
      <c r="QLO357" s="92"/>
      <c r="QLP357" s="92"/>
      <c r="QLQ357" s="92"/>
      <c r="QLR357" s="92"/>
      <c r="QLS357" s="92"/>
      <c r="QLT357" s="92"/>
      <c r="QLU357" s="92"/>
      <c r="QLV357" s="92"/>
      <c r="QLW357" s="92"/>
      <c r="QLX357" s="92"/>
      <c r="QLY357" s="92"/>
      <c r="QLZ357" s="92"/>
      <c r="QMA357" s="92"/>
      <c r="QMB357" s="92"/>
      <c r="QMC357" s="92"/>
      <c r="QMD357" s="92"/>
      <c r="QME357" s="92"/>
      <c r="QMF357" s="92"/>
      <c r="QMG357" s="92"/>
      <c r="QMH357" s="92"/>
      <c r="QMI357" s="92"/>
      <c r="QMJ357" s="92"/>
      <c r="QMK357" s="92"/>
      <c r="QML357" s="92"/>
      <c r="QMM357" s="92"/>
      <c r="QMN357" s="92"/>
      <c r="QMO357" s="92"/>
      <c r="QMP357" s="92"/>
      <c r="QMQ357" s="92"/>
      <c r="QMR357" s="92"/>
      <c r="QMS357" s="92"/>
      <c r="QMT357" s="92"/>
      <c r="QMU357" s="92"/>
      <c r="QMV357" s="92"/>
      <c r="QMW357" s="92"/>
      <c r="QMX357" s="92"/>
      <c r="QMY357" s="92"/>
      <c r="QMZ357" s="92"/>
      <c r="QNA357" s="92"/>
      <c r="QNB357" s="92"/>
      <c r="QNC357" s="92"/>
      <c r="QND357" s="92"/>
      <c r="QNE357" s="92"/>
      <c r="QNF357" s="92"/>
      <c r="QNG357" s="92"/>
      <c r="QNH357" s="92"/>
      <c r="QNI357" s="92"/>
      <c r="QNJ357" s="92"/>
      <c r="QNK357" s="92"/>
      <c r="QNL357" s="92"/>
      <c r="QNM357" s="92"/>
      <c r="QNN357" s="92"/>
      <c r="QNO357" s="92"/>
      <c r="QNP357" s="92"/>
      <c r="QNQ357" s="92"/>
      <c r="QNR357" s="92"/>
      <c r="QNS357" s="92"/>
      <c r="QNT357" s="92"/>
      <c r="QNU357" s="92"/>
      <c r="QNV357" s="92"/>
      <c r="QNW357" s="92"/>
      <c r="QNX357" s="92"/>
      <c r="QNY357" s="92"/>
      <c r="QNZ357" s="92"/>
      <c r="QOA357" s="92"/>
      <c r="QOB357" s="92"/>
      <c r="QOC357" s="92"/>
      <c r="QOD357" s="92"/>
      <c r="QOE357" s="92"/>
      <c r="QOF357" s="92"/>
      <c r="QOG357" s="92"/>
      <c r="QOH357" s="92"/>
      <c r="QOI357" s="92"/>
      <c r="QOJ357" s="92"/>
      <c r="QOK357" s="92"/>
      <c r="QOL357" s="92"/>
      <c r="QOM357" s="92"/>
      <c r="QON357" s="92"/>
      <c r="QOO357" s="92"/>
      <c r="QOP357" s="92"/>
      <c r="QOQ357" s="92"/>
      <c r="QOR357" s="92"/>
      <c r="QOS357" s="92"/>
      <c r="QOT357" s="92"/>
      <c r="QOU357" s="92"/>
      <c r="QOV357" s="92"/>
      <c r="QOW357" s="92"/>
      <c r="QOX357" s="92"/>
      <c r="QOY357" s="92"/>
      <c r="QOZ357" s="92"/>
      <c r="QPA357" s="92"/>
      <c r="QPB357" s="92"/>
      <c r="QPC357" s="92"/>
      <c r="QPD357" s="92"/>
      <c r="QPE357" s="92"/>
      <c r="QPF357" s="92"/>
      <c r="QPG357" s="92"/>
      <c r="QPH357" s="92"/>
      <c r="QPI357" s="92"/>
      <c r="QPJ357" s="92"/>
      <c r="QPK357" s="92"/>
      <c r="QPL357" s="92"/>
      <c r="QPM357" s="92"/>
      <c r="QPN357" s="92"/>
      <c r="QPO357" s="92"/>
      <c r="QPP357" s="92"/>
      <c r="QPQ357" s="92"/>
      <c r="QPR357" s="92"/>
      <c r="QPS357" s="92"/>
      <c r="QPT357" s="92"/>
      <c r="QPU357" s="92"/>
      <c r="QPV357" s="92"/>
      <c r="QPW357" s="92"/>
      <c r="QPX357" s="92"/>
      <c r="QPY357" s="92"/>
      <c r="QPZ357" s="92"/>
      <c r="QQA357" s="92"/>
      <c r="QQB357" s="92"/>
      <c r="QQC357" s="92"/>
      <c r="QQD357" s="92"/>
      <c r="QQE357" s="92"/>
      <c r="QQF357" s="92"/>
      <c r="QQG357" s="92"/>
      <c r="QQH357" s="92"/>
      <c r="QQI357" s="92"/>
      <c r="QQJ357" s="92"/>
      <c r="QQK357" s="92"/>
      <c r="QQL357" s="92"/>
      <c r="QQM357" s="92"/>
      <c r="QQN357" s="92"/>
      <c r="QQO357" s="92"/>
      <c r="QQP357" s="92"/>
      <c r="QQQ357" s="92"/>
      <c r="QQR357" s="92"/>
      <c r="QQS357" s="92"/>
      <c r="QQT357" s="92"/>
      <c r="QQU357" s="92"/>
      <c r="QQV357" s="92"/>
      <c r="QQW357" s="92"/>
      <c r="QQX357" s="92"/>
      <c r="QQY357" s="92"/>
      <c r="QQZ357" s="92"/>
      <c r="QRA357" s="92"/>
      <c r="QRB357" s="92"/>
      <c r="QRC357" s="92"/>
      <c r="QRD357" s="92"/>
      <c r="QRE357" s="92"/>
      <c r="QRF357" s="92"/>
      <c r="QRG357" s="92"/>
      <c r="QRH357" s="92"/>
      <c r="QRI357" s="92"/>
      <c r="QRJ357" s="92"/>
      <c r="QRK357" s="92"/>
      <c r="QRL357" s="92"/>
      <c r="QRM357" s="92"/>
      <c r="QRN357" s="92"/>
      <c r="QRO357" s="92"/>
      <c r="QRP357" s="92"/>
      <c r="QRQ357" s="92"/>
      <c r="QRR357" s="92"/>
      <c r="QRS357" s="92"/>
      <c r="QRT357" s="92"/>
      <c r="QRU357" s="92"/>
      <c r="QRV357" s="92"/>
      <c r="QRW357" s="92"/>
      <c r="QRX357" s="92"/>
      <c r="QRY357" s="92"/>
      <c r="QRZ357" s="92"/>
      <c r="QSA357" s="92"/>
      <c r="QSB357" s="92"/>
      <c r="QSC357" s="92"/>
      <c r="QSD357" s="92"/>
      <c r="QSE357" s="92"/>
      <c r="QSF357" s="92"/>
      <c r="QSG357" s="92"/>
      <c r="QSH357" s="92"/>
      <c r="QSI357" s="92"/>
      <c r="QSJ357" s="92"/>
      <c r="QSK357" s="92"/>
      <c r="QSL357" s="92"/>
      <c r="QSM357" s="92"/>
      <c r="QSN357" s="92"/>
      <c r="QSO357" s="92"/>
      <c r="QSP357" s="92"/>
      <c r="QSQ357" s="92"/>
      <c r="QSR357" s="92"/>
      <c r="QSS357" s="92"/>
      <c r="QST357" s="92"/>
      <c r="QSU357" s="92"/>
      <c r="QSV357" s="92"/>
      <c r="QSW357" s="92"/>
      <c r="QSX357" s="92"/>
      <c r="QSY357" s="92"/>
      <c r="QSZ357" s="92"/>
      <c r="QTA357" s="92"/>
      <c r="QTB357" s="92"/>
      <c r="QTC357" s="92"/>
      <c r="QTD357" s="92"/>
      <c r="QTE357" s="92"/>
      <c r="QTF357" s="92"/>
      <c r="QTG357" s="92"/>
      <c r="QTH357" s="92"/>
      <c r="QTI357" s="92"/>
      <c r="QTJ357" s="92"/>
      <c r="QTK357" s="92"/>
      <c r="QTL357" s="92"/>
      <c r="QTM357" s="92"/>
      <c r="QTN357" s="92"/>
      <c r="QTO357" s="92"/>
      <c r="QTP357" s="92"/>
      <c r="QTQ357" s="92"/>
      <c r="QTR357" s="92"/>
      <c r="QTS357" s="92"/>
      <c r="QTT357" s="92"/>
      <c r="QTU357" s="92"/>
      <c r="QTV357" s="92"/>
      <c r="QTW357" s="92"/>
      <c r="QTX357" s="92"/>
      <c r="QTY357" s="92"/>
      <c r="QTZ357" s="92"/>
      <c r="QUA357" s="92"/>
      <c r="QUB357" s="92"/>
      <c r="QUC357" s="92"/>
      <c r="QUD357" s="92"/>
      <c r="QUE357" s="92"/>
      <c r="QUF357" s="92"/>
      <c r="QUG357" s="92"/>
      <c r="QUH357" s="92"/>
      <c r="QUI357" s="92"/>
      <c r="QUJ357" s="92"/>
      <c r="QUK357" s="92"/>
      <c r="QUL357" s="92"/>
      <c r="QUM357" s="92"/>
      <c r="QUN357" s="92"/>
      <c r="QUO357" s="92"/>
      <c r="QUP357" s="92"/>
      <c r="QUQ357" s="92"/>
      <c r="QUR357" s="92"/>
      <c r="QUS357" s="92"/>
      <c r="QUT357" s="92"/>
      <c r="QUU357" s="92"/>
      <c r="QUV357" s="92"/>
      <c r="QUW357" s="92"/>
      <c r="QUX357" s="92"/>
      <c r="QUY357" s="92"/>
      <c r="QUZ357" s="92"/>
      <c r="QVA357" s="92"/>
      <c r="QVB357" s="92"/>
      <c r="QVC357" s="92"/>
      <c r="QVD357" s="92"/>
      <c r="QVE357" s="92"/>
      <c r="QVF357" s="92"/>
      <c r="QVG357" s="92"/>
      <c r="QVH357" s="92"/>
      <c r="QVI357" s="92"/>
      <c r="QVJ357" s="92"/>
      <c r="QVK357" s="92"/>
      <c r="QVL357" s="92"/>
      <c r="QVM357" s="92"/>
      <c r="QVN357" s="92"/>
      <c r="QVO357" s="92"/>
      <c r="QVP357" s="92"/>
      <c r="QVQ357" s="92"/>
      <c r="QVR357" s="92"/>
      <c r="QVS357" s="92"/>
      <c r="QVT357" s="92"/>
      <c r="QVU357" s="92"/>
      <c r="QVV357" s="92"/>
      <c r="QVW357" s="92"/>
      <c r="QVX357" s="92"/>
      <c r="QVY357" s="92"/>
      <c r="QVZ357" s="92"/>
      <c r="QWA357" s="92"/>
      <c r="QWB357" s="92"/>
      <c r="QWC357" s="92"/>
      <c r="QWD357" s="92"/>
      <c r="QWE357" s="92"/>
      <c r="QWF357" s="92"/>
      <c r="QWG357" s="92"/>
      <c r="QWH357" s="92"/>
      <c r="QWI357" s="92"/>
      <c r="QWJ357" s="92"/>
      <c r="QWK357" s="92"/>
      <c r="QWL357" s="92"/>
      <c r="QWM357" s="92"/>
      <c r="QWN357" s="92"/>
      <c r="QWO357" s="92"/>
      <c r="QWP357" s="92"/>
      <c r="QWQ357" s="92"/>
      <c r="QWR357" s="92"/>
      <c r="QWS357" s="92"/>
      <c r="QWT357" s="92"/>
      <c r="QWU357" s="92"/>
      <c r="QWV357" s="92"/>
      <c r="QWW357" s="92"/>
      <c r="QWX357" s="92"/>
      <c r="QWY357" s="92"/>
      <c r="QWZ357" s="92"/>
      <c r="QXA357" s="92"/>
      <c r="QXB357" s="92"/>
      <c r="QXC357" s="92"/>
      <c r="QXD357" s="92"/>
      <c r="QXE357" s="92"/>
      <c r="QXF357" s="92"/>
      <c r="QXG357" s="92"/>
      <c r="QXH357" s="92"/>
      <c r="QXI357" s="92"/>
      <c r="QXJ357" s="92"/>
      <c r="QXK357" s="92"/>
      <c r="QXL357" s="92"/>
      <c r="QXM357" s="92"/>
      <c r="QXN357" s="92"/>
      <c r="QXO357" s="92"/>
      <c r="QXP357" s="92"/>
      <c r="QXQ357" s="92"/>
      <c r="QXR357" s="92"/>
      <c r="QXS357" s="92"/>
      <c r="QXT357" s="92"/>
      <c r="QXU357" s="92"/>
      <c r="QXV357" s="92"/>
      <c r="QXW357" s="92"/>
      <c r="QXX357" s="92"/>
      <c r="QXY357" s="92"/>
      <c r="QXZ357" s="92"/>
      <c r="QYA357" s="92"/>
      <c r="QYB357" s="92"/>
      <c r="QYC357" s="92"/>
      <c r="QYD357" s="92"/>
      <c r="QYE357" s="92"/>
      <c r="QYF357" s="92"/>
      <c r="QYG357" s="92"/>
      <c r="QYH357" s="92"/>
      <c r="QYI357" s="92"/>
      <c r="QYJ357" s="92"/>
      <c r="QYK357" s="92"/>
      <c r="QYL357" s="92"/>
      <c r="QYM357" s="92"/>
      <c r="QYN357" s="92"/>
      <c r="QYO357" s="92"/>
      <c r="QYP357" s="92"/>
      <c r="QYQ357" s="92"/>
      <c r="QYR357" s="92"/>
      <c r="QYS357" s="92"/>
      <c r="QYT357" s="92"/>
      <c r="QYU357" s="92"/>
      <c r="QYV357" s="92"/>
      <c r="QYW357" s="92"/>
      <c r="QYX357" s="92"/>
      <c r="QYY357" s="92"/>
      <c r="QYZ357" s="92"/>
      <c r="QZA357" s="92"/>
      <c r="QZB357" s="92"/>
      <c r="QZC357" s="92"/>
      <c r="QZD357" s="92"/>
      <c r="QZE357" s="92"/>
      <c r="QZF357" s="92"/>
      <c r="QZG357" s="92"/>
      <c r="QZH357" s="92"/>
      <c r="QZI357" s="92"/>
      <c r="QZJ357" s="92"/>
      <c r="QZK357" s="92"/>
      <c r="QZL357" s="92"/>
      <c r="QZM357" s="92"/>
      <c r="QZN357" s="92"/>
      <c r="QZO357" s="92"/>
      <c r="QZP357" s="92"/>
      <c r="QZQ357" s="92"/>
      <c r="QZR357" s="92"/>
      <c r="QZS357" s="92"/>
      <c r="QZT357" s="92"/>
      <c r="QZU357" s="92"/>
      <c r="QZV357" s="92"/>
      <c r="QZW357" s="92"/>
      <c r="QZX357" s="92"/>
      <c r="QZY357" s="92"/>
      <c r="QZZ357" s="92"/>
      <c r="RAA357" s="92"/>
      <c r="RAB357" s="92"/>
      <c r="RAC357" s="92"/>
      <c r="RAD357" s="92"/>
      <c r="RAE357" s="92"/>
      <c r="RAF357" s="92"/>
      <c r="RAG357" s="92"/>
      <c r="RAH357" s="92"/>
      <c r="RAI357" s="92"/>
      <c r="RAJ357" s="92"/>
      <c r="RAK357" s="92"/>
      <c r="RAL357" s="92"/>
      <c r="RAM357" s="92"/>
      <c r="RAN357" s="92"/>
      <c r="RAO357" s="92"/>
      <c r="RAP357" s="92"/>
      <c r="RAQ357" s="92"/>
      <c r="RAR357" s="92"/>
      <c r="RAS357" s="92"/>
      <c r="RAT357" s="92"/>
      <c r="RAU357" s="92"/>
      <c r="RAV357" s="92"/>
      <c r="RAW357" s="92"/>
      <c r="RAX357" s="92"/>
      <c r="RAY357" s="92"/>
      <c r="RAZ357" s="92"/>
      <c r="RBA357" s="92"/>
      <c r="RBB357" s="92"/>
      <c r="RBC357" s="92"/>
      <c r="RBD357" s="92"/>
      <c r="RBE357" s="92"/>
      <c r="RBF357" s="92"/>
      <c r="RBG357" s="92"/>
      <c r="RBH357" s="92"/>
      <c r="RBI357" s="92"/>
      <c r="RBJ357" s="92"/>
      <c r="RBK357" s="92"/>
      <c r="RBL357" s="92"/>
      <c r="RBM357" s="92"/>
      <c r="RBN357" s="92"/>
      <c r="RBO357" s="92"/>
      <c r="RBP357" s="92"/>
      <c r="RBQ357" s="92"/>
      <c r="RBR357" s="92"/>
      <c r="RBS357" s="92"/>
      <c r="RBT357" s="92"/>
      <c r="RBU357" s="92"/>
      <c r="RBV357" s="92"/>
      <c r="RBW357" s="92"/>
      <c r="RBX357" s="92"/>
      <c r="RBY357" s="92"/>
      <c r="RBZ357" s="92"/>
      <c r="RCA357" s="92"/>
      <c r="RCB357" s="92"/>
      <c r="RCC357" s="92"/>
      <c r="RCD357" s="92"/>
      <c r="RCE357" s="92"/>
      <c r="RCF357" s="92"/>
      <c r="RCG357" s="92"/>
      <c r="RCH357" s="92"/>
      <c r="RCI357" s="92"/>
      <c r="RCJ357" s="92"/>
      <c r="RCK357" s="92"/>
      <c r="RCL357" s="92"/>
      <c r="RCM357" s="92"/>
      <c r="RCN357" s="92"/>
      <c r="RCO357" s="92"/>
      <c r="RCP357" s="92"/>
      <c r="RCQ357" s="92"/>
      <c r="RCR357" s="92"/>
      <c r="RCS357" s="92"/>
      <c r="RCT357" s="92"/>
      <c r="RCU357" s="92"/>
      <c r="RCV357" s="92"/>
      <c r="RCW357" s="92"/>
      <c r="RCX357" s="92"/>
      <c r="RCY357" s="92"/>
      <c r="RCZ357" s="92"/>
      <c r="RDA357" s="92"/>
      <c r="RDB357" s="92"/>
      <c r="RDC357" s="92"/>
      <c r="RDD357" s="92"/>
      <c r="RDE357" s="92"/>
      <c r="RDF357" s="92"/>
      <c r="RDG357" s="92"/>
      <c r="RDH357" s="92"/>
      <c r="RDI357" s="92"/>
      <c r="RDJ357" s="92"/>
      <c r="RDK357" s="92"/>
      <c r="RDL357" s="92"/>
      <c r="RDM357" s="92"/>
      <c r="RDN357" s="92"/>
      <c r="RDO357" s="92"/>
      <c r="RDP357" s="92"/>
      <c r="RDQ357" s="92"/>
      <c r="RDR357" s="92"/>
      <c r="RDS357" s="92"/>
      <c r="RDT357" s="92"/>
      <c r="RDU357" s="92"/>
      <c r="RDV357" s="92"/>
      <c r="RDW357" s="92"/>
      <c r="RDX357" s="92"/>
      <c r="RDY357" s="92"/>
      <c r="RDZ357" s="92"/>
      <c r="REA357" s="92"/>
      <c r="REB357" s="92"/>
      <c r="REC357" s="92"/>
      <c r="RED357" s="92"/>
      <c r="REE357" s="92"/>
      <c r="REF357" s="92"/>
      <c r="REG357" s="92"/>
      <c r="REH357" s="92"/>
      <c r="REI357" s="92"/>
      <c r="REJ357" s="92"/>
      <c r="REK357" s="92"/>
      <c r="REL357" s="92"/>
      <c r="REM357" s="92"/>
      <c r="REN357" s="92"/>
      <c r="REO357" s="92"/>
      <c r="REP357" s="92"/>
      <c r="REQ357" s="92"/>
      <c r="RER357" s="92"/>
      <c r="RES357" s="92"/>
      <c r="RET357" s="92"/>
      <c r="REU357" s="92"/>
      <c r="REV357" s="92"/>
      <c r="REW357" s="92"/>
      <c r="REX357" s="92"/>
      <c r="REY357" s="92"/>
      <c r="REZ357" s="92"/>
      <c r="RFA357" s="92"/>
      <c r="RFB357" s="92"/>
      <c r="RFC357" s="92"/>
      <c r="RFD357" s="92"/>
      <c r="RFE357" s="92"/>
      <c r="RFF357" s="92"/>
      <c r="RFG357" s="92"/>
      <c r="RFH357" s="92"/>
      <c r="RFI357" s="92"/>
      <c r="RFJ357" s="92"/>
      <c r="RFK357" s="92"/>
      <c r="RFL357" s="92"/>
      <c r="RFM357" s="92"/>
      <c r="RFN357" s="92"/>
      <c r="RFO357" s="92"/>
      <c r="RFP357" s="92"/>
      <c r="RFQ357" s="92"/>
      <c r="RFR357" s="92"/>
      <c r="RFS357" s="92"/>
      <c r="RFT357" s="92"/>
      <c r="RFU357" s="92"/>
      <c r="RFV357" s="92"/>
      <c r="RFW357" s="92"/>
      <c r="RFX357" s="92"/>
      <c r="RFY357" s="92"/>
      <c r="RFZ357" s="92"/>
      <c r="RGA357" s="92"/>
      <c r="RGB357" s="92"/>
      <c r="RGC357" s="92"/>
      <c r="RGD357" s="92"/>
      <c r="RGE357" s="92"/>
      <c r="RGF357" s="92"/>
      <c r="RGG357" s="92"/>
      <c r="RGH357" s="92"/>
      <c r="RGI357" s="92"/>
      <c r="RGJ357" s="92"/>
      <c r="RGK357" s="92"/>
      <c r="RGL357" s="92"/>
      <c r="RGM357" s="92"/>
      <c r="RGN357" s="92"/>
      <c r="RGO357" s="92"/>
      <c r="RGP357" s="92"/>
      <c r="RGQ357" s="92"/>
      <c r="RGR357" s="92"/>
      <c r="RGS357" s="92"/>
      <c r="RGT357" s="92"/>
      <c r="RGU357" s="92"/>
      <c r="RGV357" s="92"/>
      <c r="RGW357" s="92"/>
      <c r="RGX357" s="92"/>
      <c r="RGY357" s="92"/>
      <c r="RGZ357" s="92"/>
      <c r="RHA357" s="92"/>
      <c r="RHB357" s="92"/>
      <c r="RHC357" s="92"/>
      <c r="RHD357" s="92"/>
      <c r="RHE357" s="92"/>
      <c r="RHF357" s="92"/>
      <c r="RHG357" s="92"/>
      <c r="RHH357" s="92"/>
      <c r="RHI357" s="92"/>
      <c r="RHJ357" s="92"/>
      <c r="RHK357" s="92"/>
      <c r="RHL357" s="92"/>
      <c r="RHM357" s="92"/>
      <c r="RHN357" s="92"/>
      <c r="RHO357" s="92"/>
      <c r="RHP357" s="92"/>
      <c r="RHQ357" s="92"/>
      <c r="RHR357" s="92"/>
      <c r="RHS357" s="92"/>
      <c r="RHT357" s="92"/>
      <c r="RHU357" s="92"/>
      <c r="RHV357" s="92"/>
      <c r="RHW357" s="92"/>
      <c r="RHX357" s="92"/>
      <c r="RHY357" s="92"/>
      <c r="RHZ357" s="92"/>
      <c r="RIA357" s="92"/>
      <c r="RIB357" s="92"/>
      <c r="RIC357" s="92"/>
      <c r="RID357" s="92"/>
      <c r="RIE357" s="92"/>
      <c r="RIF357" s="92"/>
      <c r="RIG357" s="92"/>
      <c r="RIH357" s="92"/>
      <c r="RII357" s="92"/>
      <c r="RIJ357" s="92"/>
      <c r="RIK357" s="92"/>
      <c r="RIL357" s="92"/>
      <c r="RIM357" s="92"/>
      <c r="RIN357" s="92"/>
      <c r="RIO357" s="92"/>
      <c r="RIP357" s="92"/>
      <c r="RIQ357" s="92"/>
      <c r="RIR357" s="92"/>
      <c r="RIS357" s="92"/>
      <c r="RIT357" s="92"/>
      <c r="RIU357" s="92"/>
      <c r="RIV357" s="92"/>
      <c r="RIW357" s="92"/>
      <c r="RIX357" s="92"/>
      <c r="RIY357" s="92"/>
      <c r="RIZ357" s="92"/>
      <c r="RJA357" s="92"/>
      <c r="RJB357" s="92"/>
      <c r="RJC357" s="92"/>
      <c r="RJD357" s="92"/>
      <c r="RJE357" s="92"/>
      <c r="RJF357" s="92"/>
      <c r="RJG357" s="92"/>
      <c r="RJH357" s="92"/>
      <c r="RJI357" s="92"/>
      <c r="RJJ357" s="92"/>
      <c r="RJK357" s="92"/>
      <c r="RJL357" s="92"/>
      <c r="RJM357" s="92"/>
      <c r="RJN357" s="92"/>
      <c r="RJO357" s="92"/>
      <c r="RJP357" s="92"/>
      <c r="RJQ357" s="92"/>
      <c r="RJR357" s="92"/>
      <c r="RJS357" s="92"/>
      <c r="RJT357" s="92"/>
      <c r="RJU357" s="92"/>
      <c r="RJV357" s="92"/>
      <c r="RJW357" s="92"/>
      <c r="RJX357" s="92"/>
      <c r="RJY357" s="92"/>
      <c r="RJZ357" s="92"/>
      <c r="RKA357" s="92"/>
      <c r="RKB357" s="92"/>
      <c r="RKC357" s="92"/>
      <c r="RKD357" s="92"/>
      <c r="RKE357" s="92"/>
      <c r="RKF357" s="92"/>
      <c r="RKG357" s="92"/>
      <c r="RKH357" s="92"/>
      <c r="RKI357" s="92"/>
      <c r="RKJ357" s="92"/>
      <c r="RKK357" s="92"/>
      <c r="RKL357" s="92"/>
      <c r="RKM357" s="92"/>
      <c r="RKN357" s="92"/>
      <c r="RKO357" s="92"/>
      <c r="RKP357" s="92"/>
      <c r="RKQ357" s="92"/>
      <c r="RKR357" s="92"/>
      <c r="RKS357" s="92"/>
      <c r="RKT357" s="92"/>
      <c r="RKU357" s="92"/>
      <c r="RKV357" s="92"/>
      <c r="RKW357" s="92"/>
      <c r="RKX357" s="92"/>
      <c r="RKY357" s="92"/>
      <c r="RKZ357" s="92"/>
      <c r="RLA357" s="92"/>
      <c r="RLB357" s="92"/>
      <c r="RLC357" s="92"/>
      <c r="RLD357" s="92"/>
      <c r="RLE357" s="92"/>
      <c r="RLF357" s="92"/>
      <c r="RLG357" s="92"/>
      <c r="RLH357" s="92"/>
      <c r="RLI357" s="92"/>
      <c r="RLJ357" s="92"/>
      <c r="RLK357" s="92"/>
      <c r="RLL357" s="92"/>
      <c r="RLM357" s="92"/>
      <c r="RLN357" s="92"/>
      <c r="RLO357" s="92"/>
      <c r="RLP357" s="92"/>
      <c r="RLQ357" s="92"/>
      <c r="RLR357" s="92"/>
      <c r="RLS357" s="92"/>
      <c r="RLT357" s="92"/>
      <c r="RLU357" s="92"/>
      <c r="RLV357" s="92"/>
      <c r="RLW357" s="92"/>
      <c r="RLX357" s="92"/>
      <c r="RLY357" s="92"/>
      <c r="RLZ357" s="92"/>
      <c r="RMA357" s="92"/>
      <c r="RMB357" s="92"/>
      <c r="RMC357" s="92"/>
      <c r="RMD357" s="92"/>
      <c r="RME357" s="92"/>
      <c r="RMF357" s="92"/>
      <c r="RMG357" s="92"/>
      <c r="RMH357" s="92"/>
      <c r="RMI357" s="92"/>
      <c r="RMJ357" s="92"/>
      <c r="RMK357" s="92"/>
      <c r="RML357" s="92"/>
      <c r="RMM357" s="92"/>
      <c r="RMN357" s="92"/>
      <c r="RMO357" s="92"/>
      <c r="RMP357" s="92"/>
      <c r="RMQ357" s="92"/>
      <c r="RMR357" s="92"/>
      <c r="RMS357" s="92"/>
      <c r="RMT357" s="92"/>
      <c r="RMU357" s="92"/>
      <c r="RMV357" s="92"/>
      <c r="RMW357" s="92"/>
      <c r="RMX357" s="92"/>
      <c r="RMY357" s="92"/>
      <c r="RMZ357" s="92"/>
      <c r="RNA357" s="92"/>
      <c r="RNB357" s="92"/>
      <c r="RNC357" s="92"/>
      <c r="RND357" s="92"/>
      <c r="RNE357" s="92"/>
      <c r="RNF357" s="92"/>
      <c r="RNG357" s="92"/>
      <c r="RNH357" s="92"/>
      <c r="RNI357" s="92"/>
      <c r="RNJ357" s="92"/>
      <c r="RNK357" s="92"/>
      <c r="RNL357" s="92"/>
      <c r="RNM357" s="92"/>
      <c r="RNN357" s="92"/>
      <c r="RNO357" s="92"/>
      <c r="RNP357" s="92"/>
      <c r="RNQ357" s="92"/>
      <c r="RNR357" s="92"/>
      <c r="RNS357" s="92"/>
      <c r="RNT357" s="92"/>
      <c r="RNU357" s="92"/>
      <c r="RNV357" s="92"/>
      <c r="RNW357" s="92"/>
      <c r="RNX357" s="92"/>
      <c r="RNY357" s="92"/>
      <c r="RNZ357" s="92"/>
      <c r="ROA357" s="92"/>
      <c r="ROB357" s="92"/>
      <c r="ROC357" s="92"/>
      <c r="ROD357" s="92"/>
      <c r="ROE357" s="92"/>
      <c r="ROF357" s="92"/>
      <c r="ROG357" s="92"/>
      <c r="ROH357" s="92"/>
      <c r="ROI357" s="92"/>
      <c r="ROJ357" s="92"/>
      <c r="ROK357" s="92"/>
      <c r="ROL357" s="92"/>
      <c r="ROM357" s="92"/>
      <c r="RON357" s="92"/>
      <c r="ROO357" s="92"/>
      <c r="ROP357" s="92"/>
      <c r="ROQ357" s="92"/>
      <c r="ROR357" s="92"/>
      <c r="ROS357" s="92"/>
      <c r="ROT357" s="92"/>
      <c r="ROU357" s="92"/>
      <c r="ROV357" s="92"/>
      <c r="ROW357" s="92"/>
      <c r="ROX357" s="92"/>
      <c r="ROY357" s="92"/>
      <c r="ROZ357" s="92"/>
      <c r="RPA357" s="92"/>
      <c r="RPB357" s="92"/>
      <c r="RPC357" s="92"/>
      <c r="RPD357" s="92"/>
      <c r="RPE357" s="92"/>
      <c r="RPF357" s="92"/>
      <c r="RPG357" s="92"/>
      <c r="RPH357" s="92"/>
      <c r="RPI357" s="92"/>
      <c r="RPJ357" s="92"/>
      <c r="RPK357" s="92"/>
      <c r="RPL357" s="92"/>
      <c r="RPM357" s="92"/>
      <c r="RPN357" s="92"/>
      <c r="RPO357" s="92"/>
      <c r="RPP357" s="92"/>
      <c r="RPQ357" s="92"/>
      <c r="RPR357" s="92"/>
      <c r="RPS357" s="92"/>
      <c r="RPT357" s="92"/>
      <c r="RPU357" s="92"/>
      <c r="RPV357" s="92"/>
      <c r="RPW357" s="92"/>
      <c r="RPX357" s="92"/>
      <c r="RPY357" s="92"/>
      <c r="RPZ357" s="92"/>
      <c r="RQA357" s="92"/>
      <c r="RQB357" s="92"/>
      <c r="RQC357" s="92"/>
      <c r="RQD357" s="92"/>
      <c r="RQE357" s="92"/>
      <c r="RQF357" s="92"/>
      <c r="RQG357" s="92"/>
      <c r="RQH357" s="92"/>
      <c r="RQI357" s="92"/>
      <c r="RQJ357" s="92"/>
      <c r="RQK357" s="92"/>
      <c r="RQL357" s="92"/>
      <c r="RQM357" s="92"/>
      <c r="RQN357" s="92"/>
      <c r="RQO357" s="92"/>
      <c r="RQP357" s="92"/>
      <c r="RQQ357" s="92"/>
      <c r="RQR357" s="92"/>
      <c r="RQS357" s="92"/>
      <c r="RQT357" s="92"/>
      <c r="RQU357" s="92"/>
      <c r="RQV357" s="92"/>
      <c r="RQW357" s="92"/>
      <c r="RQX357" s="92"/>
      <c r="RQY357" s="92"/>
      <c r="RQZ357" s="92"/>
      <c r="RRA357" s="92"/>
      <c r="RRB357" s="92"/>
      <c r="RRC357" s="92"/>
      <c r="RRD357" s="92"/>
      <c r="RRE357" s="92"/>
      <c r="RRF357" s="92"/>
      <c r="RRG357" s="92"/>
      <c r="RRH357" s="92"/>
      <c r="RRI357" s="92"/>
      <c r="RRJ357" s="92"/>
      <c r="RRK357" s="92"/>
      <c r="RRL357" s="92"/>
      <c r="RRM357" s="92"/>
      <c r="RRN357" s="92"/>
      <c r="RRO357" s="92"/>
      <c r="RRP357" s="92"/>
      <c r="RRQ357" s="92"/>
      <c r="RRR357" s="92"/>
      <c r="RRS357" s="92"/>
      <c r="RRT357" s="92"/>
      <c r="RRU357" s="92"/>
      <c r="RRV357" s="92"/>
      <c r="RRW357" s="92"/>
      <c r="RRX357" s="92"/>
      <c r="RRY357" s="92"/>
      <c r="RRZ357" s="92"/>
      <c r="RSA357" s="92"/>
      <c r="RSB357" s="92"/>
      <c r="RSC357" s="92"/>
      <c r="RSD357" s="92"/>
      <c r="RSE357" s="92"/>
      <c r="RSF357" s="92"/>
      <c r="RSG357" s="92"/>
      <c r="RSH357" s="92"/>
      <c r="RSI357" s="92"/>
      <c r="RSJ357" s="92"/>
      <c r="RSK357" s="92"/>
      <c r="RSL357" s="92"/>
      <c r="RSM357" s="92"/>
      <c r="RSN357" s="92"/>
      <c r="RSO357" s="92"/>
      <c r="RSP357" s="92"/>
      <c r="RSQ357" s="92"/>
      <c r="RSR357" s="92"/>
      <c r="RSS357" s="92"/>
      <c r="RST357" s="92"/>
      <c r="RSU357" s="92"/>
      <c r="RSV357" s="92"/>
      <c r="RSW357" s="92"/>
      <c r="RSX357" s="92"/>
      <c r="RSY357" s="92"/>
      <c r="RSZ357" s="92"/>
      <c r="RTA357" s="92"/>
      <c r="RTB357" s="92"/>
      <c r="RTC357" s="92"/>
      <c r="RTD357" s="92"/>
      <c r="RTE357" s="92"/>
      <c r="RTF357" s="92"/>
      <c r="RTG357" s="92"/>
      <c r="RTH357" s="92"/>
      <c r="RTI357" s="92"/>
      <c r="RTJ357" s="92"/>
      <c r="RTK357" s="92"/>
      <c r="RTL357" s="92"/>
      <c r="RTM357" s="92"/>
      <c r="RTN357" s="92"/>
      <c r="RTO357" s="92"/>
      <c r="RTP357" s="92"/>
      <c r="RTQ357" s="92"/>
      <c r="RTR357" s="92"/>
      <c r="RTS357" s="92"/>
      <c r="RTT357" s="92"/>
      <c r="RTU357" s="92"/>
      <c r="RTV357" s="92"/>
      <c r="RTW357" s="92"/>
      <c r="RTX357" s="92"/>
      <c r="RTY357" s="92"/>
      <c r="RTZ357" s="92"/>
      <c r="RUA357" s="92"/>
      <c r="RUB357" s="92"/>
      <c r="RUC357" s="92"/>
      <c r="RUD357" s="92"/>
      <c r="RUE357" s="92"/>
      <c r="RUF357" s="92"/>
      <c r="RUG357" s="92"/>
      <c r="RUH357" s="92"/>
      <c r="RUI357" s="92"/>
      <c r="RUJ357" s="92"/>
      <c r="RUK357" s="92"/>
      <c r="RUL357" s="92"/>
      <c r="RUM357" s="92"/>
      <c r="RUN357" s="92"/>
      <c r="RUO357" s="92"/>
      <c r="RUP357" s="92"/>
      <c r="RUQ357" s="92"/>
      <c r="RUR357" s="92"/>
      <c r="RUS357" s="92"/>
      <c r="RUT357" s="92"/>
      <c r="RUU357" s="92"/>
      <c r="RUV357" s="92"/>
      <c r="RUW357" s="92"/>
      <c r="RUX357" s="92"/>
      <c r="RUY357" s="92"/>
      <c r="RUZ357" s="92"/>
      <c r="RVA357" s="92"/>
      <c r="RVB357" s="92"/>
      <c r="RVC357" s="92"/>
      <c r="RVD357" s="92"/>
      <c r="RVE357" s="92"/>
      <c r="RVF357" s="92"/>
      <c r="RVG357" s="92"/>
      <c r="RVH357" s="92"/>
      <c r="RVI357" s="92"/>
      <c r="RVJ357" s="92"/>
      <c r="RVK357" s="92"/>
      <c r="RVL357" s="92"/>
      <c r="RVM357" s="92"/>
      <c r="RVN357" s="92"/>
      <c r="RVO357" s="92"/>
      <c r="RVP357" s="92"/>
      <c r="RVQ357" s="92"/>
      <c r="RVR357" s="92"/>
      <c r="RVS357" s="92"/>
      <c r="RVT357" s="92"/>
      <c r="RVU357" s="92"/>
      <c r="RVV357" s="92"/>
      <c r="RVW357" s="92"/>
      <c r="RVX357" s="92"/>
      <c r="RVY357" s="92"/>
      <c r="RVZ357" s="92"/>
      <c r="RWA357" s="92"/>
      <c r="RWB357" s="92"/>
      <c r="RWC357" s="92"/>
      <c r="RWD357" s="92"/>
      <c r="RWE357" s="92"/>
      <c r="RWF357" s="92"/>
      <c r="RWG357" s="92"/>
      <c r="RWH357" s="92"/>
      <c r="RWI357" s="92"/>
      <c r="RWJ357" s="92"/>
      <c r="RWK357" s="92"/>
      <c r="RWL357" s="92"/>
      <c r="RWM357" s="92"/>
      <c r="RWN357" s="92"/>
      <c r="RWO357" s="92"/>
      <c r="RWP357" s="92"/>
      <c r="RWQ357" s="92"/>
      <c r="RWR357" s="92"/>
      <c r="RWS357" s="92"/>
      <c r="RWT357" s="92"/>
      <c r="RWU357" s="92"/>
      <c r="RWV357" s="92"/>
      <c r="RWW357" s="92"/>
      <c r="RWX357" s="92"/>
      <c r="RWY357" s="92"/>
      <c r="RWZ357" s="92"/>
      <c r="RXA357" s="92"/>
      <c r="RXB357" s="92"/>
      <c r="RXC357" s="92"/>
      <c r="RXD357" s="92"/>
      <c r="RXE357" s="92"/>
      <c r="RXF357" s="92"/>
      <c r="RXG357" s="92"/>
      <c r="RXH357" s="92"/>
      <c r="RXI357" s="92"/>
      <c r="RXJ357" s="92"/>
      <c r="RXK357" s="92"/>
      <c r="RXL357" s="92"/>
      <c r="RXM357" s="92"/>
      <c r="RXN357" s="92"/>
      <c r="RXO357" s="92"/>
      <c r="RXP357" s="92"/>
      <c r="RXQ357" s="92"/>
      <c r="RXR357" s="92"/>
      <c r="RXS357" s="92"/>
      <c r="RXT357" s="92"/>
      <c r="RXU357" s="92"/>
      <c r="RXV357" s="92"/>
      <c r="RXW357" s="92"/>
      <c r="RXX357" s="92"/>
      <c r="RXY357" s="92"/>
      <c r="RXZ357" s="92"/>
      <c r="RYA357" s="92"/>
      <c r="RYB357" s="92"/>
      <c r="RYC357" s="92"/>
      <c r="RYD357" s="92"/>
      <c r="RYE357" s="92"/>
      <c r="RYF357" s="92"/>
      <c r="RYG357" s="92"/>
      <c r="RYH357" s="92"/>
      <c r="RYI357" s="92"/>
      <c r="RYJ357" s="92"/>
      <c r="RYK357" s="92"/>
      <c r="RYL357" s="92"/>
      <c r="RYM357" s="92"/>
      <c r="RYN357" s="92"/>
      <c r="RYO357" s="92"/>
      <c r="RYP357" s="92"/>
      <c r="RYQ357" s="92"/>
      <c r="RYR357" s="92"/>
      <c r="RYS357" s="92"/>
      <c r="RYT357" s="92"/>
      <c r="RYU357" s="92"/>
      <c r="RYV357" s="92"/>
      <c r="RYW357" s="92"/>
      <c r="RYX357" s="92"/>
      <c r="RYY357" s="92"/>
      <c r="RYZ357" s="92"/>
      <c r="RZA357" s="92"/>
      <c r="RZB357" s="92"/>
      <c r="RZC357" s="92"/>
      <c r="RZD357" s="92"/>
      <c r="RZE357" s="92"/>
      <c r="RZF357" s="92"/>
      <c r="RZG357" s="92"/>
      <c r="RZH357" s="92"/>
      <c r="RZI357" s="92"/>
      <c r="RZJ357" s="92"/>
      <c r="RZK357" s="92"/>
      <c r="RZL357" s="92"/>
      <c r="RZM357" s="92"/>
      <c r="RZN357" s="92"/>
      <c r="RZO357" s="92"/>
      <c r="RZP357" s="92"/>
      <c r="RZQ357" s="92"/>
      <c r="RZR357" s="92"/>
      <c r="RZS357" s="92"/>
      <c r="RZT357" s="92"/>
      <c r="RZU357" s="92"/>
      <c r="RZV357" s="92"/>
      <c r="RZW357" s="92"/>
      <c r="RZX357" s="92"/>
      <c r="RZY357" s="92"/>
      <c r="RZZ357" s="92"/>
      <c r="SAA357" s="92"/>
      <c r="SAB357" s="92"/>
      <c r="SAC357" s="92"/>
      <c r="SAD357" s="92"/>
      <c r="SAE357" s="92"/>
      <c r="SAF357" s="92"/>
      <c r="SAG357" s="92"/>
      <c r="SAH357" s="92"/>
      <c r="SAI357" s="92"/>
      <c r="SAJ357" s="92"/>
      <c r="SAK357" s="92"/>
      <c r="SAL357" s="92"/>
      <c r="SAM357" s="92"/>
      <c r="SAN357" s="92"/>
      <c r="SAO357" s="92"/>
      <c r="SAP357" s="92"/>
      <c r="SAQ357" s="92"/>
      <c r="SAR357" s="92"/>
      <c r="SAS357" s="92"/>
      <c r="SAT357" s="92"/>
      <c r="SAU357" s="92"/>
      <c r="SAV357" s="92"/>
      <c r="SAW357" s="92"/>
      <c r="SAX357" s="92"/>
      <c r="SAY357" s="92"/>
      <c r="SAZ357" s="92"/>
      <c r="SBA357" s="92"/>
      <c r="SBB357" s="92"/>
      <c r="SBC357" s="92"/>
      <c r="SBD357" s="92"/>
      <c r="SBE357" s="92"/>
      <c r="SBF357" s="92"/>
      <c r="SBG357" s="92"/>
      <c r="SBH357" s="92"/>
      <c r="SBI357" s="92"/>
      <c r="SBJ357" s="92"/>
      <c r="SBK357" s="92"/>
      <c r="SBL357" s="92"/>
      <c r="SBM357" s="92"/>
      <c r="SBN357" s="92"/>
      <c r="SBO357" s="92"/>
      <c r="SBP357" s="92"/>
      <c r="SBQ357" s="92"/>
      <c r="SBR357" s="92"/>
      <c r="SBS357" s="92"/>
      <c r="SBT357" s="92"/>
      <c r="SBU357" s="92"/>
      <c r="SBV357" s="92"/>
      <c r="SBW357" s="92"/>
      <c r="SBX357" s="92"/>
      <c r="SBY357" s="92"/>
      <c r="SBZ357" s="92"/>
      <c r="SCA357" s="92"/>
      <c r="SCB357" s="92"/>
      <c r="SCC357" s="92"/>
      <c r="SCD357" s="92"/>
      <c r="SCE357" s="92"/>
      <c r="SCF357" s="92"/>
      <c r="SCG357" s="92"/>
      <c r="SCH357" s="92"/>
      <c r="SCI357" s="92"/>
      <c r="SCJ357" s="92"/>
      <c r="SCK357" s="92"/>
      <c r="SCL357" s="92"/>
      <c r="SCM357" s="92"/>
      <c r="SCN357" s="92"/>
      <c r="SCO357" s="92"/>
      <c r="SCP357" s="92"/>
      <c r="SCQ357" s="92"/>
      <c r="SCR357" s="92"/>
      <c r="SCS357" s="92"/>
      <c r="SCT357" s="92"/>
      <c r="SCU357" s="92"/>
      <c r="SCV357" s="92"/>
      <c r="SCW357" s="92"/>
      <c r="SCX357" s="92"/>
      <c r="SCY357" s="92"/>
      <c r="SCZ357" s="92"/>
      <c r="SDA357" s="92"/>
      <c r="SDB357" s="92"/>
      <c r="SDC357" s="92"/>
      <c r="SDD357" s="92"/>
      <c r="SDE357" s="92"/>
      <c r="SDF357" s="92"/>
      <c r="SDG357" s="92"/>
      <c r="SDH357" s="92"/>
      <c r="SDI357" s="92"/>
      <c r="SDJ357" s="92"/>
      <c r="SDK357" s="92"/>
      <c r="SDL357" s="92"/>
      <c r="SDM357" s="92"/>
      <c r="SDN357" s="92"/>
      <c r="SDO357" s="92"/>
      <c r="SDP357" s="92"/>
      <c r="SDQ357" s="92"/>
      <c r="SDR357" s="92"/>
      <c r="SDS357" s="92"/>
      <c r="SDT357" s="92"/>
      <c r="SDU357" s="92"/>
      <c r="SDV357" s="92"/>
      <c r="SDW357" s="92"/>
      <c r="SDX357" s="92"/>
      <c r="SDY357" s="92"/>
      <c r="SDZ357" s="92"/>
      <c r="SEA357" s="92"/>
      <c r="SEB357" s="92"/>
      <c r="SEC357" s="92"/>
      <c r="SED357" s="92"/>
      <c r="SEE357" s="92"/>
      <c r="SEF357" s="92"/>
      <c r="SEG357" s="92"/>
      <c r="SEH357" s="92"/>
      <c r="SEI357" s="92"/>
      <c r="SEJ357" s="92"/>
      <c r="SEK357" s="92"/>
      <c r="SEL357" s="92"/>
      <c r="SEM357" s="92"/>
      <c r="SEN357" s="92"/>
      <c r="SEO357" s="92"/>
      <c r="SEP357" s="92"/>
      <c r="SEQ357" s="92"/>
      <c r="SER357" s="92"/>
      <c r="SES357" s="92"/>
      <c r="SET357" s="92"/>
      <c r="SEU357" s="92"/>
      <c r="SEV357" s="92"/>
      <c r="SEW357" s="92"/>
      <c r="SEX357" s="92"/>
      <c r="SEY357" s="92"/>
      <c r="SEZ357" s="92"/>
      <c r="SFA357" s="92"/>
      <c r="SFB357" s="92"/>
      <c r="SFC357" s="92"/>
      <c r="SFD357" s="92"/>
      <c r="SFE357" s="92"/>
      <c r="SFF357" s="92"/>
      <c r="SFG357" s="92"/>
      <c r="SFH357" s="92"/>
      <c r="SFI357" s="92"/>
      <c r="SFJ357" s="92"/>
      <c r="SFK357" s="92"/>
      <c r="SFL357" s="92"/>
      <c r="SFM357" s="92"/>
      <c r="SFN357" s="92"/>
      <c r="SFO357" s="92"/>
      <c r="SFP357" s="92"/>
      <c r="SFQ357" s="92"/>
      <c r="SFR357" s="92"/>
      <c r="SFS357" s="92"/>
      <c r="SFT357" s="92"/>
      <c r="SFU357" s="92"/>
      <c r="SFV357" s="92"/>
      <c r="SFW357" s="92"/>
      <c r="SFX357" s="92"/>
      <c r="SFY357" s="92"/>
      <c r="SFZ357" s="92"/>
      <c r="SGA357" s="92"/>
      <c r="SGB357" s="92"/>
      <c r="SGC357" s="92"/>
      <c r="SGD357" s="92"/>
      <c r="SGE357" s="92"/>
      <c r="SGF357" s="92"/>
      <c r="SGG357" s="92"/>
      <c r="SGH357" s="92"/>
      <c r="SGI357" s="92"/>
      <c r="SGJ357" s="92"/>
      <c r="SGK357" s="92"/>
      <c r="SGL357" s="92"/>
      <c r="SGM357" s="92"/>
      <c r="SGN357" s="92"/>
      <c r="SGO357" s="92"/>
      <c r="SGP357" s="92"/>
      <c r="SGQ357" s="92"/>
      <c r="SGR357" s="92"/>
      <c r="SGS357" s="92"/>
      <c r="SGT357" s="92"/>
      <c r="SGU357" s="92"/>
      <c r="SGV357" s="92"/>
      <c r="SGW357" s="92"/>
      <c r="SGX357" s="92"/>
      <c r="SGY357" s="92"/>
      <c r="SGZ357" s="92"/>
      <c r="SHA357" s="92"/>
      <c r="SHB357" s="92"/>
      <c r="SHC357" s="92"/>
      <c r="SHD357" s="92"/>
      <c r="SHE357" s="92"/>
      <c r="SHF357" s="92"/>
      <c r="SHG357" s="92"/>
      <c r="SHH357" s="92"/>
      <c r="SHI357" s="92"/>
      <c r="SHJ357" s="92"/>
      <c r="SHK357" s="92"/>
      <c r="SHL357" s="92"/>
      <c r="SHM357" s="92"/>
      <c r="SHN357" s="92"/>
      <c r="SHO357" s="92"/>
      <c r="SHP357" s="92"/>
      <c r="SHQ357" s="92"/>
      <c r="SHR357" s="92"/>
      <c r="SHS357" s="92"/>
      <c r="SHT357" s="92"/>
      <c r="SHU357" s="92"/>
      <c r="SHV357" s="92"/>
      <c r="SHW357" s="92"/>
      <c r="SHX357" s="92"/>
      <c r="SHY357" s="92"/>
      <c r="SHZ357" s="92"/>
      <c r="SIA357" s="92"/>
      <c r="SIB357" s="92"/>
      <c r="SIC357" s="92"/>
      <c r="SID357" s="92"/>
      <c r="SIE357" s="92"/>
      <c r="SIF357" s="92"/>
      <c r="SIG357" s="92"/>
      <c r="SIH357" s="92"/>
      <c r="SII357" s="92"/>
      <c r="SIJ357" s="92"/>
      <c r="SIK357" s="92"/>
      <c r="SIL357" s="92"/>
      <c r="SIM357" s="92"/>
      <c r="SIN357" s="92"/>
      <c r="SIO357" s="92"/>
      <c r="SIP357" s="92"/>
      <c r="SIQ357" s="92"/>
      <c r="SIR357" s="92"/>
      <c r="SIS357" s="92"/>
      <c r="SIT357" s="92"/>
      <c r="SIU357" s="92"/>
      <c r="SIV357" s="92"/>
      <c r="SIW357" s="92"/>
      <c r="SIX357" s="92"/>
      <c r="SIY357" s="92"/>
      <c r="SIZ357" s="92"/>
      <c r="SJA357" s="92"/>
      <c r="SJB357" s="92"/>
      <c r="SJC357" s="92"/>
      <c r="SJD357" s="92"/>
      <c r="SJE357" s="92"/>
      <c r="SJF357" s="92"/>
      <c r="SJG357" s="92"/>
      <c r="SJH357" s="92"/>
      <c r="SJI357" s="92"/>
      <c r="SJJ357" s="92"/>
      <c r="SJK357" s="92"/>
      <c r="SJL357" s="92"/>
      <c r="SJM357" s="92"/>
      <c r="SJN357" s="92"/>
      <c r="SJO357" s="92"/>
      <c r="SJP357" s="92"/>
      <c r="SJQ357" s="92"/>
      <c r="SJR357" s="92"/>
      <c r="SJS357" s="92"/>
      <c r="SJT357" s="92"/>
      <c r="SJU357" s="92"/>
      <c r="SJV357" s="92"/>
      <c r="SJW357" s="92"/>
      <c r="SJX357" s="92"/>
      <c r="SJY357" s="92"/>
      <c r="SJZ357" s="92"/>
      <c r="SKA357" s="92"/>
      <c r="SKB357" s="92"/>
      <c r="SKC357" s="92"/>
      <c r="SKD357" s="92"/>
      <c r="SKE357" s="92"/>
      <c r="SKF357" s="92"/>
      <c r="SKG357" s="92"/>
      <c r="SKH357" s="92"/>
      <c r="SKI357" s="92"/>
      <c r="SKJ357" s="92"/>
      <c r="SKK357" s="92"/>
      <c r="SKL357" s="92"/>
      <c r="SKM357" s="92"/>
      <c r="SKN357" s="92"/>
      <c r="SKO357" s="92"/>
      <c r="SKP357" s="92"/>
      <c r="SKQ357" s="92"/>
      <c r="SKR357" s="92"/>
      <c r="SKS357" s="92"/>
      <c r="SKT357" s="92"/>
      <c r="SKU357" s="92"/>
      <c r="SKV357" s="92"/>
      <c r="SKW357" s="92"/>
      <c r="SKX357" s="92"/>
      <c r="SKY357" s="92"/>
      <c r="SKZ357" s="92"/>
      <c r="SLA357" s="92"/>
      <c r="SLB357" s="92"/>
      <c r="SLC357" s="92"/>
      <c r="SLD357" s="92"/>
      <c r="SLE357" s="92"/>
      <c r="SLF357" s="92"/>
      <c r="SLG357" s="92"/>
      <c r="SLH357" s="92"/>
      <c r="SLI357" s="92"/>
      <c r="SLJ357" s="92"/>
      <c r="SLK357" s="92"/>
      <c r="SLL357" s="92"/>
      <c r="SLM357" s="92"/>
      <c r="SLN357" s="92"/>
      <c r="SLO357" s="92"/>
      <c r="SLP357" s="92"/>
      <c r="SLQ357" s="92"/>
      <c r="SLR357" s="92"/>
      <c r="SLS357" s="92"/>
      <c r="SLT357" s="92"/>
      <c r="SLU357" s="92"/>
      <c r="SLV357" s="92"/>
      <c r="SLW357" s="92"/>
      <c r="SLX357" s="92"/>
      <c r="SLY357" s="92"/>
      <c r="SLZ357" s="92"/>
      <c r="SMA357" s="92"/>
      <c r="SMB357" s="92"/>
      <c r="SMC357" s="92"/>
      <c r="SMD357" s="92"/>
      <c r="SME357" s="92"/>
      <c r="SMF357" s="92"/>
      <c r="SMG357" s="92"/>
      <c r="SMH357" s="92"/>
      <c r="SMI357" s="92"/>
      <c r="SMJ357" s="92"/>
      <c r="SMK357" s="92"/>
      <c r="SML357" s="92"/>
      <c r="SMM357" s="92"/>
      <c r="SMN357" s="92"/>
      <c r="SMO357" s="92"/>
      <c r="SMP357" s="92"/>
      <c r="SMQ357" s="92"/>
      <c r="SMR357" s="92"/>
      <c r="SMS357" s="92"/>
      <c r="SMT357" s="92"/>
      <c r="SMU357" s="92"/>
      <c r="SMV357" s="92"/>
      <c r="SMW357" s="92"/>
      <c r="SMX357" s="92"/>
      <c r="SMY357" s="92"/>
      <c r="SMZ357" s="92"/>
      <c r="SNA357" s="92"/>
      <c r="SNB357" s="92"/>
      <c r="SNC357" s="92"/>
      <c r="SND357" s="92"/>
      <c r="SNE357" s="92"/>
      <c r="SNF357" s="92"/>
      <c r="SNG357" s="92"/>
      <c r="SNH357" s="92"/>
      <c r="SNI357" s="92"/>
      <c r="SNJ357" s="92"/>
      <c r="SNK357" s="92"/>
      <c r="SNL357" s="92"/>
      <c r="SNM357" s="92"/>
      <c r="SNN357" s="92"/>
      <c r="SNO357" s="92"/>
      <c r="SNP357" s="92"/>
      <c r="SNQ357" s="92"/>
      <c r="SNR357" s="92"/>
      <c r="SNS357" s="92"/>
      <c r="SNT357" s="92"/>
      <c r="SNU357" s="92"/>
      <c r="SNV357" s="92"/>
      <c r="SNW357" s="92"/>
      <c r="SNX357" s="92"/>
      <c r="SNY357" s="92"/>
      <c r="SNZ357" s="92"/>
      <c r="SOA357" s="92"/>
      <c r="SOB357" s="92"/>
      <c r="SOC357" s="92"/>
      <c r="SOD357" s="92"/>
      <c r="SOE357" s="92"/>
      <c r="SOF357" s="92"/>
      <c r="SOG357" s="92"/>
      <c r="SOH357" s="92"/>
      <c r="SOI357" s="92"/>
      <c r="SOJ357" s="92"/>
      <c r="SOK357" s="92"/>
      <c r="SOL357" s="92"/>
      <c r="SOM357" s="92"/>
      <c r="SON357" s="92"/>
      <c r="SOO357" s="92"/>
      <c r="SOP357" s="92"/>
      <c r="SOQ357" s="92"/>
      <c r="SOR357" s="92"/>
      <c r="SOS357" s="92"/>
      <c r="SOT357" s="92"/>
      <c r="SOU357" s="92"/>
      <c r="SOV357" s="92"/>
      <c r="SOW357" s="92"/>
      <c r="SOX357" s="92"/>
      <c r="SOY357" s="92"/>
      <c r="SOZ357" s="92"/>
      <c r="SPA357" s="92"/>
      <c r="SPB357" s="92"/>
      <c r="SPC357" s="92"/>
      <c r="SPD357" s="92"/>
      <c r="SPE357" s="92"/>
      <c r="SPF357" s="92"/>
      <c r="SPG357" s="92"/>
      <c r="SPH357" s="92"/>
      <c r="SPI357" s="92"/>
      <c r="SPJ357" s="92"/>
      <c r="SPK357" s="92"/>
      <c r="SPL357" s="92"/>
      <c r="SPM357" s="92"/>
      <c r="SPN357" s="92"/>
      <c r="SPO357" s="92"/>
      <c r="SPP357" s="92"/>
      <c r="SPQ357" s="92"/>
      <c r="SPR357" s="92"/>
      <c r="SPS357" s="92"/>
      <c r="SPT357" s="92"/>
      <c r="SPU357" s="92"/>
      <c r="SPV357" s="92"/>
      <c r="SPW357" s="92"/>
      <c r="SPX357" s="92"/>
      <c r="SPY357" s="92"/>
      <c r="SPZ357" s="92"/>
      <c r="SQA357" s="92"/>
      <c r="SQB357" s="92"/>
      <c r="SQC357" s="92"/>
      <c r="SQD357" s="92"/>
      <c r="SQE357" s="92"/>
      <c r="SQF357" s="92"/>
      <c r="SQG357" s="92"/>
      <c r="SQH357" s="92"/>
      <c r="SQI357" s="92"/>
      <c r="SQJ357" s="92"/>
      <c r="SQK357" s="92"/>
      <c r="SQL357" s="92"/>
      <c r="SQM357" s="92"/>
      <c r="SQN357" s="92"/>
      <c r="SQO357" s="92"/>
      <c r="SQP357" s="92"/>
      <c r="SQQ357" s="92"/>
      <c r="SQR357" s="92"/>
      <c r="SQS357" s="92"/>
      <c r="SQT357" s="92"/>
      <c r="SQU357" s="92"/>
      <c r="SQV357" s="92"/>
      <c r="SQW357" s="92"/>
      <c r="SQX357" s="92"/>
      <c r="SQY357" s="92"/>
      <c r="SQZ357" s="92"/>
      <c r="SRA357" s="92"/>
      <c r="SRB357" s="92"/>
      <c r="SRC357" s="92"/>
      <c r="SRD357" s="92"/>
      <c r="SRE357" s="92"/>
      <c r="SRF357" s="92"/>
      <c r="SRG357" s="92"/>
      <c r="SRH357" s="92"/>
      <c r="SRI357" s="92"/>
      <c r="SRJ357" s="92"/>
      <c r="SRK357" s="92"/>
      <c r="SRL357" s="92"/>
      <c r="SRM357" s="92"/>
      <c r="SRN357" s="92"/>
      <c r="SRO357" s="92"/>
      <c r="SRP357" s="92"/>
      <c r="SRQ357" s="92"/>
      <c r="SRR357" s="92"/>
      <c r="SRS357" s="92"/>
      <c r="SRT357" s="92"/>
      <c r="SRU357" s="92"/>
      <c r="SRV357" s="92"/>
      <c r="SRW357" s="92"/>
      <c r="SRX357" s="92"/>
      <c r="SRY357" s="92"/>
      <c r="SRZ357" s="92"/>
      <c r="SSA357" s="92"/>
      <c r="SSB357" s="92"/>
      <c r="SSC357" s="92"/>
      <c r="SSD357" s="92"/>
      <c r="SSE357" s="92"/>
      <c r="SSF357" s="92"/>
      <c r="SSG357" s="92"/>
      <c r="SSH357" s="92"/>
      <c r="SSI357" s="92"/>
      <c r="SSJ357" s="92"/>
      <c r="SSK357" s="92"/>
      <c r="SSL357" s="92"/>
      <c r="SSM357" s="92"/>
      <c r="SSN357" s="92"/>
      <c r="SSO357" s="92"/>
      <c r="SSP357" s="92"/>
      <c r="SSQ357" s="92"/>
      <c r="SSR357" s="92"/>
      <c r="SSS357" s="92"/>
      <c r="SST357" s="92"/>
      <c r="SSU357" s="92"/>
      <c r="SSV357" s="92"/>
      <c r="SSW357" s="92"/>
      <c r="SSX357" s="92"/>
      <c r="SSY357" s="92"/>
      <c r="SSZ357" s="92"/>
      <c r="STA357" s="92"/>
      <c r="STB357" s="92"/>
      <c r="STC357" s="92"/>
      <c r="STD357" s="92"/>
      <c r="STE357" s="92"/>
      <c r="STF357" s="92"/>
      <c r="STG357" s="92"/>
      <c r="STH357" s="92"/>
      <c r="STI357" s="92"/>
      <c r="STJ357" s="92"/>
      <c r="STK357" s="92"/>
      <c r="STL357" s="92"/>
      <c r="STM357" s="92"/>
      <c r="STN357" s="92"/>
      <c r="STO357" s="92"/>
      <c r="STP357" s="92"/>
      <c r="STQ357" s="92"/>
      <c r="STR357" s="92"/>
      <c r="STS357" s="92"/>
      <c r="STT357" s="92"/>
      <c r="STU357" s="92"/>
      <c r="STV357" s="92"/>
      <c r="STW357" s="92"/>
      <c r="STX357" s="92"/>
      <c r="STY357" s="92"/>
      <c r="STZ357" s="92"/>
      <c r="SUA357" s="92"/>
      <c r="SUB357" s="92"/>
      <c r="SUC357" s="92"/>
      <c r="SUD357" s="92"/>
      <c r="SUE357" s="92"/>
      <c r="SUF357" s="92"/>
      <c r="SUG357" s="92"/>
      <c r="SUH357" s="92"/>
      <c r="SUI357" s="92"/>
      <c r="SUJ357" s="92"/>
      <c r="SUK357" s="92"/>
      <c r="SUL357" s="92"/>
      <c r="SUM357" s="92"/>
      <c r="SUN357" s="92"/>
      <c r="SUO357" s="92"/>
      <c r="SUP357" s="92"/>
      <c r="SUQ357" s="92"/>
      <c r="SUR357" s="92"/>
      <c r="SUS357" s="92"/>
      <c r="SUT357" s="92"/>
      <c r="SUU357" s="92"/>
      <c r="SUV357" s="92"/>
      <c r="SUW357" s="92"/>
      <c r="SUX357" s="92"/>
      <c r="SUY357" s="92"/>
      <c r="SUZ357" s="92"/>
      <c r="SVA357" s="92"/>
      <c r="SVB357" s="92"/>
      <c r="SVC357" s="92"/>
      <c r="SVD357" s="92"/>
      <c r="SVE357" s="92"/>
      <c r="SVF357" s="92"/>
      <c r="SVG357" s="92"/>
      <c r="SVH357" s="92"/>
      <c r="SVI357" s="92"/>
      <c r="SVJ357" s="92"/>
      <c r="SVK357" s="92"/>
      <c r="SVL357" s="92"/>
      <c r="SVM357" s="92"/>
      <c r="SVN357" s="92"/>
      <c r="SVO357" s="92"/>
      <c r="SVP357" s="92"/>
      <c r="SVQ357" s="92"/>
      <c r="SVR357" s="92"/>
      <c r="SVS357" s="92"/>
      <c r="SVT357" s="92"/>
      <c r="SVU357" s="92"/>
      <c r="SVV357" s="92"/>
      <c r="SVW357" s="92"/>
      <c r="SVX357" s="92"/>
      <c r="SVY357" s="92"/>
      <c r="SVZ357" s="92"/>
      <c r="SWA357" s="92"/>
      <c r="SWB357" s="92"/>
      <c r="SWC357" s="92"/>
      <c r="SWD357" s="92"/>
      <c r="SWE357" s="92"/>
      <c r="SWF357" s="92"/>
      <c r="SWG357" s="92"/>
      <c r="SWH357" s="92"/>
      <c r="SWI357" s="92"/>
      <c r="SWJ357" s="92"/>
      <c r="SWK357" s="92"/>
      <c r="SWL357" s="92"/>
      <c r="SWM357" s="92"/>
      <c r="SWN357" s="92"/>
      <c r="SWO357" s="92"/>
      <c r="SWP357" s="92"/>
      <c r="SWQ357" s="92"/>
      <c r="SWR357" s="92"/>
      <c r="SWS357" s="92"/>
      <c r="SWT357" s="92"/>
      <c r="SWU357" s="92"/>
      <c r="SWV357" s="92"/>
      <c r="SWW357" s="92"/>
      <c r="SWX357" s="92"/>
      <c r="SWY357" s="92"/>
      <c r="SWZ357" s="92"/>
      <c r="SXA357" s="92"/>
      <c r="SXB357" s="92"/>
      <c r="SXC357" s="92"/>
      <c r="SXD357" s="92"/>
      <c r="SXE357" s="92"/>
      <c r="SXF357" s="92"/>
      <c r="SXG357" s="92"/>
      <c r="SXH357" s="92"/>
      <c r="SXI357" s="92"/>
      <c r="SXJ357" s="92"/>
      <c r="SXK357" s="92"/>
      <c r="SXL357" s="92"/>
      <c r="SXM357" s="92"/>
      <c r="SXN357" s="92"/>
      <c r="SXO357" s="92"/>
      <c r="SXP357" s="92"/>
      <c r="SXQ357" s="92"/>
      <c r="SXR357" s="92"/>
      <c r="SXS357" s="92"/>
      <c r="SXT357" s="92"/>
      <c r="SXU357" s="92"/>
      <c r="SXV357" s="92"/>
      <c r="SXW357" s="92"/>
      <c r="SXX357" s="92"/>
      <c r="SXY357" s="92"/>
      <c r="SXZ357" s="92"/>
      <c r="SYA357" s="92"/>
      <c r="SYB357" s="92"/>
      <c r="SYC357" s="92"/>
      <c r="SYD357" s="92"/>
      <c r="SYE357" s="92"/>
      <c r="SYF357" s="92"/>
      <c r="SYG357" s="92"/>
      <c r="SYH357" s="92"/>
      <c r="SYI357" s="92"/>
      <c r="SYJ357" s="92"/>
      <c r="SYK357" s="92"/>
      <c r="SYL357" s="92"/>
      <c r="SYM357" s="92"/>
      <c r="SYN357" s="92"/>
      <c r="SYO357" s="92"/>
      <c r="SYP357" s="92"/>
      <c r="SYQ357" s="92"/>
      <c r="SYR357" s="92"/>
      <c r="SYS357" s="92"/>
      <c r="SYT357" s="92"/>
      <c r="SYU357" s="92"/>
      <c r="SYV357" s="92"/>
      <c r="SYW357" s="92"/>
      <c r="SYX357" s="92"/>
      <c r="SYY357" s="92"/>
      <c r="SYZ357" s="92"/>
      <c r="SZA357" s="92"/>
      <c r="SZB357" s="92"/>
      <c r="SZC357" s="92"/>
      <c r="SZD357" s="92"/>
      <c r="SZE357" s="92"/>
      <c r="SZF357" s="92"/>
      <c r="SZG357" s="92"/>
      <c r="SZH357" s="92"/>
      <c r="SZI357" s="92"/>
      <c r="SZJ357" s="92"/>
      <c r="SZK357" s="92"/>
      <c r="SZL357" s="92"/>
      <c r="SZM357" s="92"/>
      <c r="SZN357" s="92"/>
      <c r="SZO357" s="92"/>
      <c r="SZP357" s="92"/>
      <c r="SZQ357" s="92"/>
      <c r="SZR357" s="92"/>
      <c r="SZS357" s="92"/>
      <c r="SZT357" s="92"/>
      <c r="SZU357" s="92"/>
      <c r="SZV357" s="92"/>
      <c r="SZW357" s="92"/>
      <c r="SZX357" s="92"/>
      <c r="SZY357" s="92"/>
      <c r="SZZ357" s="92"/>
      <c r="TAA357" s="92"/>
      <c r="TAB357" s="92"/>
      <c r="TAC357" s="92"/>
      <c r="TAD357" s="92"/>
      <c r="TAE357" s="92"/>
      <c r="TAF357" s="92"/>
      <c r="TAG357" s="92"/>
      <c r="TAH357" s="92"/>
      <c r="TAI357" s="92"/>
      <c r="TAJ357" s="92"/>
      <c r="TAK357" s="92"/>
      <c r="TAL357" s="92"/>
      <c r="TAM357" s="92"/>
      <c r="TAN357" s="92"/>
      <c r="TAO357" s="92"/>
      <c r="TAP357" s="92"/>
      <c r="TAQ357" s="92"/>
      <c r="TAR357" s="92"/>
      <c r="TAS357" s="92"/>
      <c r="TAT357" s="92"/>
      <c r="TAU357" s="92"/>
      <c r="TAV357" s="92"/>
      <c r="TAW357" s="92"/>
      <c r="TAX357" s="92"/>
      <c r="TAY357" s="92"/>
      <c r="TAZ357" s="92"/>
      <c r="TBA357" s="92"/>
      <c r="TBB357" s="92"/>
      <c r="TBC357" s="92"/>
      <c r="TBD357" s="92"/>
      <c r="TBE357" s="92"/>
      <c r="TBF357" s="92"/>
      <c r="TBG357" s="92"/>
      <c r="TBH357" s="92"/>
      <c r="TBI357" s="92"/>
      <c r="TBJ357" s="92"/>
      <c r="TBK357" s="92"/>
      <c r="TBL357" s="92"/>
      <c r="TBM357" s="92"/>
      <c r="TBN357" s="92"/>
      <c r="TBO357" s="92"/>
      <c r="TBP357" s="92"/>
      <c r="TBQ357" s="92"/>
      <c r="TBR357" s="92"/>
      <c r="TBS357" s="92"/>
      <c r="TBT357" s="92"/>
      <c r="TBU357" s="92"/>
      <c r="TBV357" s="92"/>
      <c r="TBW357" s="92"/>
      <c r="TBX357" s="92"/>
      <c r="TBY357" s="92"/>
      <c r="TBZ357" s="92"/>
      <c r="TCA357" s="92"/>
      <c r="TCB357" s="92"/>
      <c r="TCC357" s="92"/>
      <c r="TCD357" s="92"/>
      <c r="TCE357" s="92"/>
      <c r="TCF357" s="92"/>
      <c r="TCG357" s="92"/>
      <c r="TCH357" s="92"/>
      <c r="TCI357" s="92"/>
      <c r="TCJ357" s="92"/>
      <c r="TCK357" s="92"/>
      <c r="TCL357" s="92"/>
      <c r="TCM357" s="92"/>
      <c r="TCN357" s="92"/>
      <c r="TCO357" s="92"/>
      <c r="TCP357" s="92"/>
      <c r="TCQ357" s="92"/>
      <c r="TCR357" s="92"/>
      <c r="TCS357" s="92"/>
      <c r="TCT357" s="92"/>
      <c r="TCU357" s="92"/>
      <c r="TCV357" s="92"/>
      <c r="TCW357" s="92"/>
      <c r="TCX357" s="92"/>
      <c r="TCY357" s="92"/>
      <c r="TCZ357" s="92"/>
      <c r="TDA357" s="92"/>
      <c r="TDB357" s="92"/>
      <c r="TDC357" s="92"/>
      <c r="TDD357" s="92"/>
      <c r="TDE357" s="92"/>
      <c r="TDF357" s="92"/>
      <c r="TDG357" s="92"/>
      <c r="TDH357" s="92"/>
      <c r="TDI357" s="92"/>
      <c r="TDJ357" s="92"/>
      <c r="TDK357" s="92"/>
      <c r="TDL357" s="92"/>
      <c r="TDM357" s="92"/>
      <c r="TDN357" s="92"/>
      <c r="TDO357" s="92"/>
      <c r="TDP357" s="92"/>
      <c r="TDQ357" s="92"/>
      <c r="TDR357" s="92"/>
      <c r="TDS357" s="92"/>
      <c r="TDT357" s="92"/>
      <c r="TDU357" s="92"/>
      <c r="TDV357" s="92"/>
      <c r="TDW357" s="92"/>
      <c r="TDX357" s="92"/>
      <c r="TDY357" s="92"/>
      <c r="TDZ357" s="92"/>
      <c r="TEA357" s="92"/>
      <c r="TEB357" s="92"/>
      <c r="TEC357" s="92"/>
      <c r="TED357" s="92"/>
      <c r="TEE357" s="92"/>
      <c r="TEF357" s="92"/>
      <c r="TEG357" s="92"/>
      <c r="TEH357" s="92"/>
      <c r="TEI357" s="92"/>
      <c r="TEJ357" s="92"/>
      <c r="TEK357" s="92"/>
      <c r="TEL357" s="92"/>
      <c r="TEM357" s="92"/>
      <c r="TEN357" s="92"/>
      <c r="TEO357" s="92"/>
      <c r="TEP357" s="92"/>
      <c r="TEQ357" s="92"/>
      <c r="TER357" s="92"/>
      <c r="TES357" s="92"/>
      <c r="TET357" s="92"/>
      <c r="TEU357" s="92"/>
      <c r="TEV357" s="92"/>
      <c r="TEW357" s="92"/>
      <c r="TEX357" s="92"/>
      <c r="TEY357" s="92"/>
      <c r="TEZ357" s="92"/>
      <c r="TFA357" s="92"/>
      <c r="TFB357" s="92"/>
      <c r="TFC357" s="92"/>
      <c r="TFD357" s="92"/>
      <c r="TFE357" s="92"/>
      <c r="TFF357" s="92"/>
      <c r="TFG357" s="92"/>
      <c r="TFH357" s="92"/>
      <c r="TFI357" s="92"/>
      <c r="TFJ357" s="92"/>
      <c r="TFK357" s="92"/>
      <c r="TFL357" s="92"/>
      <c r="TFM357" s="92"/>
      <c r="TFN357" s="92"/>
      <c r="TFO357" s="92"/>
      <c r="TFP357" s="92"/>
      <c r="TFQ357" s="92"/>
      <c r="TFR357" s="92"/>
      <c r="TFS357" s="92"/>
      <c r="TFT357" s="92"/>
      <c r="TFU357" s="92"/>
      <c r="TFV357" s="92"/>
      <c r="TFW357" s="92"/>
      <c r="TFX357" s="92"/>
      <c r="TFY357" s="92"/>
      <c r="TFZ357" s="92"/>
      <c r="TGA357" s="92"/>
      <c r="TGB357" s="92"/>
      <c r="TGC357" s="92"/>
      <c r="TGD357" s="92"/>
      <c r="TGE357" s="92"/>
      <c r="TGF357" s="92"/>
      <c r="TGG357" s="92"/>
      <c r="TGH357" s="92"/>
      <c r="TGI357" s="92"/>
      <c r="TGJ357" s="92"/>
      <c r="TGK357" s="92"/>
      <c r="TGL357" s="92"/>
      <c r="TGM357" s="92"/>
      <c r="TGN357" s="92"/>
      <c r="TGO357" s="92"/>
      <c r="TGP357" s="92"/>
      <c r="TGQ357" s="92"/>
      <c r="TGR357" s="92"/>
      <c r="TGS357" s="92"/>
      <c r="TGT357" s="92"/>
      <c r="TGU357" s="92"/>
      <c r="TGV357" s="92"/>
      <c r="TGW357" s="92"/>
      <c r="TGX357" s="92"/>
      <c r="TGY357" s="92"/>
      <c r="TGZ357" s="92"/>
      <c r="THA357" s="92"/>
      <c r="THB357" s="92"/>
      <c r="THC357" s="92"/>
      <c r="THD357" s="92"/>
      <c r="THE357" s="92"/>
      <c r="THF357" s="92"/>
      <c r="THG357" s="92"/>
      <c r="THH357" s="92"/>
      <c r="THI357" s="92"/>
      <c r="THJ357" s="92"/>
      <c r="THK357" s="92"/>
      <c r="THL357" s="92"/>
      <c r="THM357" s="92"/>
      <c r="THN357" s="92"/>
      <c r="THO357" s="92"/>
      <c r="THP357" s="92"/>
      <c r="THQ357" s="92"/>
      <c r="THR357" s="92"/>
      <c r="THS357" s="92"/>
      <c r="THT357" s="92"/>
      <c r="THU357" s="92"/>
      <c r="THV357" s="92"/>
      <c r="THW357" s="92"/>
      <c r="THX357" s="92"/>
      <c r="THY357" s="92"/>
      <c r="THZ357" s="92"/>
      <c r="TIA357" s="92"/>
      <c r="TIB357" s="92"/>
      <c r="TIC357" s="92"/>
      <c r="TID357" s="92"/>
      <c r="TIE357" s="92"/>
      <c r="TIF357" s="92"/>
      <c r="TIG357" s="92"/>
      <c r="TIH357" s="92"/>
      <c r="TII357" s="92"/>
      <c r="TIJ357" s="92"/>
      <c r="TIK357" s="92"/>
      <c r="TIL357" s="92"/>
      <c r="TIM357" s="92"/>
      <c r="TIN357" s="92"/>
      <c r="TIO357" s="92"/>
      <c r="TIP357" s="92"/>
      <c r="TIQ357" s="92"/>
      <c r="TIR357" s="92"/>
      <c r="TIS357" s="92"/>
      <c r="TIT357" s="92"/>
      <c r="TIU357" s="92"/>
      <c r="TIV357" s="92"/>
      <c r="TIW357" s="92"/>
      <c r="TIX357" s="92"/>
      <c r="TIY357" s="92"/>
      <c r="TIZ357" s="92"/>
      <c r="TJA357" s="92"/>
      <c r="TJB357" s="92"/>
      <c r="TJC357" s="92"/>
      <c r="TJD357" s="92"/>
      <c r="TJE357" s="92"/>
      <c r="TJF357" s="92"/>
      <c r="TJG357" s="92"/>
      <c r="TJH357" s="92"/>
      <c r="TJI357" s="92"/>
      <c r="TJJ357" s="92"/>
      <c r="TJK357" s="92"/>
      <c r="TJL357" s="92"/>
      <c r="TJM357" s="92"/>
      <c r="TJN357" s="92"/>
      <c r="TJO357" s="92"/>
      <c r="TJP357" s="92"/>
      <c r="TJQ357" s="92"/>
      <c r="TJR357" s="92"/>
      <c r="TJS357" s="92"/>
      <c r="TJT357" s="92"/>
      <c r="TJU357" s="92"/>
      <c r="TJV357" s="92"/>
      <c r="TJW357" s="92"/>
      <c r="TJX357" s="92"/>
      <c r="TJY357" s="92"/>
      <c r="TJZ357" s="92"/>
      <c r="TKA357" s="92"/>
      <c r="TKB357" s="92"/>
      <c r="TKC357" s="92"/>
      <c r="TKD357" s="92"/>
      <c r="TKE357" s="92"/>
      <c r="TKF357" s="92"/>
      <c r="TKG357" s="92"/>
      <c r="TKH357" s="92"/>
      <c r="TKI357" s="92"/>
      <c r="TKJ357" s="92"/>
      <c r="TKK357" s="92"/>
      <c r="TKL357" s="92"/>
      <c r="TKM357" s="92"/>
      <c r="TKN357" s="92"/>
      <c r="TKO357" s="92"/>
      <c r="TKP357" s="92"/>
      <c r="TKQ357" s="92"/>
      <c r="TKR357" s="92"/>
      <c r="TKS357" s="92"/>
      <c r="TKT357" s="92"/>
      <c r="TKU357" s="92"/>
      <c r="TKV357" s="92"/>
      <c r="TKW357" s="92"/>
      <c r="TKX357" s="92"/>
      <c r="TKY357" s="92"/>
      <c r="TKZ357" s="92"/>
      <c r="TLA357" s="92"/>
      <c r="TLB357" s="92"/>
      <c r="TLC357" s="92"/>
      <c r="TLD357" s="92"/>
      <c r="TLE357" s="92"/>
      <c r="TLF357" s="92"/>
      <c r="TLG357" s="92"/>
      <c r="TLH357" s="92"/>
      <c r="TLI357" s="92"/>
      <c r="TLJ357" s="92"/>
      <c r="TLK357" s="92"/>
      <c r="TLL357" s="92"/>
      <c r="TLM357" s="92"/>
      <c r="TLN357" s="92"/>
      <c r="TLO357" s="92"/>
      <c r="TLP357" s="92"/>
      <c r="TLQ357" s="92"/>
      <c r="TLR357" s="92"/>
      <c r="TLS357" s="92"/>
      <c r="TLT357" s="92"/>
      <c r="TLU357" s="92"/>
      <c r="TLV357" s="92"/>
      <c r="TLW357" s="92"/>
      <c r="TLX357" s="92"/>
      <c r="TLY357" s="92"/>
      <c r="TLZ357" s="92"/>
      <c r="TMA357" s="92"/>
      <c r="TMB357" s="92"/>
      <c r="TMC357" s="92"/>
      <c r="TMD357" s="92"/>
      <c r="TME357" s="92"/>
      <c r="TMF357" s="92"/>
      <c r="TMG357" s="92"/>
      <c r="TMH357" s="92"/>
      <c r="TMI357" s="92"/>
      <c r="TMJ357" s="92"/>
      <c r="TMK357" s="92"/>
      <c r="TML357" s="92"/>
      <c r="TMM357" s="92"/>
      <c r="TMN357" s="92"/>
      <c r="TMO357" s="92"/>
      <c r="TMP357" s="92"/>
      <c r="TMQ357" s="92"/>
      <c r="TMR357" s="92"/>
      <c r="TMS357" s="92"/>
      <c r="TMT357" s="92"/>
      <c r="TMU357" s="92"/>
      <c r="TMV357" s="92"/>
      <c r="TMW357" s="92"/>
      <c r="TMX357" s="92"/>
      <c r="TMY357" s="92"/>
      <c r="TMZ357" s="92"/>
      <c r="TNA357" s="92"/>
      <c r="TNB357" s="92"/>
      <c r="TNC357" s="92"/>
      <c r="TND357" s="92"/>
      <c r="TNE357" s="92"/>
      <c r="TNF357" s="92"/>
      <c r="TNG357" s="92"/>
      <c r="TNH357" s="92"/>
      <c r="TNI357" s="92"/>
      <c r="TNJ357" s="92"/>
      <c r="TNK357" s="92"/>
      <c r="TNL357" s="92"/>
      <c r="TNM357" s="92"/>
      <c r="TNN357" s="92"/>
      <c r="TNO357" s="92"/>
      <c r="TNP357" s="92"/>
      <c r="TNQ357" s="92"/>
      <c r="TNR357" s="92"/>
      <c r="TNS357" s="92"/>
      <c r="TNT357" s="92"/>
      <c r="TNU357" s="92"/>
      <c r="TNV357" s="92"/>
      <c r="TNW357" s="92"/>
      <c r="TNX357" s="92"/>
      <c r="TNY357" s="92"/>
      <c r="TNZ357" s="92"/>
      <c r="TOA357" s="92"/>
      <c r="TOB357" s="92"/>
      <c r="TOC357" s="92"/>
      <c r="TOD357" s="92"/>
      <c r="TOE357" s="92"/>
      <c r="TOF357" s="92"/>
      <c r="TOG357" s="92"/>
      <c r="TOH357" s="92"/>
      <c r="TOI357" s="92"/>
      <c r="TOJ357" s="92"/>
      <c r="TOK357" s="92"/>
      <c r="TOL357" s="92"/>
      <c r="TOM357" s="92"/>
      <c r="TON357" s="92"/>
      <c r="TOO357" s="92"/>
      <c r="TOP357" s="92"/>
      <c r="TOQ357" s="92"/>
      <c r="TOR357" s="92"/>
      <c r="TOS357" s="92"/>
      <c r="TOT357" s="92"/>
      <c r="TOU357" s="92"/>
      <c r="TOV357" s="92"/>
      <c r="TOW357" s="92"/>
      <c r="TOX357" s="92"/>
      <c r="TOY357" s="92"/>
      <c r="TOZ357" s="92"/>
      <c r="TPA357" s="92"/>
      <c r="TPB357" s="92"/>
      <c r="TPC357" s="92"/>
      <c r="TPD357" s="92"/>
      <c r="TPE357" s="92"/>
      <c r="TPF357" s="92"/>
      <c r="TPG357" s="92"/>
      <c r="TPH357" s="92"/>
      <c r="TPI357" s="92"/>
      <c r="TPJ357" s="92"/>
      <c r="TPK357" s="92"/>
      <c r="TPL357" s="92"/>
      <c r="TPM357" s="92"/>
      <c r="TPN357" s="92"/>
      <c r="TPO357" s="92"/>
      <c r="TPP357" s="92"/>
      <c r="TPQ357" s="92"/>
      <c r="TPR357" s="92"/>
      <c r="TPS357" s="92"/>
      <c r="TPT357" s="92"/>
      <c r="TPU357" s="92"/>
      <c r="TPV357" s="92"/>
      <c r="TPW357" s="92"/>
      <c r="TPX357" s="92"/>
      <c r="TPY357" s="92"/>
      <c r="TPZ357" s="92"/>
      <c r="TQA357" s="92"/>
      <c r="TQB357" s="92"/>
      <c r="TQC357" s="92"/>
      <c r="TQD357" s="92"/>
      <c r="TQE357" s="92"/>
      <c r="TQF357" s="92"/>
      <c r="TQG357" s="92"/>
      <c r="TQH357" s="92"/>
      <c r="TQI357" s="92"/>
      <c r="TQJ357" s="92"/>
      <c r="TQK357" s="92"/>
      <c r="TQL357" s="92"/>
      <c r="TQM357" s="92"/>
      <c r="TQN357" s="92"/>
      <c r="TQO357" s="92"/>
      <c r="TQP357" s="92"/>
      <c r="TQQ357" s="92"/>
      <c r="TQR357" s="92"/>
      <c r="TQS357" s="92"/>
      <c r="TQT357" s="92"/>
      <c r="TQU357" s="92"/>
      <c r="TQV357" s="92"/>
      <c r="TQW357" s="92"/>
      <c r="TQX357" s="92"/>
      <c r="TQY357" s="92"/>
      <c r="TQZ357" s="92"/>
      <c r="TRA357" s="92"/>
      <c r="TRB357" s="92"/>
      <c r="TRC357" s="92"/>
      <c r="TRD357" s="92"/>
      <c r="TRE357" s="92"/>
      <c r="TRF357" s="92"/>
      <c r="TRG357" s="92"/>
      <c r="TRH357" s="92"/>
      <c r="TRI357" s="92"/>
      <c r="TRJ357" s="92"/>
      <c r="TRK357" s="92"/>
      <c r="TRL357" s="92"/>
      <c r="TRM357" s="92"/>
      <c r="TRN357" s="92"/>
      <c r="TRO357" s="92"/>
      <c r="TRP357" s="92"/>
      <c r="TRQ357" s="92"/>
      <c r="TRR357" s="92"/>
      <c r="TRS357" s="92"/>
      <c r="TRT357" s="92"/>
      <c r="TRU357" s="92"/>
      <c r="TRV357" s="92"/>
      <c r="TRW357" s="92"/>
      <c r="TRX357" s="92"/>
      <c r="TRY357" s="92"/>
      <c r="TRZ357" s="92"/>
      <c r="TSA357" s="92"/>
      <c r="TSB357" s="92"/>
      <c r="TSC357" s="92"/>
      <c r="TSD357" s="92"/>
      <c r="TSE357" s="92"/>
      <c r="TSF357" s="92"/>
      <c r="TSG357" s="92"/>
      <c r="TSH357" s="92"/>
      <c r="TSI357" s="92"/>
      <c r="TSJ357" s="92"/>
      <c r="TSK357" s="92"/>
      <c r="TSL357" s="92"/>
      <c r="TSM357" s="92"/>
      <c r="TSN357" s="92"/>
      <c r="TSO357" s="92"/>
      <c r="TSP357" s="92"/>
      <c r="TSQ357" s="92"/>
      <c r="TSR357" s="92"/>
      <c r="TSS357" s="92"/>
      <c r="TST357" s="92"/>
      <c r="TSU357" s="92"/>
      <c r="TSV357" s="92"/>
      <c r="TSW357" s="92"/>
      <c r="TSX357" s="92"/>
      <c r="TSY357" s="92"/>
      <c r="TSZ357" s="92"/>
      <c r="TTA357" s="92"/>
      <c r="TTB357" s="92"/>
      <c r="TTC357" s="92"/>
      <c r="TTD357" s="92"/>
      <c r="TTE357" s="92"/>
      <c r="TTF357" s="92"/>
      <c r="TTG357" s="92"/>
      <c r="TTH357" s="92"/>
      <c r="TTI357" s="92"/>
      <c r="TTJ357" s="92"/>
      <c r="TTK357" s="92"/>
      <c r="TTL357" s="92"/>
      <c r="TTM357" s="92"/>
      <c r="TTN357" s="92"/>
      <c r="TTO357" s="92"/>
      <c r="TTP357" s="92"/>
      <c r="TTQ357" s="92"/>
      <c r="TTR357" s="92"/>
      <c r="TTS357" s="92"/>
      <c r="TTT357" s="92"/>
      <c r="TTU357" s="92"/>
      <c r="TTV357" s="92"/>
      <c r="TTW357" s="92"/>
      <c r="TTX357" s="92"/>
      <c r="TTY357" s="92"/>
      <c r="TTZ357" s="92"/>
      <c r="TUA357" s="92"/>
      <c r="TUB357" s="92"/>
      <c r="TUC357" s="92"/>
      <c r="TUD357" s="92"/>
      <c r="TUE357" s="92"/>
      <c r="TUF357" s="92"/>
      <c r="TUG357" s="92"/>
      <c r="TUH357" s="92"/>
      <c r="TUI357" s="92"/>
      <c r="TUJ357" s="92"/>
      <c r="TUK357" s="92"/>
      <c r="TUL357" s="92"/>
      <c r="TUM357" s="92"/>
      <c r="TUN357" s="92"/>
      <c r="TUO357" s="92"/>
      <c r="TUP357" s="92"/>
      <c r="TUQ357" s="92"/>
      <c r="TUR357" s="92"/>
      <c r="TUS357" s="92"/>
      <c r="TUT357" s="92"/>
      <c r="TUU357" s="92"/>
      <c r="TUV357" s="92"/>
      <c r="TUW357" s="92"/>
      <c r="TUX357" s="92"/>
      <c r="TUY357" s="92"/>
      <c r="TUZ357" s="92"/>
      <c r="TVA357" s="92"/>
      <c r="TVB357" s="92"/>
      <c r="TVC357" s="92"/>
      <c r="TVD357" s="92"/>
      <c r="TVE357" s="92"/>
      <c r="TVF357" s="92"/>
      <c r="TVG357" s="92"/>
      <c r="TVH357" s="92"/>
      <c r="TVI357" s="92"/>
      <c r="TVJ357" s="92"/>
      <c r="TVK357" s="92"/>
      <c r="TVL357" s="92"/>
      <c r="TVM357" s="92"/>
      <c r="TVN357" s="92"/>
      <c r="TVO357" s="92"/>
      <c r="TVP357" s="92"/>
      <c r="TVQ357" s="92"/>
      <c r="TVR357" s="92"/>
      <c r="TVS357" s="92"/>
      <c r="TVT357" s="92"/>
      <c r="TVU357" s="92"/>
      <c r="TVV357" s="92"/>
      <c r="TVW357" s="92"/>
      <c r="TVX357" s="92"/>
      <c r="TVY357" s="92"/>
      <c r="TVZ357" s="92"/>
      <c r="TWA357" s="92"/>
      <c r="TWB357" s="92"/>
      <c r="TWC357" s="92"/>
      <c r="TWD357" s="92"/>
      <c r="TWE357" s="92"/>
      <c r="TWF357" s="92"/>
      <c r="TWG357" s="92"/>
      <c r="TWH357" s="92"/>
      <c r="TWI357" s="92"/>
      <c r="TWJ357" s="92"/>
      <c r="TWK357" s="92"/>
      <c r="TWL357" s="92"/>
      <c r="TWM357" s="92"/>
      <c r="TWN357" s="92"/>
      <c r="TWO357" s="92"/>
      <c r="TWP357" s="92"/>
      <c r="TWQ357" s="92"/>
      <c r="TWR357" s="92"/>
      <c r="TWS357" s="92"/>
      <c r="TWT357" s="92"/>
      <c r="TWU357" s="92"/>
      <c r="TWV357" s="92"/>
      <c r="TWW357" s="92"/>
      <c r="TWX357" s="92"/>
      <c r="TWY357" s="92"/>
      <c r="TWZ357" s="92"/>
      <c r="TXA357" s="92"/>
      <c r="TXB357" s="92"/>
      <c r="TXC357" s="92"/>
      <c r="TXD357" s="92"/>
      <c r="TXE357" s="92"/>
      <c r="TXF357" s="92"/>
      <c r="TXG357" s="92"/>
      <c r="TXH357" s="92"/>
      <c r="TXI357" s="92"/>
      <c r="TXJ357" s="92"/>
      <c r="TXK357" s="92"/>
      <c r="TXL357" s="92"/>
      <c r="TXM357" s="92"/>
      <c r="TXN357" s="92"/>
      <c r="TXO357" s="92"/>
      <c r="TXP357" s="92"/>
      <c r="TXQ357" s="92"/>
      <c r="TXR357" s="92"/>
      <c r="TXS357" s="92"/>
      <c r="TXT357" s="92"/>
      <c r="TXU357" s="92"/>
      <c r="TXV357" s="92"/>
      <c r="TXW357" s="92"/>
      <c r="TXX357" s="92"/>
      <c r="TXY357" s="92"/>
      <c r="TXZ357" s="92"/>
      <c r="TYA357" s="92"/>
      <c r="TYB357" s="92"/>
      <c r="TYC357" s="92"/>
      <c r="TYD357" s="92"/>
      <c r="TYE357" s="92"/>
      <c r="TYF357" s="92"/>
      <c r="TYG357" s="92"/>
      <c r="TYH357" s="92"/>
      <c r="TYI357" s="92"/>
      <c r="TYJ357" s="92"/>
      <c r="TYK357" s="92"/>
      <c r="TYL357" s="92"/>
      <c r="TYM357" s="92"/>
      <c r="TYN357" s="92"/>
      <c r="TYO357" s="92"/>
      <c r="TYP357" s="92"/>
      <c r="TYQ357" s="92"/>
      <c r="TYR357" s="92"/>
      <c r="TYS357" s="92"/>
      <c r="TYT357" s="92"/>
      <c r="TYU357" s="92"/>
      <c r="TYV357" s="92"/>
      <c r="TYW357" s="92"/>
      <c r="TYX357" s="92"/>
      <c r="TYY357" s="92"/>
      <c r="TYZ357" s="92"/>
      <c r="TZA357" s="92"/>
      <c r="TZB357" s="92"/>
      <c r="TZC357" s="92"/>
      <c r="TZD357" s="92"/>
      <c r="TZE357" s="92"/>
      <c r="TZF357" s="92"/>
      <c r="TZG357" s="92"/>
      <c r="TZH357" s="92"/>
      <c r="TZI357" s="92"/>
      <c r="TZJ357" s="92"/>
      <c r="TZK357" s="92"/>
      <c r="TZL357" s="92"/>
      <c r="TZM357" s="92"/>
      <c r="TZN357" s="92"/>
      <c r="TZO357" s="92"/>
      <c r="TZP357" s="92"/>
      <c r="TZQ357" s="92"/>
      <c r="TZR357" s="92"/>
      <c r="TZS357" s="92"/>
      <c r="TZT357" s="92"/>
      <c r="TZU357" s="92"/>
      <c r="TZV357" s="92"/>
      <c r="TZW357" s="92"/>
      <c r="TZX357" s="92"/>
      <c r="TZY357" s="92"/>
      <c r="TZZ357" s="92"/>
      <c r="UAA357" s="92"/>
      <c r="UAB357" s="92"/>
      <c r="UAC357" s="92"/>
      <c r="UAD357" s="92"/>
      <c r="UAE357" s="92"/>
      <c r="UAF357" s="92"/>
      <c r="UAG357" s="92"/>
      <c r="UAH357" s="92"/>
      <c r="UAI357" s="92"/>
      <c r="UAJ357" s="92"/>
      <c r="UAK357" s="92"/>
      <c r="UAL357" s="92"/>
      <c r="UAM357" s="92"/>
      <c r="UAN357" s="92"/>
      <c r="UAO357" s="92"/>
      <c r="UAP357" s="92"/>
      <c r="UAQ357" s="92"/>
      <c r="UAR357" s="92"/>
      <c r="UAS357" s="92"/>
      <c r="UAT357" s="92"/>
      <c r="UAU357" s="92"/>
      <c r="UAV357" s="92"/>
      <c r="UAW357" s="92"/>
      <c r="UAX357" s="92"/>
      <c r="UAY357" s="92"/>
      <c r="UAZ357" s="92"/>
      <c r="UBA357" s="92"/>
      <c r="UBB357" s="92"/>
      <c r="UBC357" s="92"/>
      <c r="UBD357" s="92"/>
      <c r="UBE357" s="92"/>
      <c r="UBF357" s="92"/>
      <c r="UBG357" s="92"/>
      <c r="UBH357" s="92"/>
      <c r="UBI357" s="92"/>
      <c r="UBJ357" s="92"/>
      <c r="UBK357" s="92"/>
      <c r="UBL357" s="92"/>
      <c r="UBM357" s="92"/>
      <c r="UBN357" s="92"/>
      <c r="UBO357" s="92"/>
      <c r="UBP357" s="92"/>
      <c r="UBQ357" s="92"/>
      <c r="UBR357" s="92"/>
      <c r="UBS357" s="92"/>
      <c r="UBT357" s="92"/>
      <c r="UBU357" s="92"/>
      <c r="UBV357" s="92"/>
      <c r="UBW357" s="92"/>
      <c r="UBX357" s="92"/>
      <c r="UBY357" s="92"/>
      <c r="UBZ357" s="92"/>
      <c r="UCA357" s="92"/>
      <c r="UCB357" s="92"/>
      <c r="UCC357" s="92"/>
      <c r="UCD357" s="92"/>
      <c r="UCE357" s="92"/>
      <c r="UCF357" s="92"/>
      <c r="UCG357" s="92"/>
      <c r="UCH357" s="92"/>
      <c r="UCI357" s="92"/>
      <c r="UCJ357" s="92"/>
      <c r="UCK357" s="92"/>
      <c r="UCL357" s="92"/>
      <c r="UCM357" s="92"/>
      <c r="UCN357" s="92"/>
      <c r="UCO357" s="92"/>
      <c r="UCP357" s="92"/>
      <c r="UCQ357" s="92"/>
      <c r="UCR357" s="92"/>
      <c r="UCS357" s="92"/>
      <c r="UCT357" s="92"/>
      <c r="UCU357" s="92"/>
      <c r="UCV357" s="92"/>
      <c r="UCW357" s="92"/>
      <c r="UCX357" s="92"/>
      <c r="UCY357" s="92"/>
      <c r="UCZ357" s="92"/>
      <c r="UDA357" s="92"/>
      <c r="UDB357" s="92"/>
      <c r="UDC357" s="92"/>
      <c r="UDD357" s="92"/>
      <c r="UDE357" s="92"/>
      <c r="UDF357" s="92"/>
      <c r="UDG357" s="92"/>
      <c r="UDH357" s="92"/>
      <c r="UDI357" s="92"/>
      <c r="UDJ357" s="92"/>
      <c r="UDK357" s="92"/>
      <c r="UDL357" s="92"/>
      <c r="UDM357" s="92"/>
      <c r="UDN357" s="92"/>
      <c r="UDO357" s="92"/>
      <c r="UDP357" s="92"/>
      <c r="UDQ357" s="92"/>
      <c r="UDR357" s="92"/>
      <c r="UDS357" s="92"/>
      <c r="UDT357" s="92"/>
      <c r="UDU357" s="92"/>
      <c r="UDV357" s="92"/>
      <c r="UDW357" s="92"/>
      <c r="UDX357" s="92"/>
      <c r="UDY357" s="92"/>
      <c r="UDZ357" s="92"/>
      <c r="UEA357" s="92"/>
      <c r="UEB357" s="92"/>
      <c r="UEC357" s="92"/>
      <c r="UED357" s="92"/>
      <c r="UEE357" s="92"/>
      <c r="UEF357" s="92"/>
      <c r="UEG357" s="92"/>
      <c r="UEH357" s="92"/>
      <c r="UEI357" s="92"/>
      <c r="UEJ357" s="92"/>
      <c r="UEK357" s="92"/>
      <c r="UEL357" s="92"/>
      <c r="UEM357" s="92"/>
      <c r="UEN357" s="92"/>
      <c r="UEO357" s="92"/>
      <c r="UEP357" s="92"/>
      <c r="UEQ357" s="92"/>
      <c r="UER357" s="92"/>
      <c r="UES357" s="92"/>
      <c r="UET357" s="92"/>
      <c r="UEU357" s="92"/>
      <c r="UEV357" s="92"/>
      <c r="UEW357" s="92"/>
      <c r="UEX357" s="92"/>
      <c r="UEY357" s="92"/>
      <c r="UEZ357" s="92"/>
      <c r="UFA357" s="92"/>
      <c r="UFB357" s="92"/>
      <c r="UFC357" s="92"/>
      <c r="UFD357" s="92"/>
      <c r="UFE357" s="92"/>
      <c r="UFF357" s="92"/>
      <c r="UFG357" s="92"/>
      <c r="UFH357" s="92"/>
      <c r="UFI357" s="92"/>
      <c r="UFJ357" s="92"/>
      <c r="UFK357" s="92"/>
      <c r="UFL357" s="92"/>
      <c r="UFM357" s="92"/>
      <c r="UFN357" s="92"/>
      <c r="UFO357" s="92"/>
      <c r="UFP357" s="92"/>
      <c r="UFQ357" s="92"/>
      <c r="UFR357" s="92"/>
      <c r="UFS357" s="92"/>
      <c r="UFT357" s="92"/>
      <c r="UFU357" s="92"/>
      <c r="UFV357" s="92"/>
      <c r="UFW357" s="92"/>
      <c r="UFX357" s="92"/>
      <c r="UFY357" s="92"/>
      <c r="UFZ357" s="92"/>
      <c r="UGA357" s="92"/>
      <c r="UGB357" s="92"/>
      <c r="UGC357" s="92"/>
      <c r="UGD357" s="92"/>
      <c r="UGE357" s="92"/>
      <c r="UGF357" s="92"/>
      <c r="UGG357" s="92"/>
      <c r="UGH357" s="92"/>
      <c r="UGI357" s="92"/>
      <c r="UGJ357" s="92"/>
      <c r="UGK357" s="92"/>
      <c r="UGL357" s="92"/>
      <c r="UGM357" s="92"/>
      <c r="UGN357" s="92"/>
      <c r="UGO357" s="92"/>
      <c r="UGP357" s="92"/>
      <c r="UGQ357" s="92"/>
      <c r="UGR357" s="92"/>
      <c r="UGS357" s="92"/>
      <c r="UGT357" s="92"/>
      <c r="UGU357" s="92"/>
      <c r="UGV357" s="92"/>
      <c r="UGW357" s="92"/>
      <c r="UGX357" s="92"/>
      <c r="UGY357" s="92"/>
      <c r="UGZ357" s="92"/>
      <c r="UHA357" s="92"/>
      <c r="UHB357" s="92"/>
      <c r="UHC357" s="92"/>
      <c r="UHD357" s="92"/>
      <c r="UHE357" s="92"/>
      <c r="UHF357" s="92"/>
      <c r="UHG357" s="92"/>
      <c r="UHH357" s="92"/>
      <c r="UHI357" s="92"/>
      <c r="UHJ357" s="92"/>
      <c r="UHK357" s="92"/>
      <c r="UHL357" s="92"/>
      <c r="UHM357" s="92"/>
      <c r="UHN357" s="92"/>
      <c r="UHO357" s="92"/>
      <c r="UHP357" s="92"/>
      <c r="UHQ357" s="92"/>
      <c r="UHR357" s="92"/>
      <c r="UHS357" s="92"/>
      <c r="UHT357" s="92"/>
      <c r="UHU357" s="92"/>
      <c r="UHV357" s="92"/>
      <c r="UHW357" s="92"/>
      <c r="UHX357" s="92"/>
      <c r="UHY357" s="92"/>
      <c r="UHZ357" s="92"/>
      <c r="UIA357" s="92"/>
      <c r="UIB357" s="92"/>
      <c r="UIC357" s="92"/>
      <c r="UID357" s="92"/>
      <c r="UIE357" s="92"/>
      <c r="UIF357" s="92"/>
      <c r="UIG357" s="92"/>
      <c r="UIH357" s="92"/>
      <c r="UII357" s="92"/>
      <c r="UIJ357" s="92"/>
      <c r="UIK357" s="92"/>
      <c r="UIL357" s="92"/>
      <c r="UIM357" s="92"/>
      <c r="UIN357" s="92"/>
      <c r="UIO357" s="92"/>
      <c r="UIP357" s="92"/>
      <c r="UIQ357" s="92"/>
      <c r="UIR357" s="92"/>
      <c r="UIS357" s="92"/>
      <c r="UIT357" s="92"/>
      <c r="UIU357" s="92"/>
      <c r="UIV357" s="92"/>
      <c r="UIW357" s="92"/>
      <c r="UIX357" s="92"/>
      <c r="UIY357" s="92"/>
      <c r="UIZ357" s="92"/>
      <c r="UJA357" s="92"/>
      <c r="UJB357" s="92"/>
      <c r="UJC357" s="92"/>
      <c r="UJD357" s="92"/>
      <c r="UJE357" s="92"/>
      <c r="UJF357" s="92"/>
      <c r="UJG357" s="92"/>
      <c r="UJH357" s="92"/>
      <c r="UJI357" s="92"/>
      <c r="UJJ357" s="92"/>
      <c r="UJK357" s="92"/>
      <c r="UJL357" s="92"/>
      <c r="UJM357" s="92"/>
      <c r="UJN357" s="92"/>
      <c r="UJO357" s="92"/>
      <c r="UJP357" s="92"/>
      <c r="UJQ357" s="92"/>
      <c r="UJR357" s="92"/>
      <c r="UJS357" s="92"/>
      <c r="UJT357" s="92"/>
      <c r="UJU357" s="92"/>
      <c r="UJV357" s="92"/>
      <c r="UJW357" s="92"/>
      <c r="UJX357" s="92"/>
      <c r="UJY357" s="92"/>
      <c r="UJZ357" s="92"/>
      <c r="UKA357" s="92"/>
      <c r="UKB357" s="92"/>
      <c r="UKC357" s="92"/>
      <c r="UKD357" s="92"/>
      <c r="UKE357" s="92"/>
      <c r="UKF357" s="92"/>
      <c r="UKG357" s="92"/>
      <c r="UKH357" s="92"/>
      <c r="UKI357" s="92"/>
      <c r="UKJ357" s="92"/>
      <c r="UKK357" s="92"/>
      <c r="UKL357" s="92"/>
      <c r="UKM357" s="92"/>
      <c r="UKN357" s="92"/>
      <c r="UKO357" s="92"/>
      <c r="UKP357" s="92"/>
      <c r="UKQ357" s="92"/>
      <c r="UKR357" s="92"/>
      <c r="UKS357" s="92"/>
      <c r="UKT357" s="92"/>
      <c r="UKU357" s="92"/>
      <c r="UKV357" s="92"/>
      <c r="UKW357" s="92"/>
      <c r="UKX357" s="92"/>
      <c r="UKY357" s="92"/>
      <c r="UKZ357" s="92"/>
      <c r="ULA357" s="92"/>
      <c r="ULB357" s="92"/>
      <c r="ULC357" s="92"/>
      <c r="ULD357" s="92"/>
      <c r="ULE357" s="92"/>
      <c r="ULF357" s="92"/>
      <c r="ULG357" s="92"/>
      <c r="ULH357" s="92"/>
      <c r="ULI357" s="92"/>
      <c r="ULJ357" s="92"/>
      <c r="ULK357" s="92"/>
      <c r="ULL357" s="92"/>
      <c r="ULM357" s="92"/>
      <c r="ULN357" s="92"/>
      <c r="ULO357" s="92"/>
      <c r="ULP357" s="92"/>
      <c r="ULQ357" s="92"/>
      <c r="ULR357" s="92"/>
      <c r="ULS357" s="92"/>
      <c r="ULT357" s="92"/>
      <c r="ULU357" s="92"/>
      <c r="ULV357" s="92"/>
      <c r="ULW357" s="92"/>
      <c r="ULX357" s="92"/>
      <c r="ULY357" s="92"/>
      <c r="ULZ357" s="92"/>
      <c r="UMA357" s="92"/>
      <c r="UMB357" s="92"/>
      <c r="UMC357" s="92"/>
      <c r="UMD357" s="92"/>
      <c r="UME357" s="92"/>
      <c r="UMF357" s="92"/>
      <c r="UMG357" s="92"/>
      <c r="UMH357" s="92"/>
      <c r="UMI357" s="92"/>
      <c r="UMJ357" s="92"/>
      <c r="UMK357" s="92"/>
      <c r="UML357" s="92"/>
      <c r="UMM357" s="92"/>
      <c r="UMN357" s="92"/>
      <c r="UMO357" s="92"/>
      <c r="UMP357" s="92"/>
      <c r="UMQ357" s="92"/>
      <c r="UMR357" s="92"/>
      <c r="UMS357" s="92"/>
      <c r="UMT357" s="92"/>
      <c r="UMU357" s="92"/>
      <c r="UMV357" s="92"/>
      <c r="UMW357" s="92"/>
      <c r="UMX357" s="92"/>
      <c r="UMY357" s="92"/>
      <c r="UMZ357" s="92"/>
      <c r="UNA357" s="92"/>
      <c r="UNB357" s="92"/>
      <c r="UNC357" s="92"/>
      <c r="UND357" s="92"/>
      <c r="UNE357" s="92"/>
      <c r="UNF357" s="92"/>
      <c r="UNG357" s="92"/>
      <c r="UNH357" s="92"/>
      <c r="UNI357" s="92"/>
      <c r="UNJ357" s="92"/>
      <c r="UNK357" s="92"/>
      <c r="UNL357" s="92"/>
      <c r="UNM357" s="92"/>
      <c r="UNN357" s="92"/>
      <c r="UNO357" s="92"/>
      <c r="UNP357" s="92"/>
      <c r="UNQ357" s="92"/>
      <c r="UNR357" s="92"/>
      <c r="UNS357" s="92"/>
      <c r="UNT357" s="92"/>
      <c r="UNU357" s="92"/>
      <c r="UNV357" s="92"/>
      <c r="UNW357" s="92"/>
      <c r="UNX357" s="92"/>
      <c r="UNY357" s="92"/>
      <c r="UNZ357" s="92"/>
      <c r="UOA357" s="92"/>
      <c r="UOB357" s="92"/>
      <c r="UOC357" s="92"/>
      <c r="UOD357" s="92"/>
      <c r="UOE357" s="92"/>
      <c r="UOF357" s="92"/>
      <c r="UOG357" s="92"/>
      <c r="UOH357" s="92"/>
      <c r="UOI357" s="92"/>
      <c r="UOJ357" s="92"/>
      <c r="UOK357" s="92"/>
      <c r="UOL357" s="92"/>
      <c r="UOM357" s="92"/>
      <c r="UON357" s="92"/>
      <c r="UOO357" s="92"/>
      <c r="UOP357" s="92"/>
      <c r="UOQ357" s="92"/>
      <c r="UOR357" s="92"/>
      <c r="UOS357" s="92"/>
      <c r="UOT357" s="92"/>
      <c r="UOU357" s="92"/>
      <c r="UOV357" s="92"/>
      <c r="UOW357" s="92"/>
      <c r="UOX357" s="92"/>
      <c r="UOY357" s="92"/>
      <c r="UOZ357" s="92"/>
      <c r="UPA357" s="92"/>
      <c r="UPB357" s="92"/>
      <c r="UPC357" s="92"/>
      <c r="UPD357" s="92"/>
      <c r="UPE357" s="92"/>
      <c r="UPF357" s="92"/>
      <c r="UPG357" s="92"/>
      <c r="UPH357" s="92"/>
      <c r="UPI357" s="92"/>
      <c r="UPJ357" s="92"/>
      <c r="UPK357" s="92"/>
      <c r="UPL357" s="92"/>
      <c r="UPM357" s="92"/>
      <c r="UPN357" s="92"/>
      <c r="UPO357" s="92"/>
      <c r="UPP357" s="92"/>
      <c r="UPQ357" s="92"/>
      <c r="UPR357" s="92"/>
      <c r="UPS357" s="92"/>
      <c r="UPT357" s="92"/>
      <c r="UPU357" s="92"/>
      <c r="UPV357" s="92"/>
      <c r="UPW357" s="92"/>
      <c r="UPX357" s="92"/>
      <c r="UPY357" s="92"/>
      <c r="UPZ357" s="92"/>
      <c r="UQA357" s="92"/>
      <c r="UQB357" s="92"/>
      <c r="UQC357" s="92"/>
      <c r="UQD357" s="92"/>
      <c r="UQE357" s="92"/>
      <c r="UQF357" s="92"/>
      <c r="UQG357" s="92"/>
      <c r="UQH357" s="92"/>
      <c r="UQI357" s="92"/>
      <c r="UQJ357" s="92"/>
      <c r="UQK357" s="92"/>
      <c r="UQL357" s="92"/>
      <c r="UQM357" s="92"/>
      <c r="UQN357" s="92"/>
      <c r="UQO357" s="92"/>
      <c r="UQP357" s="92"/>
      <c r="UQQ357" s="92"/>
      <c r="UQR357" s="92"/>
      <c r="UQS357" s="92"/>
      <c r="UQT357" s="92"/>
      <c r="UQU357" s="92"/>
      <c r="UQV357" s="92"/>
      <c r="UQW357" s="92"/>
      <c r="UQX357" s="92"/>
      <c r="UQY357" s="92"/>
      <c r="UQZ357" s="92"/>
      <c r="URA357" s="92"/>
      <c r="URB357" s="92"/>
      <c r="URC357" s="92"/>
      <c r="URD357" s="92"/>
      <c r="URE357" s="92"/>
      <c r="URF357" s="92"/>
      <c r="URG357" s="92"/>
      <c r="URH357" s="92"/>
      <c r="URI357" s="92"/>
      <c r="URJ357" s="92"/>
      <c r="URK357" s="92"/>
      <c r="URL357" s="92"/>
      <c r="URM357" s="92"/>
      <c r="URN357" s="92"/>
      <c r="URO357" s="92"/>
      <c r="URP357" s="92"/>
      <c r="URQ357" s="92"/>
      <c r="URR357" s="92"/>
      <c r="URS357" s="92"/>
      <c r="URT357" s="92"/>
      <c r="URU357" s="92"/>
      <c r="URV357" s="92"/>
      <c r="URW357" s="92"/>
      <c r="URX357" s="92"/>
      <c r="URY357" s="92"/>
      <c r="URZ357" s="92"/>
      <c r="USA357" s="92"/>
      <c r="USB357" s="92"/>
      <c r="USC357" s="92"/>
      <c r="USD357" s="92"/>
      <c r="USE357" s="92"/>
      <c r="USF357" s="92"/>
      <c r="USG357" s="92"/>
      <c r="USH357" s="92"/>
      <c r="USI357" s="92"/>
      <c r="USJ357" s="92"/>
      <c r="USK357" s="92"/>
      <c r="USL357" s="92"/>
      <c r="USM357" s="92"/>
      <c r="USN357" s="92"/>
      <c r="USO357" s="92"/>
      <c r="USP357" s="92"/>
      <c r="USQ357" s="92"/>
      <c r="USR357" s="92"/>
      <c r="USS357" s="92"/>
      <c r="UST357" s="92"/>
      <c r="USU357" s="92"/>
      <c r="USV357" s="92"/>
      <c r="USW357" s="92"/>
      <c r="USX357" s="92"/>
      <c r="USY357" s="92"/>
      <c r="USZ357" s="92"/>
      <c r="UTA357" s="92"/>
      <c r="UTB357" s="92"/>
      <c r="UTC357" s="92"/>
      <c r="UTD357" s="92"/>
      <c r="UTE357" s="92"/>
      <c r="UTF357" s="92"/>
      <c r="UTG357" s="92"/>
      <c r="UTH357" s="92"/>
      <c r="UTI357" s="92"/>
      <c r="UTJ357" s="92"/>
      <c r="UTK357" s="92"/>
      <c r="UTL357" s="92"/>
      <c r="UTM357" s="92"/>
      <c r="UTN357" s="92"/>
      <c r="UTO357" s="92"/>
      <c r="UTP357" s="92"/>
      <c r="UTQ357" s="92"/>
      <c r="UTR357" s="92"/>
      <c r="UTS357" s="92"/>
      <c r="UTT357" s="92"/>
      <c r="UTU357" s="92"/>
      <c r="UTV357" s="92"/>
      <c r="UTW357" s="92"/>
      <c r="UTX357" s="92"/>
      <c r="UTY357" s="92"/>
      <c r="UTZ357" s="92"/>
      <c r="UUA357" s="92"/>
      <c r="UUB357" s="92"/>
      <c r="UUC357" s="92"/>
      <c r="UUD357" s="92"/>
      <c r="UUE357" s="92"/>
      <c r="UUF357" s="92"/>
      <c r="UUG357" s="92"/>
      <c r="UUH357" s="92"/>
      <c r="UUI357" s="92"/>
      <c r="UUJ357" s="92"/>
      <c r="UUK357" s="92"/>
      <c r="UUL357" s="92"/>
      <c r="UUM357" s="92"/>
      <c r="UUN357" s="92"/>
      <c r="UUO357" s="92"/>
      <c r="UUP357" s="92"/>
      <c r="UUQ357" s="92"/>
      <c r="UUR357" s="92"/>
      <c r="UUS357" s="92"/>
      <c r="UUT357" s="92"/>
      <c r="UUU357" s="92"/>
      <c r="UUV357" s="92"/>
      <c r="UUW357" s="92"/>
      <c r="UUX357" s="92"/>
      <c r="UUY357" s="92"/>
      <c r="UUZ357" s="92"/>
      <c r="UVA357" s="92"/>
      <c r="UVB357" s="92"/>
      <c r="UVC357" s="92"/>
      <c r="UVD357" s="92"/>
      <c r="UVE357" s="92"/>
      <c r="UVF357" s="92"/>
      <c r="UVG357" s="92"/>
      <c r="UVH357" s="92"/>
      <c r="UVI357" s="92"/>
      <c r="UVJ357" s="92"/>
      <c r="UVK357" s="92"/>
      <c r="UVL357" s="92"/>
      <c r="UVM357" s="92"/>
      <c r="UVN357" s="92"/>
      <c r="UVO357" s="92"/>
      <c r="UVP357" s="92"/>
      <c r="UVQ357" s="92"/>
      <c r="UVR357" s="92"/>
      <c r="UVS357" s="92"/>
      <c r="UVT357" s="92"/>
      <c r="UVU357" s="92"/>
      <c r="UVV357" s="92"/>
      <c r="UVW357" s="92"/>
      <c r="UVX357" s="92"/>
      <c r="UVY357" s="92"/>
      <c r="UVZ357" s="92"/>
      <c r="UWA357" s="92"/>
      <c r="UWB357" s="92"/>
      <c r="UWC357" s="92"/>
      <c r="UWD357" s="92"/>
      <c r="UWE357" s="92"/>
      <c r="UWF357" s="92"/>
      <c r="UWG357" s="92"/>
      <c r="UWH357" s="92"/>
      <c r="UWI357" s="92"/>
      <c r="UWJ357" s="92"/>
      <c r="UWK357" s="92"/>
      <c r="UWL357" s="92"/>
      <c r="UWM357" s="92"/>
      <c r="UWN357" s="92"/>
      <c r="UWO357" s="92"/>
      <c r="UWP357" s="92"/>
      <c r="UWQ357" s="92"/>
      <c r="UWR357" s="92"/>
      <c r="UWS357" s="92"/>
      <c r="UWT357" s="92"/>
      <c r="UWU357" s="92"/>
      <c r="UWV357" s="92"/>
      <c r="UWW357" s="92"/>
      <c r="UWX357" s="92"/>
      <c r="UWY357" s="92"/>
      <c r="UWZ357" s="92"/>
      <c r="UXA357" s="92"/>
      <c r="UXB357" s="92"/>
      <c r="UXC357" s="92"/>
      <c r="UXD357" s="92"/>
      <c r="UXE357" s="92"/>
      <c r="UXF357" s="92"/>
      <c r="UXG357" s="92"/>
      <c r="UXH357" s="92"/>
      <c r="UXI357" s="92"/>
      <c r="UXJ357" s="92"/>
      <c r="UXK357" s="92"/>
      <c r="UXL357" s="92"/>
      <c r="UXM357" s="92"/>
      <c r="UXN357" s="92"/>
      <c r="UXO357" s="92"/>
      <c r="UXP357" s="92"/>
      <c r="UXQ357" s="92"/>
      <c r="UXR357" s="92"/>
      <c r="UXS357" s="92"/>
      <c r="UXT357" s="92"/>
      <c r="UXU357" s="92"/>
      <c r="UXV357" s="92"/>
      <c r="UXW357" s="92"/>
      <c r="UXX357" s="92"/>
      <c r="UXY357" s="92"/>
      <c r="UXZ357" s="92"/>
      <c r="UYA357" s="92"/>
      <c r="UYB357" s="92"/>
      <c r="UYC357" s="92"/>
      <c r="UYD357" s="92"/>
      <c r="UYE357" s="92"/>
      <c r="UYF357" s="92"/>
      <c r="UYG357" s="92"/>
      <c r="UYH357" s="92"/>
      <c r="UYI357" s="92"/>
      <c r="UYJ357" s="92"/>
      <c r="UYK357" s="92"/>
      <c r="UYL357" s="92"/>
      <c r="UYM357" s="92"/>
      <c r="UYN357" s="92"/>
      <c r="UYO357" s="92"/>
      <c r="UYP357" s="92"/>
      <c r="UYQ357" s="92"/>
      <c r="UYR357" s="92"/>
      <c r="UYS357" s="92"/>
      <c r="UYT357" s="92"/>
      <c r="UYU357" s="92"/>
      <c r="UYV357" s="92"/>
      <c r="UYW357" s="92"/>
      <c r="UYX357" s="92"/>
      <c r="UYY357" s="92"/>
      <c r="UYZ357" s="92"/>
      <c r="UZA357" s="92"/>
      <c r="UZB357" s="92"/>
      <c r="UZC357" s="92"/>
      <c r="UZD357" s="92"/>
      <c r="UZE357" s="92"/>
      <c r="UZF357" s="92"/>
      <c r="UZG357" s="92"/>
      <c r="UZH357" s="92"/>
      <c r="UZI357" s="92"/>
      <c r="UZJ357" s="92"/>
      <c r="UZK357" s="92"/>
      <c r="UZL357" s="92"/>
      <c r="UZM357" s="92"/>
      <c r="UZN357" s="92"/>
      <c r="UZO357" s="92"/>
      <c r="UZP357" s="92"/>
      <c r="UZQ357" s="92"/>
      <c r="UZR357" s="92"/>
      <c r="UZS357" s="92"/>
      <c r="UZT357" s="92"/>
      <c r="UZU357" s="92"/>
      <c r="UZV357" s="92"/>
      <c r="UZW357" s="92"/>
      <c r="UZX357" s="92"/>
      <c r="UZY357" s="92"/>
      <c r="UZZ357" s="92"/>
      <c r="VAA357" s="92"/>
      <c r="VAB357" s="92"/>
      <c r="VAC357" s="92"/>
      <c r="VAD357" s="92"/>
      <c r="VAE357" s="92"/>
      <c r="VAF357" s="92"/>
      <c r="VAG357" s="92"/>
      <c r="VAH357" s="92"/>
      <c r="VAI357" s="92"/>
      <c r="VAJ357" s="92"/>
      <c r="VAK357" s="92"/>
      <c r="VAL357" s="92"/>
      <c r="VAM357" s="92"/>
      <c r="VAN357" s="92"/>
      <c r="VAO357" s="92"/>
      <c r="VAP357" s="92"/>
      <c r="VAQ357" s="92"/>
      <c r="VAR357" s="92"/>
      <c r="VAS357" s="92"/>
      <c r="VAT357" s="92"/>
      <c r="VAU357" s="92"/>
      <c r="VAV357" s="92"/>
      <c r="VAW357" s="92"/>
      <c r="VAX357" s="92"/>
      <c r="VAY357" s="92"/>
      <c r="VAZ357" s="92"/>
      <c r="VBA357" s="92"/>
      <c r="VBB357" s="92"/>
      <c r="VBC357" s="92"/>
      <c r="VBD357" s="92"/>
      <c r="VBE357" s="92"/>
      <c r="VBF357" s="92"/>
      <c r="VBG357" s="92"/>
      <c r="VBH357" s="92"/>
      <c r="VBI357" s="92"/>
      <c r="VBJ357" s="92"/>
      <c r="VBK357" s="92"/>
      <c r="VBL357" s="92"/>
      <c r="VBM357" s="92"/>
      <c r="VBN357" s="92"/>
      <c r="VBO357" s="92"/>
      <c r="VBP357" s="92"/>
      <c r="VBQ357" s="92"/>
      <c r="VBR357" s="92"/>
      <c r="VBS357" s="92"/>
      <c r="VBT357" s="92"/>
      <c r="VBU357" s="92"/>
      <c r="VBV357" s="92"/>
      <c r="VBW357" s="92"/>
      <c r="VBX357" s="92"/>
      <c r="VBY357" s="92"/>
      <c r="VBZ357" s="92"/>
      <c r="VCA357" s="92"/>
      <c r="VCB357" s="92"/>
      <c r="VCC357" s="92"/>
      <c r="VCD357" s="92"/>
      <c r="VCE357" s="92"/>
      <c r="VCF357" s="92"/>
      <c r="VCG357" s="92"/>
      <c r="VCH357" s="92"/>
      <c r="VCI357" s="92"/>
      <c r="VCJ357" s="92"/>
      <c r="VCK357" s="92"/>
      <c r="VCL357" s="92"/>
      <c r="VCM357" s="92"/>
      <c r="VCN357" s="92"/>
      <c r="VCO357" s="92"/>
      <c r="VCP357" s="92"/>
      <c r="VCQ357" s="92"/>
      <c r="VCR357" s="92"/>
      <c r="VCS357" s="92"/>
      <c r="VCT357" s="92"/>
      <c r="VCU357" s="92"/>
      <c r="VCV357" s="92"/>
      <c r="VCW357" s="92"/>
      <c r="VCX357" s="92"/>
      <c r="VCY357" s="92"/>
      <c r="VCZ357" s="92"/>
      <c r="VDA357" s="92"/>
      <c r="VDB357" s="92"/>
      <c r="VDC357" s="92"/>
      <c r="VDD357" s="92"/>
      <c r="VDE357" s="92"/>
      <c r="VDF357" s="92"/>
      <c r="VDG357" s="92"/>
      <c r="VDH357" s="92"/>
      <c r="VDI357" s="92"/>
      <c r="VDJ357" s="92"/>
      <c r="VDK357" s="92"/>
      <c r="VDL357" s="92"/>
      <c r="VDM357" s="92"/>
      <c r="VDN357" s="92"/>
      <c r="VDO357" s="92"/>
      <c r="VDP357" s="92"/>
      <c r="VDQ357" s="92"/>
      <c r="VDR357" s="92"/>
      <c r="VDS357" s="92"/>
      <c r="VDT357" s="92"/>
      <c r="VDU357" s="92"/>
      <c r="VDV357" s="92"/>
      <c r="VDW357" s="92"/>
      <c r="VDX357" s="92"/>
      <c r="VDY357" s="92"/>
      <c r="VDZ357" s="92"/>
      <c r="VEA357" s="92"/>
      <c r="VEB357" s="92"/>
      <c r="VEC357" s="92"/>
      <c r="VED357" s="92"/>
      <c r="VEE357" s="92"/>
      <c r="VEF357" s="92"/>
      <c r="VEG357" s="92"/>
      <c r="VEH357" s="92"/>
      <c r="VEI357" s="92"/>
      <c r="VEJ357" s="92"/>
      <c r="VEK357" s="92"/>
      <c r="VEL357" s="92"/>
      <c r="VEM357" s="92"/>
      <c r="VEN357" s="92"/>
      <c r="VEO357" s="92"/>
      <c r="VEP357" s="92"/>
      <c r="VEQ357" s="92"/>
      <c r="VER357" s="92"/>
      <c r="VES357" s="92"/>
      <c r="VET357" s="92"/>
      <c r="VEU357" s="92"/>
      <c r="VEV357" s="92"/>
      <c r="VEW357" s="92"/>
      <c r="VEX357" s="92"/>
      <c r="VEY357" s="92"/>
      <c r="VEZ357" s="92"/>
      <c r="VFA357" s="92"/>
      <c r="VFB357" s="92"/>
      <c r="VFC357" s="92"/>
      <c r="VFD357" s="92"/>
      <c r="VFE357" s="92"/>
      <c r="VFF357" s="92"/>
      <c r="VFG357" s="92"/>
      <c r="VFH357" s="92"/>
      <c r="VFI357" s="92"/>
      <c r="VFJ357" s="92"/>
      <c r="VFK357" s="92"/>
      <c r="VFL357" s="92"/>
      <c r="VFM357" s="92"/>
      <c r="VFN357" s="92"/>
      <c r="VFO357" s="92"/>
      <c r="VFP357" s="92"/>
      <c r="VFQ357" s="92"/>
      <c r="VFR357" s="92"/>
      <c r="VFS357" s="92"/>
      <c r="VFT357" s="92"/>
      <c r="VFU357" s="92"/>
      <c r="VFV357" s="92"/>
      <c r="VFW357" s="92"/>
      <c r="VFX357" s="92"/>
      <c r="VFY357" s="92"/>
      <c r="VFZ357" s="92"/>
      <c r="VGA357" s="92"/>
      <c r="VGB357" s="92"/>
      <c r="VGC357" s="92"/>
      <c r="VGD357" s="92"/>
      <c r="VGE357" s="92"/>
      <c r="VGF357" s="92"/>
      <c r="VGG357" s="92"/>
      <c r="VGH357" s="92"/>
      <c r="VGI357" s="92"/>
      <c r="VGJ357" s="92"/>
      <c r="VGK357" s="92"/>
      <c r="VGL357" s="92"/>
      <c r="VGM357" s="92"/>
      <c r="VGN357" s="92"/>
      <c r="VGO357" s="92"/>
      <c r="VGP357" s="92"/>
      <c r="VGQ357" s="92"/>
      <c r="VGR357" s="92"/>
      <c r="VGS357" s="92"/>
      <c r="VGT357" s="92"/>
      <c r="VGU357" s="92"/>
      <c r="VGV357" s="92"/>
      <c r="VGW357" s="92"/>
      <c r="VGX357" s="92"/>
      <c r="VGY357" s="92"/>
      <c r="VGZ357" s="92"/>
      <c r="VHA357" s="92"/>
      <c r="VHB357" s="92"/>
      <c r="VHC357" s="92"/>
      <c r="VHD357" s="92"/>
      <c r="VHE357" s="92"/>
      <c r="VHF357" s="92"/>
      <c r="VHG357" s="92"/>
      <c r="VHH357" s="92"/>
      <c r="VHI357" s="92"/>
      <c r="VHJ357" s="92"/>
      <c r="VHK357" s="92"/>
      <c r="VHL357" s="92"/>
      <c r="VHM357" s="92"/>
      <c r="VHN357" s="92"/>
      <c r="VHO357" s="92"/>
      <c r="VHP357" s="92"/>
      <c r="VHQ357" s="92"/>
      <c r="VHR357" s="92"/>
      <c r="VHS357" s="92"/>
      <c r="VHT357" s="92"/>
      <c r="VHU357" s="92"/>
      <c r="VHV357" s="92"/>
      <c r="VHW357" s="92"/>
      <c r="VHX357" s="92"/>
      <c r="VHY357" s="92"/>
      <c r="VHZ357" s="92"/>
      <c r="VIA357" s="92"/>
      <c r="VIB357" s="92"/>
      <c r="VIC357" s="92"/>
      <c r="VID357" s="92"/>
      <c r="VIE357" s="92"/>
      <c r="VIF357" s="92"/>
      <c r="VIG357" s="92"/>
      <c r="VIH357" s="92"/>
      <c r="VII357" s="92"/>
      <c r="VIJ357" s="92"/>
      <c r="VIK357" s="92"/>
      <c r="VIL357" s="92"/>
      <c r="VIM357" s="92"/>
      <c r="VIN357" s="92"/>
      <c r="VIO357" s="92"/>
      <c r="VIP357" s="92"/>
      <c r="VIQ357" s="92"/>
      <c r="VIR357" s="92"/>
      <c r="VIS357" s="92"/>
      <c r="VIT357" s="92"/>
      <c r="VIU357" s="92"/>
      <c r="VIV357" s="92"/>
      <c r="VIW357" s="92"/>
      <c r="VIX357" s="92"/>
      <c r="VIY357" s="92"/>
      <c r="VIZ357" s="92"/>
      <c r="VJA357" s="92"/>
      <c r="VJB357" s="92"/>
      <c r="VJC357" s="92"/>
      <c r="VJD357" s="92"/>
      <c r="VJE357" s="92"/>
      <c r="VJF357" s="92"/>
      <c r="VJG357" s="92"/>
      <c r="VJH357" s="92"/>
      <c r="VJI357" s="92"/>
      <c r="VJJ357" s="92"/>
      <c r="VJK357" s="92"/>
      <c r="VJL357" s="92"/>
      <c r="VJM357" s="92"/>
      <c r="VJN357" s="92"/>
      <c r="VJO357" s="92"/>
      <c r="VJP357" s="92"/>
      <c r="VJQ357" s="92"/>
      <c r="VJR357" s="92"/>
      <c r="VJS357" s="92"/>
      <c r="VJT357" s="92"/>
      <c r="VJU357" s="92"/>
      <c r="VJV357" s="92"/>
      <c r="VJW357" s="92"/>
      <c r="VJX357" s="92"/>
      <c r="VJY357" s="92"/>
      <c r="VJZ357" s="92"/>
      <c r="VKA357" s="92"/>
      <c r="VKB357" s="92"/>
      <c r="VKC357" s="92"/>
      <c r="VKD357" s="92"/>
      <c r="VKE357" s="92"/>
      <c r="VKF357" s="92"/>
      <c r="VKG357" s="92"/>
      <c r="VKH357" s="92"/>
      <c r="VKI357" s="92"/>
      <c r="VKJ357" s="92"/>
      <c r="VKK357" s="92"/>
      <c r="VKL357" s="92"/>
      <c r="VKM357" s="92"/>
      <c r="VKN357" s="92"/>
      <c r="VKO357" s="92"/>
      <c r="VKP357" s="92"/>
      <c r="VKQ357" s="92"/>
      <c r="VKR357" s="92"/>
      <c r="VKS357" s="92"/>
      <c r="VKT357" s="92"/>
      <c r="VKU357" s="92"/>
      <c r="VKV357" s="92"/>
      <c r="VKW357" s="92"/>
      <c r="VKX357" s="92"/>
      <c r="VKY357" s="92"/>
      <c r="VKZ357" s="92"/>
      <c r="VLA357" s="92"/>
      <c r="VLB357" s="92"/>
      <c r="VLC357" s="92"/>
      <c r="VLD357" s="92"/>
      <c r="VLE357" s="92"/>
      <c r="VLF357" s="92"/>
      <c r="VLG357" s="92"/>
      <c r="VLH357" s="92"/>
      <c r="VLI357" s="92"/>
      <c r="VLJ357" s="92"/>
      <c r="VLK357" s="92"/>
      <c r="VLL357" s="92"/>
      <c r="VLM357" s="92"/>
      <c r="VLN357" s="92"/>
      <c r="VLO357" s="92"/>
      <c r="VLP357" s="92"/>
      <c r="VLQ357" s="92"/>
      <c r="VLR357" s="92"/>
      <c r="VLS357" s="92"/>
      <c r="VLT357" s="92"/>
      <c r="VLU357" s="92"/>
      <c r="VLV357" s="92"/>
      <c r="VLW357" s="92"/>
      <c r="VLX357" s="92"/>
      <c r="VLY357" s="92"/>
      <c r="VLZ357" s="92"/>
      <c r="VMA357" s="92"/>
      <c r="VMB357" s="92"/>
      <c r="VMC357" s="92"/>
      <c r="VMD357" s="92"/>
      <c r="VME357" s="92"/>
      <c r="VMF357" s="92"/>
      <c r="VMG357" s="92"/>
      <c r="VMH357" s="92"/>
      <c r="VMI357" s="92"/>
      <c r="VMJ357" s="92"/>
      <c r="VMK357" s="92"/>
      <c r="VML357" s="92"/>
      <c r="VMM357" s="92"/>
      <c r="VMN357" s="92"/>
      <c r="VMO357" s="92"/>
      <c r="VMP357" s="92"/>
      <c r="VMQ357" s="92"/>
      <c r="VMR357" s="92"/>
      <c r="VMS357" s="92"/>
      <c r="VMT357" s="92"/>
      <c r="VMU357" s="92"/>
      <c r="VMV357" s="92"/>
      <c r="VMW357" s="92"/>
      <c r="VMX357" s="92"/>
      <c r="VMY357" s="92"/>
      <c r="VMZ357" s="92"/>
      <c r="VNA357" s="92"/>
      <c r="VNB357" s="92"/>
      <c r="VNC357" s="92"/>
      <c r="VND357" s="92"/>
      <c r="VNE357" s="92"/>
      <c r="VNF357" s="92"/>
      <c r="VNG357" s="92"/>
      <c r="VNH357" s="92"/>
      <c r="VNI357" s="92"/>
      <c r="VNJ357" s="92"/>
      <c r="VNK357" s="92"/>
      <c r="VNL357" s="92"/>
      <c r="VNM357" s="92"/>
      <c r="VNN357" s="92"/>
      <c r="VNO357" s="92"/>
      <c r="VNP357" s="92"/>
      <c r="VNQ357" s="92"/>
      <c r="VNR357" s="92"/>
      <c r="VNS357" s="92"/>
      <c r="VNT357" s="92"/>
      <c r="VNU357" s="92"/>
      <c r="VNV357" s="92"/>
      <c r="VNW357" s="92"/>
      <c r="VNX357" s="92"/>
      <c r="VNY357" s="92"/>
      <c r="VNZ357" s="92"/>
      <c r="VOA357" s="92"/>
      <c r="VOB357" s="92"/>
      <c r="VOC357" s="92"/>
      <c r="VOD357" s="92"/>
      <c r="VOE357" s="92"/>
      <c r="VOF357" s="92"/>
      <c r="VOG357" s="92"/>
      <c r="VOH357" s="92"/>
      <c r="VOI357" s="92"/>
      <c r="VOJ357" s="92"/>
      <c r="VOK357" s="92"/>
      <c r="VOL357" s="92"/>
      <c r="VOM357" s="92"/>
      <c r="VON357" s="92"/>
      <c r="VOO357" s="92"/>
      <c r="VOP357" s="92"/>
      <c r="VOQ357" s="92"/>
      <c r="VOR357" s="92"/>
      <c r="VOS357" s="92"/>
      <c r="VOT357" s="92"/>
      <c r="VOU357" s="92"/>
      <c r="VOV357" s="92"/>
      <c r="VOW357" s="92"/>
      <c r="VOX357" s="92"/>
      <c r="VOY357" s="92"/>
      <c r="VOZ357" s="92"/>
      <c r="VPA357" s="92"/>
      <c r="VPB357" s="92"/>
      <c r="VPC357" s="92"/>
      <c r="VPD357" s="92"/>
      <c r="VPE357" s="92"/>
      <c r="VPF357" s="92"/>
      <c r="VPG357" s="92"/>
      <c r="VPH357" s="92"/>
      <c r="VPI357" s="92"/>
      <c r="VPJ357" s="92"/>
      <c r="VPK357" s="92"/>
      <c r="VPL357" s="92"/>
      <c r="VPM357" s="92"/>
      <c r="VPN357" s="92"/>
      <c r="VPO357" s="92"/>
      <c r="VPP357" s="92"/>
      <c r="VPQ357" s="92"/>
      <c r="VPR357" s="92"/>
      <c r="VPS357" s="92"/>
      <c r="VPT357" s="92"/>
      <c r="VPU357" s="92"/>
      <c r="VPV357" s="92"/>
      <c r="VPW357" s="92"/>
      <c r="VPX357" s="92"/>
      <c r="VPY357" s="92"/>
      <c r="VPZ357" s="92"/>
      <c r="VQA357" s="92"/>
      <c r="VQB357" s="92"/>
      <c r="VQC357" s="92"/>
      <c r="VQD357" s="92"/>
      <c r="VQE357" s="92"/>
      <c r="VQF357" s="92"/>
      <c r="VQG357" s="92"/>
      <c r="VQH357" s="92"/>
      <c r="VQI357" s="92"/>
      <c r="VQJ357" s="92"/>
      <c r="VQK357" s="92"/>
      <c r="VQL357" s="92"/>
      <c r="VQM357" s="92"/>
      <c r="VQN357" s="92"/>
      <c r="VQO357" s="92"/>
      <c r="VQP357" s="92"/>
      <c r="VQQ357" s="92"/>
      <c r="VQR357" s="92"/>
      <c r="VQS357" s="92"/>
      <c r="VQT357" s="92"/>
      <c r="VQU357" s="92"/>
      <c r="VQV357" s="92"/>
      <c r="VQW357" s="92"/>
      <c r="VQX357" s="92"/>
      <c r="VQY357" s="92"/>
      <c r="VQZ357" s="92"/>
      <c r="VRA357" s="92"/>
      <c r="VRB357" s="92"/>
      <c r="VRC357" s="92"/>
      <c r="VRD357" s="92"/>
      <c r="VRE357" s="92"/>
      <c r="VRF357" s="92"/>
      <c r="VRG357" s="92"/>
      <c r="VRH357" s="92"/>
      <c r="VRI357" s="92"/>
      <c r="VRJ357" s="92"/>
      <c r="VRK357" s="92"/>
      <c r="VRL357" s="92"/>
      <c r="VRM357" s="92"/>
      <c r="VRN357" s="92"/>
      <c r="VRO357" s="92"/>
      <c r="VRP357" s="92"/>
      <c r="VRQ357" s="92"/>
      <c r="VRR357" s="92"/>
      <c r="VRS357" s="92"/>
      <c r="VRT357" s="92"/>
      <c r="VRU357" s="92"/>
      <c r="VRV357" s="92"/>
      <c r="VRW357" s="92"/>
      <c r="VRX357" s="92"/>
      <c r="VRY357" s="92"/>
      <c r="VRZ357" s="92"/>
      <c r="VSA357" s="92"/>
      <c r="VSB357" s="92"/>
      <c r="VSC357" s="92"/>
      <c r="VSD357" s="92"/>
      <c r="VSE357" s="92"/>
      <c r="VSF357" s="92"/>
      <c r="VSG357" s="92"/>
      <c r="VSH357" s="92"/>
      <c r="VSI357" s="92"/>
      <c r="VSJ357" s="92"/>
      <c r="VSK357" s="92"/>
      <c r="VSL357" s="92"/>
      <c r="VSM357" s="92"/>
      <c r="VSN357" s="92"/>
      <c r="VSO357" s="92"/>
      <c r="VSP357" s="92"/>
      <c r="VSQ357" s="92"/>
      <c r="VSR357" s="92"/>
      <c r="VSS357" s="92"/>
      <c r="VST357" s="92"/>
      <c r="VSU357" s="92"/>
      <c r="VSV357" s="92"/>
      <c r="VSW357" s="92"/>
      <c r="VSX357" s="92"/>
      <c r="VSY357" s="92"/>
      <c r="VSZ357" s="92"/>
      <c r="VTA357" s="92"/>
      <c r="VTB357" s="92"/>
      <c r="VTC357" s="92"/>
      <c r="VTD357" s="92"/>
      <c r="VTE357" s="92"/>
      <c r="VTF357" s="92"/>
      <c r="VTG357" s="92"/>
      <c r="VTH357" s="92"/>
      <c r="VTI357" s="92"/>
      <c r="VTJ357" s="92"/>
      <c r="VTK357" s="92"/>
      <c r="VTL357" s="92"/>
      <c r="VTM357" s="92"/>
      <c r="VTN357" s="92"/>
      <c r="VTO357" s="92"/>
      <c r="VTP357" s="92"/>
      <c r="VTQ357" s="92"/>
      <c r="VTR357" s="92"/>
      <c r="VTS357" s="92"/>
      <c r="VTT357" s="92"/>
      <c r="VTU357" s="92"/>
      <c r="VTV357" s="92"/>
      <c r="VTW357" s="92"/>
      <c r="VTX357" s="92"/>
      <c r="VTY357" s="92"/>
      <c r="VTZ357" s="92"/>
      <c r="VUA357" s="92"/>
      <c r="VUB357" s="92"/>
      <c r="VUC357" s="92"/>
      <c r="VUD357" s="92"/>
      <c r="VUE357" s="92"/>
      <c r="VUF357" s="92"/>
      <c r="VUG357" s="92"/>
      <c r="VUH357" s="92"/>
      <c r="VUI357" s="92"/>
      <c r="VUJ357" s="92"/>
      <c r="VUK357" s="92"/>
      <c r="VUL357" s="92"/>
      <c r="VUM357" s="92"/>
      <c r="VUN357" s="92"/>
      <c r="VUO357" s="92"/>
      <c r="VUP357" s="92"/>
      <c r="VUQ357" s="92"/>
      <c r="VUR357" s="92"/>
      <c r="VUS357" s="92"/>
      <c r="VUT357" s="92"/>
      <c r="VUU357" s="92"/>
      <c r="VUV357" s="92"/>
      <c r="VUW357" s="92"/>
      <c r="VUX357" s="92"/>
      <c r="VUY357" s="92"/>
      <c r="VUZ357" s="92"/>
      <c r="VVA357" s="92"/>
      <c r="VVB357" s="92"/>
      <c r="VVC357" s="92"/>
      <c r="VVD357" s="92"/>
      <c r="VVE357" s="92"/>
      <c r="VVF357" s="92"/>
      <c r="VVG357" s="92"/>
      <c r="VVH357" s="92"/>
      <c r="VVI357" s="92"/>
      <c r="VVJ357" s="92"/>
      <c r="VVK357" s="92"/>
      <c r="VVL357" s="92"/>
      <c r="VVM357" s="92"/>
      <c r="VVN357" s="92"/>
      <c r="VVO357" s="92"/>
      <c r="VVP357" s="92"/>
      <c r="VVQ357" s="92"/>
      <c r="VVR357" s="92"/>
      <c r="VVS357" s="92"/>
      <c r="VVT357" s="92"/>
      <c r="VVU357" s="92"/>
      <c r="VVV357" s="92"/>
      <c r="VVW357" s="92"/>
      <c r="VVX357" s="92"/>
      <c r="VVY357" s="92"/>
      <c r="VVZ357" s="92"/>
      <c r="VWA357" s="92"/>
      <c r="VWB357" s="92"/>
      <c r="VWC357" s="92"/>
      <c r="VWD357" s="92"/>
      <c r="VWE357" s="92"/>
      <c r="VWF357" s="92"/>
      <c r="VWG357" s="92"/>
      <c r="VWH357" s="92"/>
      <c r="VWI357" s="92"/>
      <c r="VWJ357" s="92"/>
      <c r="VWK357" s="92"/>
      <c r="VWL357" s="92"/>
      <c r="VWM357" s="92"/>
      <c r="VWN357" s="92"/>
      <c r="VWO357" s="92"/>
      <c r="VWP357" s="92"/>
      <c r="VWQ357" s="92"/>
      <c r="VWR357" s="92"/>
      <c r="VWS357" s="92"/>
      <c r="VWT357" s="92"/>
      <c r="VWU357" s="92"/>
      <c r="VWV357" s="92"/>
      <c r="VWW357" s="92"/>
      <c r="VWX357" s="92"/>
      <c r="VWY357" s="92"/>
      <c r="VWZ357" s="92"/>
      <c r="VXA357" s="92"/>
      <c r="VXB357" s="92"/>
      <c r="VXC357" s="92"/>
      <c r="VXD357" s="92"/>
      <c r="VXE357" s="92"/>
      <c r="VXF357" s="92"/>
      <c r="VXG357" s="92"/>
      <c r="VXH357" s="92"/>
      <c r="VXI357" s="92"/>
      <c r="VXJ357" s="92"/>
      <c r="VXK357" s="92"/>
      <c r="VXL357" s="92"/>
      <c r="VXM357" s="92"/>
      <c r="VXN357" s="92"/>
      <c r="VXO357" s="92"/>
      <c r="VXP357" s="92"/>
      <c r="VXQ357" s="92"/>
      <c r="VXR357" s="92"/>
      <c r="VXS357" s="92"/>
      <c r="VXT357" s="92"/>
      <c r="VXU357" s="92"/>
      <c r="VXV357" s="92"/>
      <c r="VXW357" s="92"/>
      <c r="VXX357" s="92"/>
      <c r="VXY357" s="92"/>
      <c r="VXZ357" s="92"/>
      <c r="VYA357" s="92"/>
      <c r="VYB357" s="92"/>
      <c r="VYC357" s="92"/>
      <c r="VYD357" s="92"/>
      <c r="VYE357" s="92"/>
      <c r="VYF357" s="92"/>
      <c r="VYG357" s="92"/>
      <c r="VYH357" s="92"/>
      <c r="VYI357" s="92"/>
      <c r="VYJ357" s="92"/>
      <c r="VYK357" s="92"/>
      <c r="VYL357" s="92"/>
      <c r="VYM357" s="92"/>
      <c r="VYN357" s="92"/>
      <c r="VYO357" s="92"/>
      <c r="VYP357" s="92"/>
      <c r="VYQ357" s="92"/>
      <c r="VYR357" s="92"/>
      <c r="VYS357" s="92"/>
      <c r="VYT357" s="92"/>
      <c r="VYU357" s="92"/>
      <c r="VYV357" s="92"/>
      <c r="VYW357" s="92"/>
      <c r="VYX357" s="92"/>
      <c r="VYY357" s="92"/>
      <c r="VYZ357" s="92"/>
      <c r="VZA357" s="92"/>
      <c r="VZB357" s="92"/>
      <c r="VZC357" s="92"/>
      <c r="VZD357" s="92"/>
      <c r="VZE357" s="92"/>
      <c r="VZF357" s="92"/>
      <c r="VZG357" s="92"/>
      <c r="VZH357" s="92"/>
      <c r="VZI357" s="92"/>
      <c r="VZJ357" s="92"/>
      <c r="VZK357" s="92"/>
      <c r="VZL357" s="92"/>
      <c r="VZM357" s="92"/>
      <c r="VZN357" s="92"/>
      <c r="VZO357" s="92"/>
      <c r="VZP357" s="92"/>
      <c r="VZQ357" s="92"/>
      <c r="VZR357" s="92"/>
      <c r="VZS357" s="92"/>
      <c r="VZT357" s="92"/>
      <c r="VZU357" s="92"/>
      <c r="VZV357" s="92"/>
      <c r="VZW357" s="92"/>
      <c r="VZX357" s="92"/>
      <c r="VZY357" s="92"/>
      <c r="VZZ357" s="92"/>
      <c r="WAA357" s="92"/>
      <c r="WAB357" s="92"/>
      <c r="WAC357" s="92"/>
      <c r="WAD357" s="92"/>
      <c r="WAE357" s="92"/>
      <c r="WAF357" s="92"/>
      <c r="WAG357" s="92"/>
      <c r="WAH357" s="92"/>
      <c r="WAI357" s="92"/>
      <c r="WAJ357" s="92"/>
      <c r="WAK357" s="92"/>
      <c r="WAL357" s="92"/>
      <c r="WAM357" s="92"/>
      <c r="WAN357" s="92"/>
      <c r="WAO357" s="92"/>
      <c r="WAP357" s="92"/>
      <c r="WAQ357" s="92"/>
      <c r="WAR357" s="92"/>
      <c r="WAS357" s="92"/>
      <c r="WAT357" s="92"/>
      <c r="WAU357" s="92"/>
      <c r="WAV357" s="92"/>
      <c r="WAW357" s="92"/>
      <c r="WAX357" s="92"/>
      <c r="WAY357" s="92"/>
      <c r="WAZ357" s="92"/>
      <c r="WBA357" s="92"/>
      <c r="WBB357" s="92"/>
      <c r="WBC357" s="92"/>
      <c r="WBD357" s="92"/>
      <c r="WBE357" s="92"/>
      <c r="WBF357" s="92"/>
      <c r="WBG357" s="92"/>
      <c r="WBH357" s="92"/>
      <c r="WBI357" s="92"/>
      <c r="WBJ357" s="92"/>
      <c r="WBK357" s="92"/>
      <c r="WBL357" s="92"/>
      <c r="WBM357" s="92"/>
      <c r="WBN357" s="92"/>
      <c r="WBO357" s="92"/>
      <c r="WBP357" s="92"/>
      <c r="WBQ357" s="92"/>
      <c r="WBR357" s="92"/>
      <c r="WBS357" s="92"/>
      <c r="WBT357" s="92"/>
      <c r="WBU357" s="92"/>
      <c r="WBV357" s="92"/>
      <c r="WBW357" s="92"/>
      <c r="WBX357" s="92"/>
      <c r="WBY357" s="92"/>
      <c r="WBZ357" s="92"/>
      <c r="WCA357" s="92"/>
      <c r="WCB357" s="92"/>
      <c r="WCC357" s="92"/>
      <c r="WCD357" s="92"/>
      <c r="WCE357" s="92"/>
      <c r="WCF357" s="92"/>
      <c r="WCG357" s="92"/>
      <c r="WCH357" s="92"/>
      <c r="WCI357" s="92"/>
      <c r="WCJ357" s="92"/>
      <c r="WCK357" s="92"/>
      <c r="WCL357" s="92"/>
      <c r="WCM357" s="92"/>
      <c r="WCN357" s="92"/>
      <c r="WCO357" s="92"/>
      <c r="WCP357" s="92"/>
      <c r="WCQ357" s="92"/>
      <c r="WCR357" s="92"/>
      <c r="WCS357" s="92"/>
      <c r="WCT357" s="92"/>
      <c r="WCU357" s="92"/>
      <c r="WCV357" s="92"/>
      <c r="WCW357" s="92"/>
      <c r="WCX357" s="92"/>
      <c r="WCY357" s="92"/>
      <c r="WCZ357" s="92"/>
      <c r="WDA357" s="92"/>
      <c r="WDB357" s="92"/>
      <c r="WDC357" s="92"/>
      <c r="WDD357" s="92"/>
      <c r="WDE357" s="92"/>
      <c r="WDF357" s="92"/>
      <c r="WDG357" s="92"/>
      <c r="WDH357" s="92"/>
      <c r="WDI357" s="92"/>
      <c r="WDJ357" s="92"/>
      <c r="WDK357" s="92"/>
      <c r="WDL357" s="92"/>
      <c r="WDM357" s="92"/>
      <c r="WDN357" s="92"/>
      <c r="WDO357" s="92"/>
      <c r="WDP357" s="92"/>
      <c r="WDQ357" s="92"/>
      <c r="WDR357" s="92"/>
      <c r="WDS357" s="92"/>
      <c r="WDT357" s="92"/>
      <c r="WDU357" s="92"/>
      <c r="WDV357" s="92"/>
      <c r="WDW357" s="92"/>
      <c r="WDX357" s="92"/>
      <c r="WDY357" s="92"/>
      <c r="WDZ357" s="92"/>
      <c r="WEA357" s="92"/>
      <c r="WEB357" s="92"/>
      <c r="WEC357" s="92"/>
      <c r="WED357" s="92"/>
      <c r="WEE357" s="92"/>
      <c r="WEF357" s="92"/>
      <c r="WEG357" s="92"/>
      <c r="WEH357" s="92"/>
      <c r="WEI357" s="92"/>
      <c r="WEJ357" s="92"/>
      <c r="WEK357" s="92"/>
      <c r="WEL357" s="92"/>
      <c r="WEM357" s="92"/>
      <c r="WEN357" s="92"/>
      <c r="WEO357" s="92"/>
      <c r="WEP357" s="92"/>
      <c r="WEQ357" s="92"/>
      <c r="WER357" s="92"/>
      <c r="WES357" s="92"/>
      <c r="WET357" s="92"/>
      <c r="WEU357" s="92"/>
      <c r="WEV357" s="92"/>
      <c r="WEW357" s="92"/>
      <c r="WEX357" s="92"/>
      <c r="WEY357" s="92"/>
      <c r="WEZ357" s="92"/>
      <c r="WFA357" s="92"/>
      <c r="WFB357" s="92"/>
      <c r="WFC357" s="92"/>
      <c r="WFD357" s="92"/>
      <c r="WFE357" s="92"/>
      <c r="WFF357" s="92"/>
      <c r="WFG357" s="92"/>
      <c r="WFH357" s="92"/>
      <c r="WFI357" s="92"/>
      <c r="WFJ357" s="92"/>
      <c r="WFK357" s="92"/>
      <c r="WFL357" s="92"/>
      <c r="WFM357" s="92"/>
      <c r="WFN357" s="92"/>
      <c r="WFO357" s="92"/>
      <c r="WFP357" s="92"/>
      <c r="WFQ357" s="92"/>
      <c r="WFR357" s="92"/>
      <c r="WFS357" s="92"/>
      <c r="WFT357" s="92"/>
      <c r="WFU357" s="92"/>
      <c r="WFV357" s="92"/>
      <c r="WFW357" s="92"/>
      <c r="WFX357" s="92"/>
      <c r="WFY357" s="92"/>
      <c r="WFZ357" s="92"/>
      <c r="WGA357" s="92"/>
      <c r="WGB357" s="92"/>
      <c r="WGC357" s="92"/>
      <c r="WGD357" s="92"/>
      <c r="WGE357" s="92"/>
      <c r="WGF357" s="92"/>
      <c r="WGG357" s="92"/>
      <c r="WGH357" s="92"/>
      <c r="WGI357" s="92"/>
      <c r="WGJ357" s="92"/>
      <c r="WGK357" s="92"/>
      <c r="WGL357" s="92"/>
      <c r="WGM357" s="92"/>
      <c r="WGN357" s="92"/>
      <c r="WGO357" s="92"/>
      <c r="WGP357" s="92"/>
      <c r="WGQ357" s="92"/>
      <c r="WGR357" s="92"/>
      <c r="WGS357" s="92"/>
      <c r="WGT357" s="92"/>
      <c r="WGU357" s="92"/>
      <c r="WGV357" s="92"/>
      <c r="WGW357" s="92"/>
      <c r="WGX357" s="92"/>
      <c r="WGY357" s="92"/>
      <c r="WGZ357" s="92"/>
      <c r="WHA357" s="92"/>
      <c r="WHB357" s="92"/>
      <c r="WHC357" s="92"/>
      <c r="WHD357" s="92"/>
      <c r="WHE357" s="92"/>
      <c r="WHF357" s="92"/>
      <c r="WHG357" s="92"/>
      <c r="WHH357" s="92"/>
      <c r="WHI357" s="92"/>
      <c r="WHJ357" s="92"/>
      <c r="WHK357" s="92"/>
      <c r="WHL357" s="92"/>
      <c r="WHM357" s="92"/>
      <c r="WHN357" s="92"/>
      <c r="WHO357" s="92"/>
      <c r="WHP357" s="92"/>
      <c r="WHQ357" s="92"/>
      <c r="WHR357" s="92"/>
      <c r="WHS357" s="92"/>
      <c r="WHT357" s="92"/>
      <c r="WHU357" s="92"/>
      <c r="WHV357" s="92"/>
      <c r="WHW357" s="92"/>
      <c r="WHX357" s="92"/>
      <c r="WHY357" s="92"/>
      <c r="WHZ357" s="92"/>
      <c r="WIA357" s="92"/>
      <c r="WIB357" s="92"/>
      <c r="WIC357" s="92"/>
      <c r="WID357" s="92"/>
      <c r="WIE357" s="92"/>
      <c r="WIF357" s="92"/>
      <c r="WIG357" s="92"/>
      <c r="WIH357" s="92"/>
      <c r="WII357" s="92"/>
      <c r="WIJ357" s="92"/>
      <c r="WIK357" s="92"/>
      <c r="WIL357" s="92"/>
      <c r="WIM357" s="92"/>
      <c r="WIN357" s="92"/>
      <c r="WIO357" s="92"/>
      <c r="WIP357" s="92"/>
      <c r="WIQ357" s="92"/>
      <c r="WIR357" s="92"/>
      <c r="WIS357" s="92"/>
      <c r="WIT357" s="92"/>
      <c r="WIU357" s="92"/>
      <c r="WIV357" s="92"/>
      <c r="WIW357" s="92"/>
      <c r="WIX357" s="92"/>
      <c r="WIY357" s="92"/>
      <c r="WIZ357" s="92"/>
      <c r="WJA357" s="92"/>
      <c r="WJB357" s="92"/>
      <c r="WJC357" s="92"/>
      <c r="WJD357" s="92"/>
      <c r="WJE357" s="92"/>
      <c r="WJF357" s="92"/>
      <c r="WJG357" s="92"/>
      <c r="WJH357" s="92"/>
      <c r="WJI357" s="92"/>
      <c r="WJJ357" s="92"/>
      <c r="WJK357" s="92"/>
      <c r="WJL357" s="92"/>
      <c r="WJM357" s="92"/>
      <c r="WJN357" s="92"/>
      <c r="WJO357" s="92"/>
      <c r="WJP357" s="92"/>
      <c r="WJQ357" s="92"/>
      <c r="WJR357" s="92"/>
      <c r="WJS357" s="92"/>
      <c r="WJT357" s="92"/>
      <c r="WJU357" s="92"/>
      <c r="WJV357" s="92"/>
      <c r="WJW357" s="92"/>
      <c r="WJX357" s="92"/>
      <c r="WJY357" s="92"/>
      <c r="WJZ357" s="92"/>
      <c r="WKA357" s="92"/>
      <c r="WKB357" s="92"/>
      <c r="WKC357" s="92"/>
      <c r="WKD357" s="92"/>
      <c r="WKE357" s="92"/>
      <c r="WKF357" s="92"/>
      <c r="WKG357" s="92"/>
      <c r="WKH357" s="92"/>
      <c r="WKI357" s="92"/>
      <c r="WKJ357" s="92"/>
      <c r="WKK357" s="92"/>
      <c r="WKL357" s="92"/>
      <c r="WKM357" s="92"/>
      <c r="WKN357" s="92"/>
      <c r="WKO357" s="92"/>
      <c r="WKP357" s="92"/>
      <c r="WKQ357" s="92"/>
      <c r="WKR357" s="92"/>
      <c r="WKS357" s="92"/>
      <c r="WKT357" s="92"/>
      <c r="WKU357" s="92"/>
      <c r="WKV357" s="92"/>
      <c r="WKW357" s="92"/>
      <c r="WKX357" s="92"/>
      <c r="WKY357" s="92"/>
      <c r="WKZ357" s="92"/>
      <c r="WLA357" s="92"/>
      <c r="WLB357" s="92"/>
      <c r="WLC357" s="92"/>
      <c r="WLD357" s="92"/>
      <c r="WLE357" s="92"/>
      <c r="WLF357" s="92"/>
      <c r="WLG357" s="92"/>
      <c r="WLH357" s="92"/>
      <c r="WLI357" s="92"/>
      <c r="WLJ357" s="92"/>
      <c r="WLK357" s="92"/>
      <c r="WLL357" s="92"/>
      <c r="WLM357" s="92"/>
      <c r="WLN357" s="92"/>
      <c r="WLO357" s="92"/>
      <c r="WLP357" s="92"/>
      <c r="WLQ357" s="92"/>
      <c r="WLR357" s="92"/>
      <c r="WLS357" s="92"/>
      <c r="WLT357" s="92"/>
      <c r="WLU357" s="92"/>
      <c r="WLV357" s="92"/>
      <c r="WLW357" s="92"/>
      <c r="WLX357" s="92"/>
      <c r="WLY357" s="92"/>
      <c r="WLZ357" s="92"/>
      <c r="WMA357" s="92"/>
      <c r="WMB357" s="92"/>
      <c r="WMC357" s="92"/>
      <c r="WMD357" s="92"/>
      <c r="WME357" s="92"/>
      <c r="WMF357" s="92"/>
      <c r="WMG357" s="92"/>
      <c r="WMH357" s="92"/>
      <c r="WMI357" s="92"/>
      <c r="WMJ357" s="92"/>
      <c r="WMK357" s="92"/>
      <c r="WML357" s="92"/>
      <c r="WMM357" s="92"/>
      <c r="WMN357" s="92"/>
      <c r="WMO357" s="92"/>
      <c r="WMP357" s="92"/>
      <c r="WMQ357" s="92"/>
      <c r="WMR357" s="92"/>
      <c r="WMS357" s="92"/>
      <c r="WMT357" s="92"/>
      <c r="WMU357" s="92"/>
      <c r="WMV357" s="92"/>
      <c r="WMW357" s="92"/>
      <c r="WMX357" s="92"/>
      <c r="WMY357" s="92"/>
      <c r="WMZ357" s="92"/>
      <c r="WNA357" s="92"/>
      <c r="WNB357" s="92"/>
      <c r="WNC357" s="92"/>
      <c r="WND357" s="92"/>
      <c r="WNE357" s="92"/>
      <c r="WNF357" s="92"/>
      <c r="WNG357" s="92"/>
      <c r="WNH357" s="92"/>
      <c r="WNI357" s="92"/>
      <c r="WNJ357" s="92"/>
      <c r="WNK357" s="92"/>
      <c r="WNL357" s="92"/>
      <c r="WNM357" s="92"/>
      <c r="WNN357" s="92"/>
      <c r="WNO357" s="92"/>
      <c r="WNP357" s="92"/>
      <c r="WNQ357" s="92"/>
      <c r="WNR357" s="92"/>
      <c r="WNS357" s="92"/>
      <c r="WNT357" s="92"/>
      <c r="WNU357" s="92"/>
      <c r="WNV357" s="92"/>
      <c r="WNW357" s="92"/>
      <c r="WNX357" s="92"/>
      <c r="WNY357" s="92"/>
      <c r="WNZ357" s="92"/>
      <c r="WOA357" s="92"/>
      <c r="WOB357" s="92"/>
      <c r="WOC357" s="92"/>
      <c r="WOD357" s="92"/>
      <c r="WOE357" s="92"/>
      <c r="WOF357" s="92"/>
      <c r="WOG357" s="92"/>
      <c r="WOH357" s="92"/>
      <c r="WOI357" s="92"/>
      <c r="WOJ357" s="92"/>
      <c r="WOK357" s="92"/>
      <c r="WOL357" s="92"/>
      <c r="WOM357" s="92"/>
      <c r="WON357" s="92"/>
      <c r="WOO357" s="92"/>
      <c r="WOP357" s="92"/>
      <c r="WOQ357" s="92"/>
      <c r="WOR357" s="92"/>
      <c r="WOS357" s="92"/>
      <c r="WOT357" s="92"/>
      <c r="WOU357" s="92"/>
      <c r="WOV357" s="92"/>
      <c r="WOW357" s="92"/>
      <c r="WOX357" s="92"/>
      <c r="WOY357" s="92"/>
      <c r="WOZ357" s="92"/>
      <c r="WPA357" s="92"/>
      <c r="WPB357" s="92"/>
      <c r="WPC357" s="92"/>
      <c r="WPD357" s="92"/>
      <c r="WPE357" s="92"/>
      <c r="WPF357" s="92"/>
      <c r="WPG357" s="92"/>
      <c r="WPH357" s="92"/>
      <c r="WPI357" s="92"/>
      <c r="WPJ357" s="92"/>
      <c r="WPK357" s="92"/>
      <c r="WPL357" s="92"/>
      <c r="WPM357" s="92"/>
      <c r="WPN357" s="92"/>
      <c r="WPO357" s="92"/>
      <c r="WPP357" s="92"/>
      <c r="WPQ357" s="92"/>
      <c r="WPR357" s="92"/>
      <c r="WPS357" s="92"/>
      <c r="WPT357" s="92"/>
      <c r="WPU357" s="92"/>
      <c r="WPV357" s="92"/>
      <c r="WPW357" s="92"/>
      <c r="WPX357" s="92"/>
      <c r="WPY357" s="92"/>
      <c r="WPZ357" s="92"/>
      <c r="WQA357" s="92"/>
      <c r="WQB357" s="92"/>
      <c r="WQC357" s="92"/>
      <c r="WQD357" s="92"/>
      <c r="WQE357" s="92"/>
      <c r="WQF357" s="92"/>
      <c r="WQG357" s="92"/>
      <c r="WQH357" s="92"/>
      <c r="WQI357" s="92"/>
      <c r="WQJ357" s="92"/>
      <c r="WQK357" s="92"/>
      <c r="WQL357" s="92"/>
      <c r="WQM357" s="92"/>
      <c r="WQN357" s="92"/>
      <c r="WQO357" s="92"/>
      <c r="WQP357" s="92"/>
      <c r="WQQ357" s="92"/>
      <c r="WQR357" s="92"/>
      <c r="WQS357" s="92"/>
      <c r="WQT357" s="92"/>
      <c r="WQU357" s="92"/>
      <c r="WQV357" s="92"/>
      <c r="WQW357" s="92"/>
      <c r="WQX357" s="92"/>
      <c r="WQY357" s="92"/>
      <c r="WQZ357" s="92"/>
      <c r="WRA357" s="92"/>
      <c r="WRB357" s="92"/>
      <c r="WRC357" s="92"/>
      <c r="WRD357" s="92"/>
      <c r="WRE357" s="92"/>
      <c r="WRF357" s="92"/>
      <c r="WRG357" s="92"/>
      <c r="WRH357" s="92"/>
      <c r="WRI357" s="92"/>
      <c r="WRJ357" s="92"/>
      <c r="WRK357" s="92"/>
      <c r="WRL357" s="92"/>
      <c r="WRM357" s="92"/>
      <c r="WRN357" s="92"/>
      <c r="WRO357" s="92"/>
      <c r="WRP357" s="92"/>
      <c r="WRQ357" s="92"/>
      <c r="WRR357" s="92"/>
      <c r="WRS357" s="92"/>
      <c r="WRT357" s="92"/>
      <c r="WRU357" s="92"/>
      <c r="WRV357" s="92"/>
      <c r="WRW357" s="92"/>
      <c r="WRX357" s="92"/>
      <c r="WRY357" s="92"/>
      <c r="WRZ357" s="92"/>
      <c r="WSA357" s="92"/>
      <c r="WSB357" s="92"/>
      <c r="WSC357" s="92"/>
      <c r="WSD357" s="92"/>
      <c r="WSE357" s="92"/>
      <c r="WSF357" s="92"/>
      <c r="WSG357" s="92"/>
      <c r="WSH357" s="92"/>
      <c r="WSI357" s="92"/>
      <c r="WSJ357" s="92"/>
      <c r="WSK357" s="92"/>
      <c r="WSL357" s="92"/>
      <c r="WSM357" s="92"/>
      <c r="WSN357" s="92"/>
      <c r="WSO357" s="92"/>
      <c r="WSP357" s="92"/>
      <c r="WSQ357" s="92"/>
      <c r="WSR357" s="92"/>
      <c r="WSS357" s="92"/>
      <c r="WST357" s="92"/>
      <c r="WSU357" s="92"/>
      <c r="WSV357" s="92"/>
      <c r="WSW357" s="92"/>
      <c r="WSX357" s="92"/>
      <c r="WSY357" s="92"/>
      <c r="WSZ357" s="92"/>
      <c r="WTA357" s="92"/>
      <c r="WTB357" s="92"/>
      <c r="WTC357" s="92"/>
      <c r="WTD357" s="92"/>
      <c r="WTE357" s="92"/>
      <c r="WTF357" s="92"/>
      <c r="WTG357" s="92"/>
      <c r="WTH357" s="92"/>
      <c r="WTI357" s="92"/>
      <c r="WTJ357" s="92"/>
      <c r="WTK357" s="92"/>
      <c r="WTL357" s="92"/>
      <c r="WTM357" s="92"/>
      <c r="WTN357" s="92"/>
      <c r="WTO357" s="92"/>
      <c r="WTP357" s="92"/>
      <c r="WTQ357" s="92"/>
      <c r="WTR357" s="92"/>
      <c r="WTS357" s="92"/>
      <c r="WTT357" s="92"/>
      <c r="WTU357" s="92"/>
      <c r="WTV357" s="92"/>
      <c r="WTW357" s="92"/>
      <c r="WTX357" s="92"/>
      <c r="WTY357" s="92"/>
      <c r="WTZ357" s="92"/>
      <c r="WUA357" s="92"/>
      <c r="WUB357" s="92"/>
      <c r="WUC357" s="92"/>
      <c r="WUD357" s="92"/>
      <c r="WUE357" s="92"/>
      <c r="WUF357" s="92"/>
      <c r="WUG357" s="92"/>
      <c r="WUH357" s="92"/>
      <c r="WUI357" s="92"/>
      <c r="WUJ357" s="92"/>
      <c r="WUK357" s="92"/>
      <c r="WUL357" s="92"/>
      <c r="WUM357" s="92"/>
      <c r="WUN357" s="92"/>
      <c r="WUO357" s="92"/>
      <c r="WUP357" s="92"/>
      <c r="WUQ357" s="92"/>
      <c r="WUR357" s="92"/>
      <c r="WUS357" s="92"/>
      <c r="WUT357" s="92"/>
      <c r="WUU357" s="92"/>
      <c r="WUV357" s="92"/>
      <c r="WUW357" s="92"/>
      <c r="WUX357" s="92"/>
      <c r="WUY357" s="92"/>
      <c r="WUZ357" s="92"/>
      <c r="WVA357" s="92"/>
      <c r="WVB357" s="92"/>
      <c r="WVC357" s="92"/>
      <c r="WVD357" s="92"/>
      <c r="WVE357" s="92"/>
      <c r="WVF357" s="92"/>
      <c r="WVG357" s="92"/>
      <c r="WVH357" s="92"/>
      <c r="WVI357" s="92"/>
      <c r="WVJ357" s="92"/>
      <c r="WVK357" s="92"/>
      <c r="WVL357" s="92"/>
      <c r="WVM357" s="92"/>
      <c r="WVN357" s="92"/>
      <c r="WVO357" s="92"/>
      <c r="WVP357" s="92"/>
      <c r="WVQ357" s="92"/>
      <c r="WVR357" s="92"/>
      <c r="WVS357" s="92"/>
      <c r="WVT357" s="92"/>
      <c r="WVU357" s="92"/>
      <c r="WVV357" s="92"/>
      <c r="WVW357" s="92"/>
      <c r="WVX357" s="92"/>
      <c r="WVY357" s="92"/>
      <c r="WVZ357" s="92"/>
      <c r="WWA357" s="92"/>
      <c r="WWB357" s="92"/>
      <c r="WWC357" s="92"/>
      <c r="WWD357" s="92"/>
      <c r="WWE357" s="92"/>
      <c r="WWF357" s="92"/>
      <c r="WWG357" s="92"/>
      <c r="WWH357" s="92"/>
      <c r="WWI357" s="92"/>
      <c r="WWJ357" s="92"/>
      <c r="WWK357" s="92"/>
      <c r="WWL357" s="92"/>
      <c r="WWM357" s="92"/>
      <c r="WWN357" s="92"/>
      <c r="WWO357" s="92"/>
      <c r="WWP357" s="92"/>
      <c r="WWQ357" s="92"/>
      <c r="WWR357" s="92"/>
      <c r="WWS357" s="92"/>
      <c r="WWT357" s="92"/>
      <c r="WWU357" s="92"/>
      <c r="WWV357" s="92"/>
      <c r="WWW357" s="92"/>
      <c r="WWX357" s="92"/>
      <c r="WWY357" s="92"/>
      <c r="WWZ357" s="92"/>
      <c r="WXA357" s="92"/>
      <c r="WXB357" s="92"/>
      <c r="WXC357" s="92"/>
      <c r="WXD357" s="92"/>
      <c r="WXE357" s="92"/>
      <c r="WXF357" s="92"/>
      <c r="WXG357" s="92"/>
      <c r="WXH357" s="92"/>
      <c r="WXI357" s="92"/>
      <c r="WXJ357" s="92"/>
      <c r="WXK357" s="92"/>
      <c r="WXL357" s="92"/>
      <c r="WXM357" s="92"/>
      <c r="WXN357" s="92"/>
      <c r="WXO357" s="92"/>
      <c r="WXP357" s="92"/>
      <c r="WXQ357" s="92"/>
      <c r="WXR357" s="92"/>
      <c r="WXS357" s="92"/>
      <c r="WXT357" s="92"/>
      <c r="WXU357" s="92"/>
      <c r="WXV357" s="92"/>
      <c r="WXW357" s="92"/>
      <c r="WXX357" s="92"/>
      <c r="WXY357" s="92"/>
      <c r="WXZ357" s="92"/>
      <c r="WYA357" s="92"/>
      <c r="WYB357" s="92"/>
      <c r="WYC357" s="92"/>
      <c r="WYD357" s="92"/>
      <c r="WYE357" s="92"/>
      <c r="WYF357" s="92"/>
      <c r="WYG357" s="92"/>
      <c r="WYH357" s="92"/>
      <c r="WYI357" s="92"/>
      <c r="WYJ357" s="92"/>
      <c r="WYK357" s="92"/>
      <c r="WYL357" s="92"/>
      <c r="WYM357" s="92"/>
      <c r="WYN357" s="92"/>
      <c r="WYO357" s="92"/>
      <c r="WYP357" s="92"/>
      <c r="WYQ357" s="92"/>
      <c r="WYR357" s="92"/>
      <c r="WYS357" s="92"/>
      <c r="WYT357" s="92"/>
      <c r="WYU357" s="92"/>
      <c r="WYV357" s="92"/>
      <c r="WYW357" s="92"/>
      <c r="WYX357" s="92"/>
      <c r="WYY357" s="92"/>
      <c r="WYZ357" s="92"/>
      <c r="WZA357" s="92"/>
      <c r="WZB357" s="92"/>
      <c r="WZC357" s="92"/>
      <c r="WZD357" s="92"/>
      <c r="WZE357" s="92"/>
      <c r="WZF357" s="92"/>
      <c r="WZG357" s="92"/>
      <c r="WZH357" s="92"/>
      <c r="WZI357" s="92"/>
      <c r="WZJ357" s="92"/>
      <c r="WZK357" s="92"/>
      <c r="WZL357" s="92"/>
      <c r="WZM357" s="92"/>
      <c r="WZN357" s="92"/>
      <c r="WZO357" s="92"/>
      <c r="WZP357" s="92"/>
      <c r="WZQ357" s="92"/>
      <c r="WZR357" s="92"/>
      <c r="WZS357" s="92"/>
      <c r="WZT357" s="92"/>
      <c r="WZU357" s="92"/>
      <c r="WZV357" s="92"/>
      <c r="WZW357" s="92"/>
      <c r="WZX357" s="92"/>
      <c r="WZY357" s="92"/>
      <c r="WZZ357" s="92"/>
      <c r="XAA357" s="92"/>
      <c r="XAB357" s="92"/>
      <c r="XAC357" s="92"/>
      <c r="XAD357" s="92"/>
      <c r="XAE357" s="92"/>
      <c r="XAF357" s="92"/>
      <c r="XAG357" s="92"/>
      <c r="XAH357" s="92"/>
      <c r="XAI357" s="92"/>
      <c r="XAJ357" s="92"/>
      <c r="XAK357" s="92"/>
      <c r="XAL357" s="92"/>
      <c r="XAM357" s="92"/>
      <c r="XAN357" s="92"/>
      <c r="XAO357" s="92"/>
      <c r="XAP357" s="92"/>
      <c r="XAQ357" s="92"/>
      <c r="XAR357" s="92"/>
      <c r="XAS357" s="92"/>
      <c r="XAT357" s="92"/>
      <c r="XAU357" s="92"/>
      <c r="XAV357" s="92"/>
      <c r="XAW357" s="92"/>
      <c r="XAX357" s="92"/>
      <c r="XAY357" s="92"/>
      <c r="XAZ357" s="92"/>
      <c r="XBA357" s="92"/>
      <c r="XBB357" s="92"/>
      <c r="XBC357" s="92"/>
      <c r="XBD357" s="92"/>
      <c r="XBE357" s="92"/>
      <c r="XBF357" s="92"/>
      <c r="XBG357" s="92"/>
      <c r="XBH357" s="92"/>
      <c r="XBI357" s="92"/>
      <c r="XBJ357" s="92"/>
      <c r="XBK357" s="92"/>
      <c r="XBL357" s="92"/>
      <c r="XBM357" s="92"/>
      <c r="XBN357" s="92"/>
      <c r="XBO357" s="92"/>
      <c r="XBP357" s="92"/>
      <c r="XBQ357" s="92"/>
      <c r="XBR357" s="92"/>
      <c r="XBS357" s="92"/>
      <c r="XBT357" s="92"/>
      <c r="XBU357" s="92"/>
      <c r="XBV357" s="92"/>
      <c r="XBW357" s="92"/>
      <c r="XBX357" s="92"/>
      <c r="XBY357" s="92"/>
      <c r="XBZ357" s="92"/>
      <c r="XCA357" s="92"/>
      <c r="XCB357" s="92"/>
      <c r="XCC357" s="92"/>
      <c r="XCD357" s="92"/>
      <c r="XCE357" s="92"/>
      <c r="XCF357" s="92"/>
      <c r="XCG357" s="92"/>
      <c r="XCH357" s="92"/>
      <c r="XCI357" s="92"/>
      <c r="XCJ357" s="92"/>
      <c r="XCK357" s="92"/>
      <c r="XCL357" s="92"/>
      <c r="XCM357" s="92"/>
      <c r="XCN357" s="92"/>
      <c r="XCO357" s="92"/>
      <c r="XCP357" s="92"/>
      <c r="XCQ357" s="92"/>
      <c r="XCR357" s="92"/>
      <c r="XCS357" s="92"/>
      <c r="XCT357" s="92"/>
      <c r="XCU357" s="92"/>
      <c r="XCV357" s="92"/>
      <c r="XCW357" s="92"/>
      <c r="XCX357" s="92"/>
      <c r="XCY357" s="92"/>
      <c r="XCZ357" s="92"/>
      <c r="XDA357" s="92"/>
      <c r="XDB357" s="92"/>
      <c r="XDC357" s="92"/>
      <c r="XDD357" s="92"/>
      <c r="XDE357" s="92"/>
      <c r="XDF357" s="92"/>
      <c r="XDG357" s="92"/>
      <c r="XDH357" s="92"/>
      <c r="XDI357" s="92"/>
      <c r="XDJ357" s="92"/>
      <c r="XDK357" s="92"/>
      <c r="XDL357" s="92"/>
      <c r="XDM357" s="92"/>
      <c r="XDN357" s="92"/>
      <c r="XDO357" s="92"/>
      <c r="XDP357" s="92"/>
      <c r="XDQ357" s="92"/>
      <c r="XDR357" s="92"/>
      <c r="XDS357" s="92"/>
      <c r="XDT357" s="92"/>
      <c r="XDU357" s="92"/>
      <c r="XDV357" s="92"/>
      <c r="XDW357" s="92"/>
      <c r="XDX357" s="92"/>
      <c r="XDY357" s="92"/>
      <c r="XDZ357" s="92"/>
      <c r="XEA357" s="92"/>
      <c r="XEB357" s="92"/>
      <c r="XEC357" s="92"/>
      <c r="XED357" s="92"/>
      <c r="XEE357" s="92"/>
      <c r="XEF357" s="92"/>
      <c r="XEG357" s="92"/>
      <c r="XEH357" s="92"/>
      <c r="XEI357" s="92"/>
      <c r="XEJ357" s="92"/>
      <c r="XEK357" s="92"/>
      <c r="XEL357" s="92"/>
      <c r="XEM357" s="92"/>
      <c r="XEN357" s="92"/>
      <c r="XEO357" s="92"/>
      <c r="XEP357" s="92"/>
      <c r="XEQ357" s="92"/>
      <c r="XER357" s="92"/>
      <c r="XES357" s="92"/>
      <c r="XET357" s="92"/>
      <c r="XEU357" s="92"/>
      <c r="XEV357" s="92"/>
      <c r="XEW357" s="92"/>
      <c r="XEX357" s="92"/>
    </row>
    <row r="358" spans="1:16378" s="430" customFormat="1" hidden="1">
      <c r="A358" s="423"/>
      <c r="B358" s="423"/>
      <c r="C358" s="423"/>
      <c r="D358" s="423"/>
      <c r="E358" s="424" t="s">
        <v>721</v>
      </c>
      <c r="F358" s="424"/>
      <c r="G358" s="424"/>
      <c r="H358" s="397"/>
      <c r="I358" s="398"/>
      <c r="J358" s="399"/>
      <c r="K358" s="47"/>
      <c r="L358" s="92"/>
      <c r="M358" s="92"/>
      <c r="N358" s="92"/>
      <c r="O358" s="92"/>
      <c r="P358" s="92"/>
      <c r="Q358" s="92"/>
      <c r="R358" s="92"/>
      <c r="S358" s="92"/>
      <c r="T358" s="92"/>
      <c r="U358" s="92"/>
      <c r="V358" s="92"/>
      <c r="W358" s="92"/>
      <c r="X358" s="92"/>
      <c r="Y358" s="92"/>
      <c r="Z358" s="92"/>
      <c r="AA358" s="92"/>
      <c r="AB358" s="92"/>
      <c r="AC358" s="92"/>
      <c r="AD358" s="92"/>
      <c r="AE358" s="92"/>
      <c r="AF358" s="92"/>
      <c r="AG358" s="92"/>
      <c r="AH358" s="92"/>
      <c r="AI358" s="92"/>
      <c r="AJ358" s="92"/>
      <c r="AK358" s="92"/>
      <c r="AL358" s="92"/>
      <c r="AM358" s="92"/>
      <c r="AN358" s="92"/>
      <c r="AO358" s="92"/>
      <c r="AP358" s="92"/>
      <c r="AQ358" s="92"/>
      <c r="AR358" s="92"/>
      <c r="AS358" s="92"/>
      <c r="AT358" s="92"/>
      <c r="AU358" s="92"/>
      <c r="AV358" s="92"/>
      <c r="AW358" s="92"/>
      <c r="AX358" s="92"/>
      <c r="AY358" s="92"/>
      <c r="AZ358" s="92"/>
      <c r="BA358" s="92"/>
      <c r="BB358" s="92"/>
      <c r="BC358" s="92"/>
      <c r="BD358" s="92"/>
      <c r="BE358" s="92"/>
      <c r="BF358" s="92"/>
      <c r="BG358" s="92"/>
      <c r="BH358" s="92"/>
      <c r="BI358" s="92"/>
      <c r="BJ358" s="92"/>
      <c r="BK358" s="92"/>
      <c r="BL358" s="92"/>
      <c r="BM358" s="92"/>
      <c r="BN358" s="92"/>
      <c r="BO358" s="92"/>
      <c r="BP358" s="92"/>
      <c r="BQ358" s="92"/>
      <c r="BR358" s="92"/>
      <c r="BS358" s="92"/>
      <c r="BT358" s="92"/>
      <c r="BU358" s="92"/>
      <c r="BV358" s="92"/>
      <c r="BW358" s="92"/>
      <c r="BX358" s="92"/>
      <c r="BY358" s="92"/>
      <c r="BZ358" s="92"/>
      <c r="CA358" s="92"/>
      <c r="CB358" s="92"/>
      <c r="CC358" s="92"/>
      <c r="CD358" s="92"/>
      <c r="CE358" s="92"/>
      <c r="CF358" s="92"/>
      <c r="CG358" s="92"/>
      <c r="CH358" s="92"/>
      <c r="CI358" s="92"/>
      <c r="CJ358" s="92"/>
      <c r="CK358" s="92"/>
      <c r="CL358" s="92"/>
      <c r="CM358" s="92"/>
      <c r="CN358" s="92"/>
      <c r="CO358" s="92"/>
      <c r="CP358" s="92"/>
      <c r="CQ358" s="92"/>
      <c r="CR358" s="92"/>
      <c r="CS358" s="92"/>
      <c r="CT358" s="92"/>
      <c r="CU358" s="92"/>
      <c r="CV358" s="92"/>
      <c r="CW358" s="92"/>
      <c r="CX358" s="92"/>
      <c r="CY358" s="92"/>
      <c r="CZ358" s="92"/>
      <c r="DA358" s="92"/>
      <c r="DB358" s="92"/>
      <c r="DC358" s="92"/>
      <c r="DD358" s="92"/>
      <c r="DE358" s="92"/>
      <c r="DF358" s="92"/>
      <c r="DG358" s="92"/>
      <c r="DH358" s="92"/>
      <c r="DI358" s="92"/>
      <c r="DJ358" s="92"/>
      <c r="DK358" s="92"/>
      <c r="DL358" s="92"/>
      <c r="DM358" s="92"/>
      <c r="DN358" s="92"/>
      <c r="DO358" s="92"/>
      <c r="DP358" s="92"/>
      <c r="DQ358" s="92"/>
      <c r="DR358" s="92"/>
      <c r="DS358" s="92"/>
      <c r="DT358" s="92"/>
      <c r="DU358" s="92"/>
      <c r="DV358" s="92"/>
      <c r="DW358" s="92"/>
      <c r="DX358" s="92"/>
      <c r="DY358" s="92"/>
      <c r="DZ358" s="92"/>
      <c r="EA358" s="92"/>
      <c r="EB358" s="92"/>
      <c r="EC358" s="92"/>
      <c r="ED358" s="92"/>
      <c r="EE358" s="92"/>
      <c r="EF358" s="92"/>
      <c r="EG358" s="92"/>
      <c r="EH358" s="92"/>
      <c r="EI358" s="92"/>
      <c r="EJ358" s="92"/>
      <c r="EK358" s="92"/>
      <c r="EL358" s="92"/>
      <c r="EM358" s="92"/>
      <c r="EN358" s="92"/>
      <c r="EO358" s="92"/>
      <c r="EP358" s="92"/>
      <c r="EQ358" s="92"/>
      <c r="ER358" s="92"/>
      <c r="ES358" s="92"/>
      <c r="ET358" s="92"/>
      <c r="EU358" s="92"/>
      <c r="EV358" s="92"/>
      <c r="EW358" s="92"/>
      <c r="EX358" s="92"/>
      <c r="EY358" s="92"/>
      <c r="EZ358" s="92"/>
      <c r="FA358" s="92"/>
      <c r="FB358" s="92"/>
      <c r="FC358" s="92"/>
      <c r="FD358" s="92"/>
      <c r="FE358" s="92"/>
      <c r="FF358" s="92"/>
      <c r="FG358" s="92"/>
      <c r="FH358" s="92"/>
      <c r="FI358" s="92"/>
      <c r="FJ358" s="92"/>
      <c r="FK358" s="92"/>
      <c r="FL358" s="92"/>
      <c r="FM358" s="92"/>
      <c r="FN358" s="92"/>
      <c r="FO358" s="92"/>
      <c r="FP358" s="92"/>
      <c r="FQ358" s="92"/>
      <c r="FR358" s="92"/>
      <c r="FS358" s="92"/>
      <c r="FT358" s="92"/>
      <c r="FU358" s="92"/>
      <c r="FV358" s="92"/>
      <c r="FW358" s="92"/>
      <c r="FX358" s="92"/>
      <c r="FY358" s="92"/>
      <c r="FZ358" s="92"/>
      <c r="GA358" s="92"/>
      <c r="GB358" s="92"/>
      <c r="GC358" s="92"/>
      <c r="GD358" s="92"/>
      <c r="GE358" s="92"/>
      <c r="GF358" s="92"/>
      <c r="GG358" s="92"/>
      <c r="GH358" s="92"/>
      <c r="GI358" s="92"/>
      <c r="GJ358" s="92"/>
      <c r="GK358" s="92"/>
      <c r="GL358" s="92"/>
      <c r="GM358" s="92"/>
      <c r="GN358" s="92"/>
      <c r="GO358" s="92"/>
      <c r="GP358" s="92"/>
      <c r="GQ358" s="92"/>
      <c r="GR358" s="92"/>
      <c r="GS358" s="92"/>
      <c r="GT358" s="92"/>
      <c r="GU358" s="92"/>
      <c r="GV358" s="92"/>
      <c r="GW358" s="92"/>
      <c r="GX358" s="92"/>
      <c r="GY358" s="92"/>
      <c r="GZ358" s="92"/>
      <c r="HA358" s="92"/>
      <c r="HB358" s="92"/>
      <c r="HC358" s="92"/>
      <c r="HD358" s="92"/>
      <c r="HE358" s="92"/>
      <c r="HF358" s="92"/>
      <c r="HG358" s="92"/>
      <c r="HH358" s="92"/>
      <c r="HI358" s="92"/>
      <c r="HJ358" s="92"/>
      <c r="HK358" s="92"/>
      <c r="HL358" s="92"/>
      <c r="HM358" s="92"/>
      <c r="HN358" s="92"/>
      <c r="HO358" s="92"/>
      <c r="HP358" s="92"/>
      <c r="HQ358" s="92"/>
      <c r="HR358" s="92"/>
      <c r="HS358" s="92"/>
      <c r="HT358" s="92"/>
      <c r="HU358" s="92"/>
      <c r="HV358" s="92"/>
      <c r="HW358" s="92"/>
      <c r="HX358" s="92"/>
      <c r="HY358" s="92"/>
      <c r="HZ358" s="92"/>
      <c r="IA358" s="92"/>
      <c r="IB358" s="92"/>
      <c r="IC358" s="92"/>
      <c r="ID358" s="92"/>
      <c r="IE358" s="92"/>
      <c r="IF358" s="92"/>
      <c r="IG358" s="92"/>
      <c r="IH358" s="92"/>
      <c r="II358" s="92"/>
      <c r="IJ358" s="92"/>
      <c r="IK358" s="92"/>
      <c r="IL358" s="92"/>
      <c r="IM358" s="92"/>
      <c r="IN358" s="92"/>
      <c r="IO358" s="92"/>
      <c r="IP358" s="92"/>
      <c r="IQ358" s="92"/>
      <c r="IR358" s="92"/>
      <c r="IS358" s="92"/>
      <c r="IT358" s="92"/>
      <c r="IU358" s="92"/>
      <c r="IV358" s="92"/>
      <c r="IW358" s="92"/>
      <c r="IX358" s="92"/>
      <c r="IY358" s="92"/>
      <c r="IZ358" s="92"/>
      <c r="JA358" s="92"/>
      <c r="JB358" s="92"/>
      <c r="JC358" s="92"/>
      <c r="JD358" s="92"/>
      <c r="JE358" s="92"/>
      <c r="JF358" s="92"/>
      <c r="JG358" s="92"/>
      <c r="JH358" s="92"/>
      <c r="JI358" s="92"/>
      <c r="JJ358" s="92"/>
      <c r="JK358" s="92"/>
      <c r="JL358" s="92"/>
      <c r="JM358" s="92"/>
      <c r="JN358" s="92"/>
      <c r="JO358" s="92"/>
      <c r="JP358" s="92"/>
      <c r="JQ358" s="92"/>
      <c r="JR358" s="92"/>
      <c r="JS358" s="92"/>
      <c r="JT358" s="92"/>
      <c r="JU358" s="92"/>
      <c r="JV358" s="92"/>
      <c r="JW358" s="92"/>
      <c r="JX358" s="92"/>
      <c r="JY358" s="92"/>
      <c r="JZ358" s="92"/>
      <c r="KA358" s="92"/>
      <c r="KB358" s="92"/>
      <c r="KC358" s="92"/>
      <c r="KD358" s="92"/>
      <c r="KE358" s="92"/>
      <c r="KF358" s="92"/>
      <c r="KG358" s="92"/>
      <c r="KH358" s="92"/>
      <c r="KI358" s="92"/>
      <c r="KJ358" s="92"/>
      <c r="KK358" s="92"/>
      <c r="KL358" s="92"/>
      <c r="KM358" s="92"/>
      <c r="KN358" s="92"/>
      <c r="KO358" s="92"/>
      <c r="KP358" s="92"/>
      <c r="KQ358" s="92"/>
      <c r="KR358" s="92"/>
      <c r="KS358" s="92"/>
      <c r="KT358" s="92"/>
      <c r="KU358" s="92"/>
      <c r="KV358" s="92"/>
      <c r="KW358" s="92"/>
      <c r="KX358" s="92"/>
      <c r="KY358" s="92"/>
      <c r="KZ358" s="92"/>
      <c r="LA358" s="92"/>
      <c r="LB358" s="92"/>
      <c r="LC358" s="92"/>
      <c r="LD358" s="92"/>
      <c r="LE358" s="92"/>
      <c r="LF358" s="92"/>
      <c r="LG358" s="92"/>
      <c r="LH358" s="92"/>
      <c r="LI358" s="92"/>
      <c r="LJ358" s="92"/>
      <c r="LK358" s="92"/>
      <c r="LL358" s="92"/>
      <c r="LM358" s="92"/>
      <c r="LN358" s="92"/>
      <c r="LO358" s="92"/>
      <c r="LP358" s="92"/>
      <c r="LQ358" s="92"/>
      <c r="LR358" s="92"/>
      <c r="LS358" s="92"/>
      <c r="LT358" s="92"/>
      <c r="LU358" s="92"/>
      <c r="LV358" s="92"/>
      <c r="LW358" s="92"/>
      <c r="LX358" s="92"/>
      <c r="LY358" s="92"/>
      <c r="LZ358" s="92"/>
      <c r="MA358" s="92"/>
      <c r="MB358" s="92"/>
      <c r="MC358" s="92"/>
      <c r="MD358" s="92"/>
      <c r="ME358" s="92"/>
      <c r="MF358" s="92"/>
      <c r="MG358" s="92"/>
      <c r="MH358" s="92"/>
      <c r="MI358" s="92"/>
      <c r="MJ358" s="92"/>
      <c r="MK358" s="92"/>
      <c r="ML358" s="92"/>
      <c r="MM358" s="92"/>
      <c r="MN358" s="92"/>
      <c r="MO358" s="92"/>
      <c r="MP358" s="92"/>
      <c r="MQ358" s="92"/>
      <c r="MR358" s="92"/>
      <c r="MS358" s="92"/>
      <c r="MT358" s="92"/>
      <c r="MU358" s="92"/>
      <c r="MV358" s="92"/>
      <c r="MW358" s="92"/>
      <c r="MX358" s="92"/>
      <c r="MY358" s="92"/>
      <c r="MZ358" s="92"/>
      <c r="NA358" s="92"/>
      <c r="NB358" s="92"/>
      <c r="NC358" s="92"/>
      <c r="ND358" s="92"/>
      <c r="NE358" s="92"/>
      <c r="NF358" s="92"/>
      <c r="NG358" s="92"/>
      <c r="NH358" s="92"/>
      <c r="NI358" s="92"/>
      <c r="NJ358" s="92"/>
      <c r="NK358" s="92"/>
      <c r="NL358" s="92"/>
      <c r="NM358" s="92"/>
      <c r="NN358" s="92"/>
      <c r="NO358" s="92"/>
      <c r="NP358" s="92"/>
      <c r="NQ358" s="92"/>
      <c r="NR358" s="92"/>
      <c r="NS358" s="92"/>
      <c r="NT358" s="92"/>
      <c r="NU358" s="92"/>
      <c r="NV358" s="92"/>
      <c r="NW358" s="92"/>
      <c r="NX358" s="92"/>
      <c r="NY358" s="92"/>
      <c r="NZ358" s="92"/>
      <c r="OA358" s="92"/>
      <c r="OB358" s="92"/>
      <c r="OC358" s="92"/>
      <c r="OD358" s="92"/>
      <c r="OE358" s="92"/>
      <c r="OF358" s="92"/>
      <c r="OG358" s="92"/>
      <c r="OH358" s="92"/>
      <c r="OI358" s="92"/>
      <c r="OJ358" s="92"/>
      <c r="OK358" s="92"/>
      <c r="OL358" s="92"/>
      <c r="OM358" s="92"/>
      <c r="ON358" s="92"/>
      <c r="OO358" s="92"/>
      <c r="OP358" s="92"/>
      <c r="OQ358" s="92"/>
      <c r="OR358" s="92"/>
      <c r="OS358" s="92"/>
      <c r="OT358" s="92"/>
      <c r="OU358" s="92"/>
      <c r="OV358" s="92"/>
      <c r="OW358" s="92"/>
      <c r="OX358" s="92"/>
      <c r="OY358" s="92"/>
      <c r="OZ358" s="92"/>
      <c r="PA358" s="92"/>
      <c r="PB358" s="92"/>
      <c r="PC358" s="92"/>
      <c r="PD358" s="92"/>
      <c r="PE358" s="92"/>
      <c r="PF358" s="92"/>
      <c r="PG358" s="92"/>
      <c r="PH358" s="92"/>
      <c r="PI358" s="92"/>
      <c r="PJ358" s="92"/>
      <c r="PK358" s="92"/>
      <c r="PL358" s="92"/>
      <c r="PM358" s="92"/>
      <c r="PN358" s="92"/>
      <c r="PO358" s="92"/>
      <c r="PP358" s="92"/>
      <c r="PQ358" s="92"/>
      <c r="PR358" s="92"/>
      <c r="PS358" s="92"/>
      <c r="PT358" s="92"/>
      <c r="PU358" s="92"/>
      <c r="PV358" s="92"/>
      <c r="PW358" s="92"/>
      <c r="PX358" s="92"/>
      <c r="PY358" s="92"/>
      <c r="PZ358" s="92"/>
      <c r="QA358" s="92"/>
      <c r="QB358" s="92"/>
      <c r="QC358" s="92"/>
      <c r="QD358" s="92"/>
      <c r="QE358" s="92"/>
      <c r="QF358" s="92"/>
      <c r="QG358" s="92"/>
      <c r="QH358" s="92"/>
      <c r="QI358" s="92"/>
      <c r="QJ358" s="92"/>
      <c r="QK358" s="92"/>
      <c r="QL358" s="92"/>
      <c r="QM358" s="92"/>
      <c r="QN358" s="92"/>
      <c r="QO358" s="92"/>
      <c r="QP358" s="92"/>
      <c r="QQ358" s="92"/>
      <c r="QR358" s="92"/>
      <c r="QS358" s="92"/>
      <c r="QT358" s="92"/>
      <c r="QU358" s="92"/>
      <c r="QV358" s="92"/>
      <c r="QW358" s="92"/>
      <c r="QX358" s="92"/>
      <c r="QY358" s="92"/>
      <c r="QZ358" s="92"/>
      <c r="RA358" s="92"/>
      <c r="RB358" s="92"/>
      <c r="RC358" s="92"/>
      <c r="RD358" s="92"/>
      <c r="RE358" s="92"/>
      <c r="RF358" s="92"/>
      <c r="RG358" s="92"/>
      <c r="RH358" s="92"/>
      <c r="RI358" s="92"/>
      <c r="RJ358" s="92"/>
      <c r="RK358" s="92"/>
      <c r="RL358" s="92"/>
      <c r="RM358" s="92"/>
      <c r="RN358" s="92"/>
      <c r="RO358" s="92"/>
      <c r="RP358" s="92"/>
      <c r="RQ358" s="92"/>
      <c r="RR358" s="92"/>
      <c r="RS358" s="92"/>
      <c r="RT358" s="92"/>
      <c r="RU358" s="92"/>
      <c r="RV358" s="92"/>
      <c r="RW358" s="92"/>
      <c r="RX358" s="92"/>
      <c r="RY358" s="92"/>
      <c r="RZ358" s="92"/>
      <c r="SA358" s="92"/>
      <c r="SB358" s="92"/>
      <c r="SC358" s="92"/>
      <c r="SD358" s="92"/>
      <c r="SE358" s="92"/>
      <c r="SF358" s="92"/>
      <c r="SG358" s="92"/>
      <c r="SH358" s="92"/>
      <c r="SI358" s="92"/>
      <c r="SJ358" s="92"/>
      <c r="SK358" s="92"/>
      <c r="SL358" s="92"/>
      <c r="SM358" s="92"/>
      <c r="SN358" s="92"/>
      <c r="SO358" s="92"/>
      <c r="SP358" s="92"/>
      <c r="SQ358" s="92"/>
      <c r="SR358" s="92"/>
      <c r="SS358" s="92"/>
      <c r="ST358" s="92"/>
      <c r="SU358" s="92"/>
      <c r="SV358" s="92"/>
      <c r="SW358" s="92"/>
      <c r="SX358" s="92"/>
      <c r="SY358" s="92"/>
      <c r="SZ358" s="92"/>
      <c r="TA358" s="92"/>
      <c r="TB358" s="92"/>
      <c r="TC358" s="92"/>
      <c r="TD358" s="92"/>
      <c r="TE358" s="92"/>
      <c r="TF358" s="92"/>
      <c r="TG358" s="92"/>
      <c r="TH358" s="92"/>
      <c r="TI358" s="92"/>
      <c r="TJ358" s="92"/>
      <c r="TK358" s="92"/>
      <c r="TL358" s="92"/>
      <c r="TM358" s="92"/>
      <c r="TN358" s="92"/>
      <c r="TO358" s="92"/>
      <c r="TP358" s="92"/>
      <c r="TQ358" s="92"/>
      <c r="TR358" s="92"/>
      <c r="TS358" s="92"/>
      <c r="TT358" s="92"/>
      <c r="TU358" s="92"/>
      <c r="TV358" s="92"/>
      <c r="TW358" s="92"/>
      <c r="TX358" s="92"/>
      <c r="TY358" s="92"/>
      <c r="TZ358" s="92"/>
      <c r="UA358" s="92"/>
      <c r="UB358" s="92"/>
      <c r="UC358" s="92"/>
      <c r="UD358" s="92"/>
      <c r="UE358" s="92"/>
      <c r="UF358" s="92"/>
      <c r="UG358" s="92"/>
      <c r="UH358" s="92"/>
      <c r="UI358" s="92"/>
      <c r="UJ358" s="92"/>
      <c r="UK358" s="92"/>
      <c r="UL358" s="92"/>
      <c r="UM358" s="92"/>
      <c r="UN358" s="92"/>
      <c r="UO358" s="92"/>
      <c r="UP358" s="92"/>
      <c r="UQ358" s="92"/>
      <c r="UR358" s="92"/>
      <c r="US358" s="92"/>
      <c r="UT358" s="92"/>
      <c r="UU358" s="92"/>
      <c r="UV358" s="92"/>
      <c r="UW358" s="92"/>
      <c r="UX358" s="92"/>
      <c r="UY358" s="92"/>
      <c r="UZ358" s="92"/>
      <c r="VA358" s="92"/>
      <c r="VB358" s="92"/>
      <c r="VC358" s="92"/>
      <c r="VD358" s="92"/>
      <c r="VE358" s="92"/>
      <c r="VF358" s="92"/>
      <c r="VG358" s="92"/>
      <c r="VH358" s="92"/>
      <c r="VI358" s="92"/>
      <c r="VJ358" s="92"/>
      <c r="VK358" s="92"/>
      <c r="VL358" s="92"/>
      <c r="VM358" s="92"/>
      <c r="VN358" s="92"/>
      <c r="VO358" s="92"/>
      <c r="VP358" s="92"/>
      <c r="VQ358" s="92"/>
      <c r="VR358" s="92"/>
      <c r="VS358" s="92"/>
      <c r="VT358" s="92"/>
      <c r="VU358" s="92"/>
      <c r="VV358" s="92"/>
      <c r="VW358" s="92"/>
      <c r="VX358" s="92"/>
      <c r="VY358" s="92"/>
      <c r="VZ358" s="92"/>
      <c r="WA358" s="92"/>
      <c r="WB358" s="92"/>
      <c r="WC358" s="92"/>
      <c r="WD358" s="92"/>
      <c r="WE358" s="92"/>
      <c r="WF358" s="92"/>
      <c r="WG358" s="92"/>
      <c r="WH358" s="92"/>
      <c r="WI358" s="92"/>
      <c r="WJ358" s="92"/>
      <c r="WK358" s="92"/>
      <c r="WL358" s="92"/>
      <c r="WM358" s="92"/>
      <c r="WN358" s="92"/>
      <c r="WO358" s="92"/>
      <c r="WP358" s="92"/>
      <c r="WQ358" s="92"/>
      <c r="WR358" s="92"/>
      <c r="WS358" s="92"/>
      <c r="WT358" s="92"/>
      <c r="WU358" s="92"/>
      <c r="WV358" s="92"/>
      <c r="WW358" s="92"/>
      <c r="WX358" s="92"/>
      <c r="WY358" s="92"/>
      <c r="WZ358" s="92"/>
      <c r="XA358" s="92"/>
      <c r="XB358" s="92"/>
      <c r="XC358" s="92"/>
      <c r="XD358" s="92"/>
      <c r="XE358" s="92"/>
      <c r="XF358" s="92"/>
      <c r="XG358" s="92"/>
      <c r="XH358" s="92"/>
      <c r="XI358" s="92"/>
      <c r="XJ358" s="92"/>
      <c r="XK358" s="92"/>
      <c r="XL358" s="92"/>
      <c r="XM358" s="92"/>
      <c r="XN358" s="92"/>
      <c r="XO358" s="92"/>
      <c r="XP358" s="92"/>
      <c r="XQ358" s="92"/>
      <c r="XR358" s="92"/>
      <c r="XS358" s="92"/>
      <c r="XT358" s="92"/>
      <c r="XU358" s="92"/>
      <c r="XV358" s="92"/>
      <c r="XW358" s="92"/>
      <c r="XX358" s="92"/>
      <c r="XY358" s="92"/>
      <c r="XZ358" s="92"/>
      <c r="YA358" s="92"/>
      <c r="YB358" s="92"/>
      <c r="YC358" s="92"/>
      <c r="YD358" s="92"/>
      <c r="YE358" s="92"/>
      <c r="YF358" s="92"/>
      <c r="YG358" s="92"/>
      <c r="YH358" s="92"/>
      <c r="YI358" s="92"/>
      <c r="YJ358" s="92"/>
      <c r="YK358" s="92"/>
      <c r="YL358" s="92"/>
      <c r="YM358" s="92"/>
      <c r="YN358" s="92"/>
      <c r="YO358" s="92"/>
      <c r="YP358" s="92"/>
      <c r="YQ358" s="92"/>
      <c r="YR358" s="92"/>
      <c r="YS358" s="92"/>
      <c r="YT358" s="92"/>
      <c r="YU358" s="92"/>
      <c r="YV358" s="92"/>
      <c r="YW358" s="92"/>
      <c r="YX358" s="92"/>
      <c r="YY358" s="92"/>
      <c r="YZ358" s="92"/>
      <c r="ZA358" s="92"/>
      <c r="ZB358" s="92"/>
      <c r="ZC358" s="92"/>
      <c r="ZD358" s="92"/>
      <c r="ZE358" s="92"/>
      <c r="ZF358" s="92"/>
      <c r="ZG358" s="92"/>
      <c r="ZH358" s="92"/>
      <c r="ZI358" s="92"/>
      <c r="ZJ358" s="92"/>
      <c r="ZK358" s="92"/>
      <c r="ZL358" s="92"/>
      <c r="ZM358" s="92"/>
      <c r="ZN358" s="92"/>
      <c r="ZO358" s="92"/>
      <c r="ZP358" s="92"/>
      <c r="ZQ358" s="92"/>
      <c r="ZR358" s="92"/>
      <c r="ZS358" s="92"/>
      <c r="ZT358" s="92"/>
      <c r="ZU358" s="92"/>
      <c r="ZV358" s="92"/>
      <c r="ZW358" s="92"/>
      <c r="ZX358" s="92"/>
      <c r="ZY358" s="92"/>
      <c r="ZZ358" s="92"/>
      <c r="AAA358" s="92"/>
      <c r="AAB358" s="92"/>
      <c r="AAC358" s="92"/>
      <c r="AAD358" s="92"/>
      <c r="AAE358" s="92"/>
      <c r="AAF358" s="92"/>
      <c r="AAG358" s="92"/>
      <c r="AAH358" s="92"/>
      <c r="AAI358" s="92"/>
      <c r="AAJ358" s="92"/>
      <c r="AAK358" s="92"/>
      <c r="AAL358" s="92"/>
      <c r="AAM358" s="92"/>
      <c r="AAN358" s="92"/>
      <c r="AAO358" s="92"/>
      <c r="AAP358" s="92"/>
      <c r="AAQ358" s="92"/>
      <c r="AAR358" s="92"/>
      <c r="AAS358" s="92"/>
      <c r="AAT358" s="92"/>
      <c r="AAU358" s="92"/>
      <c r="AAV358" s="92"/>
      <c r="AAW358" s="92"/>
      <c r="AAX358" s="92"/>
      <c r="AAY358" s="92"/>
      <c r="AAZ358" s="92"/>
      <c r="ABA358" s="92"/>
      <c r="ABB358" s="92"/>
      <c r="ABC358" s="92"/>
      <c r="ABD358" s="92"/>
      <c r="ABE358" s="92"/>
      <c r="ABF358" s="92"/>
      <c r="ABG358" s="92"/>
      <c r="ABH358" s="92"/>
      <c r="ABI358" s="92"/>
      <c r="ABJ358" s="92"/>
      <c r="ABK358" s="92"/>
      <c r="ABL358" s="92"/>
      <c r="ABM358" s="92"/>
      <c r="ABN358" s="92"/>
      <c r="ABO358" s="92"/>
      <c r="ABP358" s="92"/>
      <c r="ABQ358" s="92"/>
      <c r="ABR358" s="92"/>
      <c r="ABS358" s="92"/>
      <c r="ABT358" s="92"/>
      <c r="ABU358" s="92"/>
      <c r="ABV358" s="92"/>
      <c r="ABW358" s="92"/>
      <c r="ABX358" s="92"/>
      <c r="ABY358" s="92"/>
      <c r="ABZ358" s="92"/>
      <c r="ACA358" s="92"/>
      <c r="ACB358" s="92"/>
      <c r="ACC358" s="92"/>
      <c r="ACD358" s="92"/>
      <c r="ACE358" s="92"/>
      <c r="ACF358" s="92"/>
      <c r="ACG358" s="92"/>
      <c r="ACH358" s="92"/>
      <c r="ACI358" s="92"/>
      <c r="ACJ358" s="92"/>
      <c r="ACK358" s="92"/>
      <c r="ACL358" s="92"/>
      <c r="ACM358" s="92"/>
      <c r="ACN358" s="92"/>
      <c r="ACO358" s="92"/>
      <c r="ACP358" s="92"/>
      <c r="ACQ358" s="92"/>
      <c r="ACR358" s="92"/>
      <c r="ACS358" s="92"/>
      <c r="ACT358" s="92"/>
      <c r="ACU358" s="92"/>
      <c r="ACV358" s="92"/>
      <c r="ACW358" s="92"/>
      <c r="ACX358" s="92"/>
      <c r="ACY358" s="92"/>
      <c r="ACZ358" s="92"/>
      <c r="ADA358" s="92"/>
      <c r="ADB358" s="92"/>
      <c r="ADC358" s="92"/>
      <c r="ADD358" s="92"/>
      <c r="ADE358" s="92"/>
      <c r="ADF358" s="92"/>
      <c r="ADG358" s="92"/>
      <c r="ADH358" s="92"/>
      <c r="ADI358" s="92"/>
      <c r="ADJ358" s="92"/>
      <c r="ADK358" s="92"/>
      <c r="ADL358" s="92"/>
      <c r="ADM358" s="92"/>
      <c r="ADN358" s="92"/>
      <c r="ADO358" s="92"/>
      <c r="ADP358" s="92"/>
      <c r="ADQ358" s="92"/>
      <c r="ADR358" s="92"/>
      <c r="ADS358" s="92"/>
      <c r="ADT358" s="92"/>
      <c r="ADU358" s="92"/>
      <c r="ADV358" s="92"/>
      <c r="ADW358" s="92"/>
      <c r="ADX358" s="92"/>
      <c r="ADY358" s="92"/>
      <c r="ADZ358" s="92"/>
      <c r="AEA358" s="92"/>
      <c r="AEB358" s="92"/>
      <c r="AEC358" s="92"/>
      <c r="AED358" s="92"/>
      <c r="AEE358" s="92"/>
      <c r="AEF358" s="92"/>
      <c r="AEG358" s="92"/>
      <c r="AEH358" s="92"/>
      <c r="AEI358" s="92"/>
      <c r="AEJ358" s="92"/>
      <c r="AEK358" s="92"/>
      <c r="AEL358" s="92"/>
      <c r="AEM358" s="92"/>
      <c r="AEN358" s="92"/>
      <c r="AEO358" s="92"/>
      <c r="AEP358" s="92"/>
      <c r="AEQ358" s="92"/>
      <c r="AER358" s="92"/>
      <c r="AES358" s="92"/>
      <c r="AET358" s="92"/>
      <c r="AEU358" s="92"/>
      <c r="AEV358" s="92"/>
      <c r="AEW358" s="92"/>
      <c r="AEX358" s="92"/>
      <c r="AEY358" s="92"/>
      <c r="AEZ358" s="92"/>
      <c r="AFA358" s="92"/>
      <c r="AFB358" s="92"/>
      <c r="AFC358" s="92"/>
      <c r="AFD358" s="92"/>
      <c r="AFE358" s="92"/>
      <c r="AFF358" s="92"/>
      <c r="AFG358" s="92"/>
      <c r="AFH358" s="92"/>
      <c r="AFI358" s="92"/>
      <c r="AFJ358" s="92"/>
      <c r="AFK358" s="92"/>
      <c r="AFL358" s="92"/>
      <c r="AFM358" s="92"/>
      <c r="AFN358" s="92"/>
      <c r="AFO358" s="92"/>
      <c r="AFP358" s="92"/>
      <c r="AFQ358" s="92"/>
      <c r="AFR358" s="92"/>
      <c r="AFS358" s="92"/>
      <c r="AFT358" s="92"/>
      <c r="AFU358" s="92"/>
      <c r="AFV358" s="92"/>
      <c r="AFW358" s="92"/>
      <c r="AFX358" s="92"/>
      <c r="AFY358" s="92"/>
      <c r="AFZ358" s="92"/>
      <c r="AGA358" s="92"/>
      <c r="AGB358" s="92"/>
      <c r="AGC358" s="92"/>
      <c r="AGD358" s="92"/>
      <c r="AGE358" s="92"/>
      <c r="AGF358" s="92"/>
      <c r="AGG358" s="92"/>
      <c r="AGH358" s="92"/>
      <c r="AGI358" s="92"/>
      <c r="AGJ358" s="92"/>
      <c r="AGK358" s="92"/>
      <c r="AGL358" s="92"/>
      <c r="AGM358" s="92"/>
      <c r="AGN358" s="92"/>
      <c r="AGO358" s="92"/>
      <c r="AGP358" s="92"/>
      <c r="AGQ358" s="92"/>
      <c r="AGR358" s="92"/>
      <c r="AGS358" s="92"/>
      <c r="AGT358" s="92"/>
      <c r="AGU358" s="92"/>
      <c r="AGV358" s="92"/>
      <c r="AGW358" s="92"/>
      <c r="AGX358" s="92"/>
      <c r="AGY358" s="92"/>
      <c r="AGZ358" s="92"/>
      <c r="AHA358" s="92"/>
      <c r="AHB358" s="92"/>
      <c r="AHC358" s="92"/>
      <c r="AHD358" s="92"/>
      <c r="AHE358" s="92"/>
      <c r="AHF358" s="92"/>
      <c r="AHG358" s="92"/>
      <c r="AHH358" s="92"/>
      <c r="AHI358" s="92"/>
      <c r="AHJ358" s="92"/>
      <c r="AHK358" s="92"/>
      <c r="AHL358" s="92"/>
      <c r="AHM358" s="92"/>
      <c r="AHN358" s="92"/>
      <c r="AHO358" s="92"/>
      <c r="AHP358" s="92"/>
      <c r="AHQ358" s="92"/>
      <c r="AHR358" s="92"/>
      <c r="AHS358" s="92"/>
      <c r="AHT358" s="92"/>
      <c r="AHU358" s="92"/>
      <c r="AHV358" s="92"/>
      <c r="AHW358" s="92"/>
      <c r="AHX358" s="92"/>
      <c r="AHY358" s="92"/>
      <c r="AHZ358" s="92"/>
      <c r="AIA358" s="92"/>
      <c r="AIB358" s="92"/>
      <c r="AIC358" s="92"/>
      <c r="AID358" s="92"/>
      <c r="AIE358" s="92"/>
      <c r="AIF358" s="92"/>
      <c r="AIG358" s="92"/>
      <c r="AIH358" s="92"/>
      <c r="AII358" s="92"/>
      <c r="AIJ358" s="92"/>
      <c r="AIK358" s="92"/>
      <c r="AIL358" s="92"/>
      <c r="AIM358" s="92"/>
      <c r="AIN358" s="92"/>
      <c r="AIO358" s="92"/>
      <c r="AIP358" s="92"/>
      <c r="AIQ358" s="92"/>
      <c r="AIR358" s="92"/>
      <c r="AIS358" s="92"/>
      <c r="AIT358" s="92"/>
      <c r="AIU358" s="92"/>
      <c r="AIV358" s="92"/>
      <c r="AIW358" s="92"/>
      <c r="AIX358" s="92"/>
      <c r="AIY358" s="92"/>
      <c r="AIZ358" s="92"/>
      <c r="AJA358" s="92"/>
      <c r="AJB358" s="92"/>
      <c r="AJC358" s="92"/>
      <c r="AJD358" s="92"/>
      <c r="AJE358" s="92"/>
      <c r="AJF358" s="92"/>
      <c r="AJG358" s="92"/>
      <c r="AJH358" s="92"/>
      <c r="AJI358" s="92"/>
      <c r="AJJ358" s="92"/>
      <c r="AJK358" s="92"/>
      <c r="AJL358" s="92"/>
      <c r="AJM358" s="92"/>
      <c r="AJN358" s="92"/>
      <c r="AJO358" s="92"/>
      <c r="AJP358" s="92"/>
      <c r="AJQ358" s="92"/>
      <c r="AJR358" s="92"/>
      <c r="AJS358" s="92"/>
      <c r="AJT358" s="92"/>
      <c r="AJU358" s="92"/>
      <c r="AJV358" s="92"/>
      <c r="AJW358" s="92"/>
      <c r="AJX358" s="92"/>
      <c r="AJY358" s="92"/>
      <c r="AJZ358" s="92"/>
      <c r="AKA358" s="92"/>
      <c r="AKB358" s="92"/>
      <c r="AKC358" s="92"/>
      <c r="AKD358" s="92"/>
      <c r="AKE358" s="92"/>
      <c r="AKF358" s="92"/>
      <c r="AKG358" s="92"/>
      <c r="AKH358" s="92"/>
      <c r="AKI358" s="92"/>
      <c r="AKJ358" s="92"/>
      <c r="AKK358" s="92"/>
      <c r="AKL358" s="92"/>
      <c r="AKM358" s="92"/>
      <c r="AKN358" s="92"/>
      <c r="AKO358" s="92"/>
      <c r="AKP358" s="92"/>
      <c r="AKQ358" s="92"/>
      <c r="AKR358" s="92"/>
      <c r="AKS358" s="92"/>
      <c r="AKT358" s="92"/>
      <c r="AKU358" s="92"/>
      <c r="AKV358" s="92"/>
      <c r="AKW358" s="92"/>
      <c r="AKX358" s="92"/>
      <c r="AKY358" s="92"/>
      <c r="AKZ358" s="92"/>
      <c r="ALA358" s="92"/>
      <c r="ALB358" s="92"/>
      <c r="ALC358" s="92"/>
      <c r="ALD358" s="92"/>
      <c r="ALE358" s="92"/>
      <c r="ALF358" s="92"/>
      <c r="ALG358" s="92"/>
      <c r="ALH358" s="92"/>
      <c r="ALI358" s="92"/>
      <c r="ALJ358" s="92"/>
      <c r="ALK358" s="92"/>
      <c r="ALL358" s="92"/>
      <c r="ALM358" s="92"/>
      <c r="ALN358" s="92"/>
      <c r="ALO358" s="92"/>
      <c r="ALP358" s="92"/>
      <c r="ALQ358" s="92"/>
      <c r="ALR358" s="92"/>
      <c r="ALS358" s="92"/>
      <c r="ALT358" s="92"/>
      <c r="ALU358" s="92"/>
      <c r="ALV358" s="92"/>
      <c r="ALW358" s="92"/>
      <c r="ALX358" s="92"/>
      <c r="ALY358" s="92"/>
      <c r="ALZ358" s="92"/>
      <c r="AMA358" s="92"/>
      <c r="AMB358" s="92"/>
      <c r="AMC358" s="92"/>
      <c r="AMD358" s="92"/>
      <c r="AME358" s="92"/>
      <c r="AMF358" s="92"/>
      <c r="AMG358" s="92"/>
      <c r="AMH358" s="92"/>
      <c r="AMI358" s="92"/>
      <c r="AMJ358" s="92"/>
      <c r="AMK358" s="92"/>
      <c r="AML358" s="92"/>
      <c r="AMM358" s="92"/>
      <c r="AMN358" s="92"/>
      <c r="AMO358" s="92"/>
      <c r="AMP358" s="92"/>
      <c r="AMQ358" s="92"/>
      <c r="AMR358" s="92"/>
      <c r="AMS358" s="92"/>
      <c r="AMT358" s="92"/>
      <c r="AMU358" s="92"/>
      <c r="AMV358" s="92"/>
      <c r="AMW358" s="92"/>
      <c r="AMX358" s="92"/>
      <c r="AMY358" s="92"/>
      <c r="AMZ358" s="92"/>
      <c r="ANA358" s="92"/>
      <c r="ANB358" s="92"/>
      <c r="ANC358" s="92"/>
      <c r="AND358" s="92"/>
      <c r="ANE358" s="92"/>
      <c r="ANF358" s="92"/>
      <c r="ANG358" s="92"/>
      <c r="ANH358" s="92"/>
      <c r="ANI358" s="92"/>
      <c r="ANJ358" s="92"/>
      <c r="ANK358" s="92"/>
      <c r="ANL358" s="92"/>
      <c r="ANM358" s="92"/>
      <c r="ANN358" s="92"/>
      <c r="ANO358" s="92"/>
      <c r="ANP358" s="92"/>
      <c r="ANQ358" s="92"/>
      <c r="ANR358" s="92"/>
      <c r="ANS358" s="92"/>
      <c r="ANT358" s="92"/>
      <c r="ANU358" s="92"/>
      <c r="ANV358" s="92"/>
      <c r="ANW358" s="92"/>
      <c r="ANX358" s="92"/>
      <c r="ANY358" s="92"/>
      <c r="ANZ358" s="92"/>
      <c r="AOA358" s="92"/>
      <c r="AOB358" s="92"/>
      <c r="AOC358" s="92"/>
      <c r="AOD358" s="92"/>
      <c r="AOE358" s="92"/>
      <c r="AOF358" s="92"/>
      <c r="AOG358" s="92"/>
      <c r="AOH358" s="92"/>
      <c r="AOI358" s="92"/>
      <c r="AOJ358" s="92"/>
      <c r="AOK358" s="92"/>
      <c r="AOL358" s="92"/>
      <c r="AOM358" s="92"/>
      <c r="AON358" s="92"/>
      <c r="AOO358" s="92"/>
      <c r="AOP358" s="92"/>
      <c r="AOQ358" s="92"/>
      <c r="AOR358" s="92"/>
      <c r="AOS358" s="92"/>
      <c r="AOT358" s="92"/>
      <c r="AOU358" s="92"/>
      <c r="AOV358" s="92"/>
      <c r="AOW358" s="92"/>
      <c r="AOX358" s="92"/>
      <c r="AOY358" s="92"/>
      <c r="AOZ358" s="92"/>
      <c r="APA358" s="92"/>
      <c r="APB358" s="92"/>
      <c r="APC358" s="92"/>
      <c r="APD358" s="92"/>
      <c r="APE358" s="92"/>
      <c r="APF358" s="92"/>
      <c r="APG358" s="92"/>
      <c r="APH358" s="92"/>
      <c r="API358" s="92"/>
      <c r="APJ358" s="92"/>
      <c r="APK358" s="92"/>
      <c r="APL358" s="92"/>
      <c r="APM358" s="92"/>
      <c r="APN358" s="92"/>
      <c r="APO358" s="92"/>
      <c r="APP358" s="92"/>
      <c r="APQ358" s="92"/>
      <c r="APR358" s="92"/>
      <c r="APS358" s="92"/>
      <c r="APT358" s="92"/>
      <c r="APU358" s="92"/>
      <c r="APV358" s="92"/>
      <c r="APW358" s="92"/>
      <c r="APX358" s="92"/>
      <c r="APY358" s="92"/>
      <c r="APZ358" s="92"/>
      <c r="AQA358" s="92"/>
      <c r="AQB358" s="92"/>
      <c r="AQC358" s="92"/>
      <c r="AQD358" s="92"/>
      <c r="AQE358" s="92"/>
      <c r="AQF358" s="92"/>
      <c r="AQG358" s="92"/>
      <c r="AQH358" s="92"/>
      <c r="AQI358" s="92"/>
      <c r="AQJ358" s="92"/>
      <c r="AQK358" s="92"/>
      <c r="AQL358" s="92"/>
      <c r="AQM358" s="92"/>
      <c r="AQN358" s="92"/>
      <c r="AQO358" s="92"/>
      <c r="AQP358" s="92"/>
      <c r="AQQ358" s="92"/>
      <c r="AQR358" s="92"/>
      <c r="AQS358" s="92"/>
      <c r="AQT358" s="92"/>
      <c r="AQU358" s="92"/>
      <c r="AQV358" s="92"/>
      <c r="AQW358" s="92"/>
      <c r="AQX358" s="92"/>
      <c r="AQY358" s="92"/>
      <c r="AQZ358" s="92"/>
      <c r="ARA358" s="92"/>
      <c r="ARB358" s="92"/>
      <c r="ARC358" s="92"/>
      <c r="ARD358" s="92"/>
      <c r="ARE358" s="92"/>
      <c r="ARF358" s="92"/>
      <c r="ARG358" s="92"/>
      <c r="ARH358" s="92"/>
      <c r="ARI358" s="92"/>
      <c r="ARJ358" s="92"/>
      <c r="ARK358" s="92"/>
      <c r="ARL358" s="92"/>
      <c r="ARM358" s="92"/>
      <c r="ARN358" s="92"/>
      <c r="ARO358" s="92"/>
      <c r="ARP358" s="92"/>
      <c r="ARQ358" s="92"/>
      <c r="ARR358" s="92"/>
      <c r="ARS358" s="92"/>
      <c r="ART358" s="92"/>
      <c r="ARU358" s="92"/>
      <c r="ARV358" s="92"/>
      <c r="ARW358" s="92"/>
      <c r="ARX358" s="92"/>
      <c r="ARY358" s="92"/>
      <c r="ARZ358" s="92"/>
      <c r="ASA358" s="92"/>
      <c r="ASB358" s="92"/>
      <c r="ASC358" s="92"/>
      <c r="ASD358" s="92"/>
      <c r="ASE358" s="92"/>
      <c r="ASF358" s="92"/>
      <c r="ASG358" s="92"/>
      <c r="ASH358" s="92"/>
      <c r="ASI358" s="92"/>
      <c r="ASJ358" s="92"/>
      <c r="ASK358" s="92"/>
      <c r="ASL358" s="92"/>
      <c r="ASM358" s="92"/>
      <c r="ASN358" s="92"/>
      <c r="ASO358" s="92"/>
      <c r="ASP358" s="92"/>
      <c r="ASQ358" s="92"/>
      <c r="ASR358" s="92"/>
      <c r="ASS358" s="92"/>
      <c r="AST358" s="92"/>
      <c r="ASU358" s="92"/>
      <c r="ASV358" s="92"/>
      <c r="ASW358" s="92"/>
      <c r="ASX358" s="92"/>
      <c r="ASY358" s="92"/>
      <c r="ASZ358" s="92"/>
      <c r="ATA358" s="92"/>
      <c r="ATB358" s="92"/>
      <c r="ATC358" s="92"/>
      <c r="ATD358" s="92"/>
      <c r="ATE358" s="92"/>
      <c r="ATF358" s="92"/>
      <c r="ATG358" s="92"/>
      <c r="ATH358" s="92"/>
      <c r="ATI358" s="92"/>
      <c r="ATJ358" s="92"/>
      <c r="ATK358" s="92"/>
      <c r="ATL358" s="92"/>
      <c r="ATM358" s="92"/>
      <c r="ATN358" s="92"/>
      <c r="ATO358" s="92"/>
      <c r="ATP358" s="92"/>
      <c r="ATQ358" s="92"/>
      <c r="ATR358" s="92"/>
      <c r="ATS358" s="92"/>
      <c r="ATT358" s="92"/>
      <c r="ATU358" s="92"/>
      <c r="ATV358" s="92"/>
      <c r="ATW358" s="92"/>
      <c r="ATX358" s="92"/>
      <c r="ATY358" s="92"/>
      <c r="ATZ358" s="92"/>
      <c r="AUA358" s="92"/>
      <c r="AUB358" s="92"/>
      <c r="AUC358" s="92"/>
      <c r="AUD358" s="92"/>
      <c r="AUE358" s="92"/>
      <c r="AUF358" s="92"/>
      <c r="AUG358" s="92"/>
      <c r="AUH358" s="92"/>
      <c r="AUI358" s="92"/>
      <c r="AUJ358" s="92"/>
      <c r="AUK358" s="92"/>
      <c r="AUL358" s="92"/>
      <c r="AUM358" s="92"/>
      <c r="AUN358" s="92"/>
      <c r="AUO358" s="92"/>
      <c r="AUP358" s="92"/>
      <c r="AUQ358" s="92"/>
      <c r="AUR358" s="92"/>
      <c r="AUS358" s="92"/>
      <c r="AUT358" s="92"/>
      <c r="AUU358" s="92"/>
      <c r="AUV358" s="92"/>
      <c r="AUW358" s="92"/>
      <c r="AUX358" s="92"/>
      <c r="AUY358" s="92"/>
      <c r="AUZ358" s="92"/>
      <c r="AVA358" s="92"/>
      <c r="AVB358" s="92"/>
      <c r="AVC358" s="92"/>
      <c r="AVD358" s="92"/>
      <c r="AVE358" s="92"/>
      <c r="AVF358" s="92"/>
      <c r="AVG358" s="92"/>
      <c r="AVH358" s="92"/>
      <c r="AVI358" s="92"/>
      <c r="AVJ358" s="92"/>
      <c r="AVK358" s="92"/>
      <c r="AVL358" s="92"/>
      <c r="AVM358" s="92"/>
      <c r="AVN358" s="92"/>
      <c r="AVO358" s="92"/>
      <c r="AVP358" s="92"/>
      <c r="AVQ358" s="92"/>
      <c r="AVR358" s="92"/>
      <c r="AVS358" s="92"/>
      <c r="AVT358" s="92"/>
      <c r="AVU358" s="92"/>
      <c r="AVV358" s="92"/>
      <c r="AVW358" s="92"/>
      <c r="AVX358" s="92"/>
      <c r="AVY358" s="92"/>
      <c r="AVZ358" s="92"/>
      <c r="AWA358" s="92"/>
      <c r="AWB358" s="92"/>
      <c r="AWC358" s="92"/>
      <c r="AWD358" s="92"/>
      <c r="AWE358" s="92"/>
      <c r="AWF358" s="92"/>
      <c r="AWG358" s="92"/>
      <c r="AWH358" s="92"/>
      <c r="AWI358" s="92"/>
      <c r="AWJ358" s="92"/>
      <c r="AWK358" s="92"/>
      <c r="AWL358" s="92"/>
      <c r="AWM358" s="92"/>
      <c r="AWN358" s="92"/>
      <c r="AWO358" s="92"/>
      <c r="AWP358" s="92"/>
      <c r="AWQ358" s="92"/>
      <c r="AWR358" s="92"/>
      <c r="AWS358" s="92"/>
      <c r="AWT358" s="92"/>
      <c r="AWU358" s="92"/>
      <c r="AWV358" s="92"/>
      <c r="AWW358" s="92"/>
      <c r="AWX358" s="92"/>
      <c r="AWY358" s="92"/>
      <c r="AWZ358" s="92"/>
      <c r="AXA358" s="92"/>
      <c r="AXB358" s="92"/>
      <c r="AXC358" s="92"/>
      <c r="AXD358" s="92"/>
      <c r="AXE358" s="92"/>
      <c r="AXF358" s="92"/>
      <c r="AXG358" s="92"/>
      <c r="AXH358" s="92"/>
      <c r="AXI358" s="92"/>
      <c r="AXJ358" s="92"/>
      <c r="AXK358" s="92"/>
      <c r="AXL358" s="92"/>
      <c r="AXM358" s="92"/>
      <c r="AXN358" s="92"/>
      <c r="AXO358" s="92"/>
      <c r="AXP358" s="92"/>
      <c r="AXQ358" s="92"/>
      <c r="AXR358" s="92"/>
      <c r="AXS358" s="92"/>
      <c r="AXT358" s="92"/>
      <c r="AXU358" s="92"/>
      <c r="AXV358" s="92"/>
      <c r="AXW358" s="92"/>
      <c r="AXX358" s="92"/>
      <c r="AXY358" s="92"/>
      <c r="AXZ358" s="92"/>
      <c r="AYA358" s="92"/>
      <c r="AYB358" s="92"/>
      <c r="AYC358" s="92"/>
      <c r="AYD358" s="92"/>
      <c r="AYE358" s="92"/>
      <c r="AYF358" s="92"/>
      <c r="AYG358" s="92"/>
      <c r="AYH358" s="92"/>
      <c r="AYI358" s="92"/>
      <c r="AYJ358" s="92"/>
      <c r="AYK358" s="92"/>
      <c r="AYL358" s="92"/>
      <c r="AYM358" s="92"/>
      <c r="AYN358" s="92"/>
      <c r="AYO358" s="92"/>
      <c r="AYP358" s="92"/>
      <c r="AYQ358" s="92"/>
      <c r="AYR358" s="92"/>
      <c r="AYS358" s="92"/>
      <c r="AYT358" s="92"/>
      <c r="AYU358" s="92"/>
      <c r="AYV358" s="92"/>
      <c r="AYW358" s="92"/>
      <c r="AYX358" s="92"/>
      <c r="AYY358" s="92"/>
      <c r="AYZ358" s="92"/>
      <c r="AZA358" s="92"/>
      <c r="AZB358" s="92"/>
      <c r="AZC358" s="92"/>
      <c r="AZD358" s="92"/>
      <c r="AZE358" s="92"/>
      <c r="AZF358" s="92"/>
      <c r="AZG358" s="92"/>
      <c r="AZH358" s="92"/>
      <c r="AZI358" s="92"/>
      <c r="AZJ358" s="92"/>
      <c r="AZK358" s="92"/>
      <c r="AZL358" s="92"/>
      <c r="AZM358" s="92"/>
      <c r="AZN358" s="92"/>
      <c r="AZO358" s="92"/>
      <c r="AZP358" s="92"/>
      <c r="AZQ358" s="92"/>
      <c r="AZR358" s="92"/>
      <c r="AZS358" s="92"/>
      <c r="AZT358" s="92"/>
      <c r="AZU358" s="92"/>
      <c r="AZV358" s="92"/>
      <c r="AZW358" s="92"/>
      <c r="AZX358" s="92"/>
      <c r="AZY358" s="92"/>
      <c r="AZZ358" s="92"/>
      <c r="BAA358" s="92"/>
      <c r="BAB358" s="92"/>
      <c r="BAC358" s="92"/>
      <c r="BAD358" s="92"/>
      <c r="BAE358" s="92"/>
      <c r="BAF358" s="92"/>
      <c r="BAG358" s="92"/>
      <c r="BAH358" s="92"/>
      <c r="BAI358" s="92"/>
      <c r="BAJ358" s="92"/>
      <c r="BAK358" s="92"/>
      <c r="BAL358" s="92"/>
      <c r="BAM358" s="92"/>
      <c r="BAN358" s="92"/>
      <c r="BAO358" s="92"/>
      <c r="BAP358" s="92"/>
      <c r="BAQ358" s="92"/>
      <c r="BAR358" s="92"/>
      <c r="BAS358" s="92"/>
      <c r="BAT358" s="92"/>
      <c r="BAU358" s="92"/>
      <c r="BAV358" s="92"/>
      <c r="BAW358" s="92"/>
      <c r="BAX358" s="92"/>
      <c r="BAY358" s="92"/>
      <c r="BAZ358" s="92"/>
      <c r="BBA358" s="92"/>
      <c r="BBB358" s="92"/>
      <c r="BBC358" s="92"/>
      <c r="BBD358" s="92"/>
      <c r="BBE358" s="92"/>
      <c r="BBF358" s="92"/>
      <c r="BBG358" s="92"/>
      <c r="BBH358" s="92"/>
      <c r="BBI358" s="92"/>
      <c r="BBJ358" s="92"/>
      <c r="BBK358" s="92"/>
      <c r="BBL358" s="92"/>
      <c r="BBM358" s="92"/>
      <c r="BBN358" s="92"/>
      <c r="BBO358" s="92"/>
      <c r="BBP358" s="92"/>
      <c r="BBQ358" s="92"/>
      <c r="BBR358" s="92"/>
      <c r="BBS358" s="92"/>
      <c r="BBT358" s="92"/>
      <c r="BBU358" s="92"/>
      <c r="BBV358" s="92"/>
      <c r="BBW358" s="92"/>
      <c r="BBX358" s="92"/>
      <c r="BBY358" s="92"/>
      <c r="BBZ358" s="92"/>
      <c r="BCA358" s="92"/>
      <c r="BCB358" s="92"/>
      <c r="BCC358" s="92"/>
      <c r="BCD358" s="92"/>
      <c r="BCE358" s="92"/>
      <c r="BCF358" s="92"/>
      <c r="BCG358" s="92"/>
      <c r="BCH358" s="92"/>
      <c r="BCI358" s="92"/>
      <c r="BCJ358" s="92"/>
      <c r="BCK358" s="92"/>
      <c r="BCL358" s="92"/>
      <c r="BCM358" s="92"/>
      <c r="BCN358" s="92"/>
      <c r="BCO358" s="92"/>
      <c r="BCP358" s="92"/>
      <c r="BCQ358" s="92"/>
      <c r="BCR358" s="92"/>
      <c r="BCS358" s="92"/>
      <c r="BCT358" s="92"/>
      <c r="BCU358" s="92"/>
      <c r="BCV358" s="92"/>
      <c r="BCW358" s="92"/>
      <c r="BCX358" s="92"/>
      <c r="BCY358" s="92"/>
      <c r="BCZ358" s="92"/>
      <c r="BDA358" s="92"/>
      <c r="BDB358" s="92"/>
      <c r="BDC358" s="92"/>
      <c r="BDD358" s="92"/>
      <c r="BDE358" s="92"/>
      <c r="BDF358" s="92"/>
      <c r="BDG358" s="92"/>
      <c r="BDH358" s="92"/>
      <c r="BDI358" s="92"/>
      <c r="BDJ358" s="92"/>
      <c r="BDK358" s="92"/>
      <c r="BDL358" s="92"/>
      <c r="BDM358" s="92"/>
      <c r="BDN358" s="92"/>
      <c r="BDO358" s="92"/>
      <c r="BDP358" s="92"/>
      <c r="BDQ358" s="92"/>
      <c r="BDR358" s="92"/>
      <c r="BDS358" s="92"/>
      <c r="BDT358" s="92"/>
      <c r="BDU358" s="92"/>
      <c r="BDV358" s="92"/>
      <c r="BDW358" s="92"/>
      <c r="BDX358" s="92"/>
      <c r="BDY358" s="92"/>
      <c r="BDZ358" s="92"/>
      <c r="BEA358" s="92"/>
      <c r="BEB358" s="92"/>
      <c r="BEC358" s="92"/>
      <c r="BED358" s="92"/>
      <c r="BEE358" s="92"/>
      <c r="BEF358" s="92"/>
      <c r="BEG358" s="92"/>
      <c r="BEH358" s="92"/>
      <c r="BEI358" s="92"/>
      <c r="BEJ358" s="92"/>
      <c r="BEK358" s="92"/>
      <c r="BEL358" s="92"/>
      <c r="BEM358" s="92"/>
      <c r="BEN358" s="92"/>
      <c r="BEO358" s="92"/>
      <c r="BEP358" s="92"/>
      <c r="BEQ358" s="92"/>
      <c r="BER358" s="92"/>
      <c r="BES358" s="92"/>
      <c r="BET358" s="92"/>
      <c r="BEU358" s="92"/>
      <c r="BEV358" s="92"/>
      <c r="BEW358" s="92"/>
      <c r="BEX358" s="92"/>
      <c r="BEY358" s="92"/>
      <c r="BEZ358" s="92"/>
      <c r="BFA358" s="92"/>
      <c r="BFB358" s="92"/>
      <c r="BFC358" s="92"/>
      <c r="BFD358" s="92"/>
      <c r="BFE358" s="92"/>
      <c r="BFF358" s="92"/>
      <c r="BFG358" s="92"/>
      <c r="BFH358" s="92"/>
      <c r="BFI358" s="92"/>
      <c r="BFJ358" s="92"/>
      <c r="BFK358" s="92"/>
      <c r="BFL358" s="92"/>
      <c r="BFM358" s="92"/>
      <c r="BFN358" s="92"/>
      <c r="BFO358" s="92"/>
      <c r="BFP358" s="92"/>
      <c r="BFQ358" s="92"/>
      <c r="BFR358" s="92"/>
      <c r="BFS358" s="92"/>
      <c r="BFT358" s="92"/>
      <c r="BFU358" s="92"/>
      <c r="BFV358" s="92"/>
      <c r="BFW358" s="92"/>
      <c r="BFX358" s="92"/>
      <c r="BFY358" s="92"/>
      <c r="BFZ358" s="92"/>
      <c r="BGA358" s="92"/>
      <c r="BGB358" s="92"/>
      <c r="BGC358" s="92"/>
      <c r="BGD358" s="92"/>
      <c r="BGE358" s="92"/>
      <c r="BGF358" s="92"/>
      <c r="BGG358" s="92"/>
      <c r="BGH358" s="92"/>
      <c r="BGI358" s="92"/>
      <c r="BGJ358" s="92"/>
      <c r="BGK358" s="92"/>
      <c r="BGL358" s="92"/>
      <c r="BGM358" s="92"/>
      <c r="BGN358" s="92"/>
      <c r="BGO358" s="92"/>
      <c r="BGP358" s="92"/>
      <c r="BGQ358" s="92"/>
      <c r="BGR358" s="92"/>
      <c r="BGS358" s="92"/>
      <c r="BGT358" s="92"/>
      <c r="BGU358" s="92"/>
      <c r="BGV358" s="92"/>
      <c r="BGW358" s="92"/>
      <c r="BGX358" s="92"/>
      <c r="BGY358" s="92"/>
      <c r="BGZ358" s="92"/>
      <c r="BHA358" s="92"/>
      <c r="BHB358" s="92"/>
      <c r="BHC358" s="92"/>
      <c r="BHD358" s="92"/>
      <c r="BHE358" s="92"/>
      <c r="BHF358" s="92"/>
      <c r="BHG358" s="92"/>
      <c r="BHH358" s="92"/>
      <c r="BHI358" s="92"/>
      <c r="BHJ358" s="92"/>
      <c r="BHK358" s="92"/>
      <c r="BHL358" s="92"/>
      <c r="BHM358" s="92"/>
      <c r="BHN358" s="92"/>
      <c r="BHO358" s="92"/>
      <c r="BHP358" s="92"/>
      <c r="BHQ358" s="92"/>
      <c r="BHR358" s="92"/>
      <c r="BHS358" s="92"/>
      <c r="BHT358" s="92"/>
      <c r="BHU358" s="92"/>
      <c r="BHV358" s="92"/>
      <c r="BHW358" s="92"/>
      <c r="BHX358" s="92"/>
      <c r="BHY358" s="92"/>
      <c r="BHZ358" s="92"/>
      <c r="BIA358" s="92"/>
      <c r="BIB358" s="92"/>
      <c r="BIC358" s="92"/>
      <c r="BID358" s="92"/>
      <c r="BIE358" s="92"/>
      <c r="BIF358" s="92"/>
      <c r="BIG358" s="92"/>
      <c r="BIH358" s="92"/>
      <c r="BII358" s="92"/>
      <c r="BIJ358" s="92"/>
      <c r="BIK358" s="92"/>
      <c r="BIL358" s="92"/>
      <c r="BIM358" s="92"/>
      <c r="BIN358" s="92"/>
      <c r="BIO358" s="92"/>
      <c r="BIP358" s="92"/>
      <c r="BIQ358" s="92"/>
      <c r="BIR358" s="92"/>
      <c r="BIS358" s="92"/>
      <c r="BIT358" s="92"/>
      <c r="BIU358" s="92"/>
      <c r="BIV358" s="92"/>
      <c r="BIW358" s="92"/>
      <c r="BIX358" s="92"/>
      <c r="BIY358" s="92"/>
      <c r="BIZ358" s="92"/>
      <c r="BJA358" s="92"/>
      <c r="BJB358" s="92"/>
      <c r="BJC358" s="92"/>
      <c r="BJD358" s="92"/>
      <c r="BJE358" s="92"/>
      <c r="BJF358" s="92"/>
      <c r="BJG358" s="92"/>
      <c r="BJH358" s="92"/>
      <c r="BJI358" s="92"/>
      <c r="BJJ358" s="92"/>
      <c r="BJK358" s="92"/>
      <c r="BJL358" s="92"/>
      <c r="BJM358" s="92"/>
      <c r="BJN358" s="92"/>
      <c r="BJO358" s="92"/>
      <c r="BJP358" s="92"/>
      <c r="BJQ358" s="92"/>
      <c r="BJR358" s="92"/>
      <c r="BJS358" s="92"/>
      <c r="BJT358" s="92"/>
      <c r="BJU358" s="92"/>
      <c r="BJV358" s="92"/>
      <c r="BJW358" s="92"/>
      <c r="BJX358" s="92"/>
      <c r="BJY358" s="92"/>
      <c r="BJZ358" s="92"/>
      <c r="BKA358" s="92"/>
      <c r="BKB358" s="92"/>
      <c r="BKC358" s="92"/>
      <c r="BKD358" s="92"/>
      <c r="BKE358" s="92"/>
      <c r="BKF358" s="92"/>
      <c r="BKG358" s="92"/>
      <c r="BKH358" s="92"/>
      <c r="BKI358" s="92"/>
      <c r="BKJ358" s="92"/>
      <c r="BKK358" s="92"/>
      <c r="BKL358" s="92"/>
      <c r="BKM358" s="92"/>
      <c r="BKN358" s="92"/>
      <c r="BKO358" s="92"/>
      <c r="BKP358" s="92"/>
      <c r="BKQ358" s="92"/>
      <c r="BKR358" s="92"/>
      <c r="BKS358" s="92"/>
      <c r="BKT358" s="92"/>
      <c r="BKU358" s="92"/>
      <c r="BKV358" s="92"/>
      <c r="BKW358" s="92"/>
      <c r="BKX358" s="92"/>
      <c r="BKY358" s="92"/>
      <c r="BKZ358" s="92"/>
      <c r="BLA358" s="92"/>
      <c r="BLB358" s="92"/>
      <c r="BLC358" s="92"/>
      <c r="BLD358" s="92"/>
      <c r="BLE358" s="92"/>
      <c r="BLF358" s="92"/>
      <c r="BLG358" s="92"/>
      <c r="BLH358" s="92"/>
      <c r="BLI358" s="92"/>
      <c r="BLJ358" s="92"/>
      <c r="BLK358" s="92"/>
      <c r="BLL358" s="92"/>
      <c r="BLM358" s="92"/>
      <c r="BLN358" s="92"/>
      <c r="BLO358" s="92"/>
      <c r="BLP358" s="92"/>
      <c r="BLQ358" s="92"/>
      <c r="BLR358" s="92"/>
      <c r="BLS358" s="92"/>
      <c r="BLT358" s="92"/>
      <c r="BLU358" s="92"/>
      <c r="BLV358" s="92"/>
      <c r="BLW358" s="92"/>
      <c r="BLX358" s="92"/>
      <c r="BLY358" s="92"/>
      <c r="BLZ358" s="92"/>
      <c r="BMA358" s="92"/>
      <c r="BMB358" s="92"/>
      <c r="BMC358" s="92"/>
      <c r="BMD358" s="92"/>
      <c r="BME358" s="92"/>
      <c r="BMF358" s="92"/>
      <c r="BMG358" s="92"/>
      <c r="BMH358" s="92"/>
      <c r="BMI358" s="92"/>
      <c r="BMJ358" s="92"/>
      <c r="BMK358" s="92"/>
      <c r="BML358" s="92"/>
      <c r="BMM358" s="92"/>
      <c r="BMN358" s="92"/>
      <c r="BMO358" s="92"/>
      <c r="BMP358" s="92"/>
      <c r="BMQ358" s="92"/>
      <c r="BMR358" s="92"/>
      <c r="BMS358" s="92"/>
      <c r="BMT358" s="92"/>
      <c r="BMU358" s="92"/>
      <c r="BMV358" s="92"/>
      <c r="BMW358" s="92"/>
      <c r="BMX358" s="92"/>
      <c r="BMY358" s="92"/>
      <c r="BMZ358" s="92"/>
      <c r="BNA358" s="92"/>
      <c r="BNB358" s="92"/>
      <c r="BNC358" s="92"/>
      <c r="BND358" s="92"/>
      <c r="BNE358" s="92"/>
      <c r="BNF358" s="92"/>
      <c r="BNG358" s="92"/>
      <c r="BNH358" s="92"/>
      <c r="BNI358" s="92"/>
      <c r="BNJ358" s="92"/>
      <c r="BNK358" s="92"/>
      <c r="BNL358" s="92"/>
      <c r="BNM358" s="92"/>
      <c r="BNN358" s="92"/>
      <c r="BNO358" s="92"/>
      <c r="BNP358" s="92"/>
      <c r="BNQ358" s="92"/>
      <c r="BNR358" s="92"/>
      <c r="BNS358" s="92"/>
      <c r="BNT358" s="92"/>
      <c r="BNU358" s="92"/>
      <c r="BNV358" s="92"/>
      <c r="BNW358" s="92"/>
      <c r="BNX358" s="92"/>
      <c r="BNY358" s="92"/>
      <c r="BNZ358" s="92"/>
      <c r="BOA358" s="92"/>
      <c r="BOB358" s="92"/>
      <c r="BOC358" s="92"/>
      <c r="BOD358" s="92"/>
      <c r="BOE358" s="92"/>
      <c r="BOF358" s="92"/>
      <c r="BOG358" s="92"/>
      <c r="BOH358" s="92"/>
      <c r="BOI358" s="92"/>
      <c r="BOJ358" s="92"/>
      <c r="BOK358" s="92"/>
      <c r="BOL358" s="92"/>
      <c r="BOM358" s="92"/>
      <c r="BON358" s="92"/>
      <c r="BOO358" s="92"/>
      <c r="BOP358" s="92"/>
      <c r="BOQ358" s="92"/>
      <c r="BOR358" s="92"/>
      <c r="BOS358" s="92"/>
      <c r="BOT358" s="92"/>
      <c r="BOU358" s="92"/>
      <c r="BOV358" s="92"/>
      <c r="BOW358" s="92"/>
      <c r="BOX358" s="92"/>
      <c r="BOY358" s="92"/>
      <c r="BOZ358" s="92"/>
      <c r="BPA358" s="92"/>
      <c r="BPB358" s="92"/>
      <c r="BPC358" s="92"/>
      <c r="BPD358" s="92"/>
      <c r="BPE358" s="92"/>
      <c r="BPF358" s="92"/>
      <c r="BPG358" s="92"/>
      <c r="BPH358" s="92"/>
      <c r="BPI358" s="92"/>
      <c r="BPJ358" s="92"/>
      <c r="BPK358" s="92"/>
      <c r="BPL358" s="92"/>
      <c r="BPM358" s="92"/>
      <c r="BPN358" s="92"/>
      <c r="BPO358" s="92"/>
      <c r="BPP358" s="92"/>
      <c r="BPQ358" s="92"/>
      <c r="BPR358" s="92"/>
      <c r="BPS358" s="92"/>
      <c r="BPT358" s="92"/>
      <c r="BPU358" s="92"/>
      <c r="BPV358" s="92"/>
      <c r="BPW358" s="92"/>
      <c r="BPX358" s="92"/>
      <c r="BPY358" s="92"/>
      <c r="BPZ358" s="92"/>
      <c r="BQA358" s="92"/>
      <c r="BQB358" s="92"/>
      <c r="BQC358" s="92"/>
      <c r="BQD358" s="92"/>
      <c r="BQE358" s="92"/>
      <c r="BQF358" s="92"/>
      <c r="BQG358" s="92"/>
      <c r="BQH358" s="92"/>
      <c r="BQI358" s="92"/>
      <c r="BQJ358" s="92"/>
      <c r="BQK358" s="92"/>
      <c r="BQL358" s="92"/>
      <c r="BQM358" s="92"/>
      <c r="BQN358" s="92"/>
      <c r="BQO358" s="92"/>
      <c r="BQP358" s="92"/>
      <c r="BQQ358" s="92"/>
      <c r="BQR358" s="92"/>
      <c r="BQS358" s="92"/>
      <c r="BQT358" s="92"/>
      <c r="BQU358" s="92"/>
      <c r="BQV358" s="92"/>
      <c r="BQW358" s="92"/>
      <c r="BQX358" s="92"/>
      <c r="BQY358" s="92"/>
      <c r="BQZ358" s="92"/>
      <c r="BRA358" s="92"/>
      <c r="BRB358" s="92"/>
      <c r="BRC358" s="92"/>
      <c r="BRD358" s="92"/>
      <c r="BRE358" s="92"/>
      <c r="BRF358" s="92"/>
      <c r="BRG358" s="92"/>
      <c r="BRH358" s="92"/>
      <c r="BRI358" s="92"/>
      <c r="BRJ358" s="92"/>
      <c r="BRK358" s="92"/>
      <c r="BRL358" s="92"/>
      <c r="BRM358" s="92"/>
      <c r="BRN358" s="92"/>
      <c r="BRO358" s="92"/>
      <c r="BRP358" s="92"/>
      <c r="BRQ358" s="92"/>
      <c r="BRR358" s="92"/>
      <c r="BRS358" s="92"/>
      <c r="BRT358" s="92"/>
      <c r="BRU358" s="92"/>
      <c r="BRV358" s="92"/>
      <c r="BRW358" s="92"/>
      <c r="BRX358" s="92"/>
      <c r="BRY358" s="92"/>
      <c r="BRZ358" s="92"/>
      <c r="BSA358" s="92"/>
      <c r="BSB358" s="92"/>
      <c r="BSC358" s="92"/>
      <c r="BSD358" s="92"/>
      <c r="BSE358" s="92"/>
      <c r="BSF358" s="92"/>
      <c r="BSG358" s="92"/>
      <c r="BSH358" s="92"/>
      <c r="BSI358" s="92"/>
      <c r="BSJ358" s="92"/>
      <c r="BSK358" s="92"/>
      <c r="BSL358" s="92"/>
      <c r="BSM358" s="92"/>
      <c r="BSN358" s="92"/>
      <c r="BSO358" s="92"/>
      <c r="BSP358" s="92"/>
      <c r="BSQ358" s="92"/>
      <c r="BSR358" s="92"/>
      <c r="BSS358" s="92"/>
      <c r="BST358" s="92"/>
      <c r="BSU358" s="92"/>
      <c r="BSV358" s="92"/>
      <c r="BSW358" s="92"/>
      <c r="BSX358" s="92"/>
      <c r="BSY358" s="92"/>
      <c r="BSZ358" s="92"/>
      <c r="BTA358" s="92"/>
      <c r="BTB358" s="92"/>
      <c r="BTC358" s="92"/>
      <c r="BTD358" s="92"/>
      <c r="BTE358" s="92"/>
      <c r="BTF358" s="92"/>
      <c r="BTG358" s="92"/>
      <c r="BTH358" s="92"/>
      <c r="BTI358" s="92"/>
      <c r="BTJ358" s="92"/>
      <c r="BTK358" s="92"/>
      <c r="BTL358" s="92"/>
      <c r="BTM358" s="92"/>
      <c r="BTN358" s="92"/>
      <c r="BTO358" s="92"/>
      <c r="BTP358" s="92"/>
      <c r="BTQ358" s="92"/>
      <c r="BTR358" s="92"/>
      <c r="BTS358" s="92"/>
      <c r="BTT358" s="92"/>
      <c r="BTU358" s="92"/>
      <c r="BTV358" s="92"/>
      <c r="BTW358" s="92"/>
      <c r="BTX358" s="92"/>
      <c r="BTY358" s="92"/>
      <c r="BTZ358" s="92"/>
      <c r="BUA358" s="92"/>
      <c r="BUB358" s="92"/>
      <c r="BUC358" s="92"/>
      <c r="BUD358" s="92"/>
      <c r="BUE358" s="92"/>
      <c r="BUF358" s="92"/>
      <c r="BUG358" s="92"/>
      <c r="BUH358" s="92"/>
      <c r="BUI358" s="92"/>
      <c r="BUJ358" s="92"/>
      <c r="BUK358" s="92"/>
      <c r="BUL358" s="92"/>
      <c r="BUM358" s="92"/>
      <c r="BUN358" s="92"/>
      <c r="BUO358" s="92"/>
      <c r="BUP358" s="92"/>
      <c r="BUQ358" s="92"/>
      <c r="BUR358" s="92"/>
      <c r="BUS358" s="92"/>
      <c r="BUT358" s="92"/>
      <c r="BUU358" s="92"/>
      <c r="BUV358" s="92"/>
      <c r="BUW358" s="92"/>
      <c r="BUX358" s="92"/>
      <c r="BUY358" s="92"/>
      <c r="BUZ358" s="92"/>
      <c r="BVA358" s="92"/>
      <c r="BVB358" s="92"/>
      <c r="BVC358" s="92"/>
      <c r="BVD358" s="92"/>
      <c r="BVE358" s="92"/>
      <c r="BVF358" s="92"/>
      <c r="BVG358" s="92"/>
      <c r="BVH358" s="92"/>
      <c r="BVI358" s="92"/>
      <c r="BVJ358" s="92"/>
      <c r="BVK358" s="92"/>
      <c r="BVL358" s="92"/>
      <c r="BVM358" s="92"/>
      <c r="BVN358" s="92"/>
      <c r="BVO358" s="92"/>
      <c r="BVP358" s="92"/>
      <c r="BVQ358" s="92"/>
      <c r="BVR358" s="92"/>
      <c r="BVS358" s="92"/>
      <c r="BVT358" s="92"/>
      <c r="BVU358" s="92"/>
      <c r="BVV358" s="92"/>
      <c r="BVW358" s="92"/>
      <c r="BVX358" s="92"/>
      <c r="BVY358" s="92"/>
      <c r="BVZ358" s="92"/>
      <c r="BWA358" s="92"/>
      <c r="BWB358" s="92"/>
      <c r="BWC358" s="92"/>
      <c r="BWD358" s="92"/>
      <c r="BWE358" s="92"/>
      <c r="BWF358" s="92"/>
      <c r="BWG358" s="92"/>
      <c r="BWH358" s="92"/>
      <c r="BWI358" s="92"/>
      <c r="BWJ358" s="92"/>
      <c r="BWK358" s="92"/>
      <c r="BWL358" s="92"/>
      <c r="BWM358" s="92"/>
      <c r="BWN358" s="92"/>
      <c r="BWO358" s="92"/>
      <c r="BWP358" s="92"/>
      <c r="BWQ358" s="92"/>
      <c r="BWR358" s="92"/>
      <c r="BWS358" s="92"/>
      <c r="BWT358" s="92"/>
      <c r="BWU358" s="92"/>
      <c r="BWV358" s="92"/>
      <c r="BWW358" s="92"/>
      <c r="BWX358" s="92"/>
      <c r="BWY358" s="92"/>
      <c r="BWZ358" s="92"/>
      <c r="BXA358" s="92"/>
      <c r="BXB358" s="92"/>
      <c r="BXC358" s="92"/>
      <c r="BXD358" s="92"/>
      <c r="BXE358" s="92"/>
      <c r="BXF358" s="92"/>
      <c r="BXG358" s="92"/>
      <c r="BXH358" s="92"/>
      <c r="BXI358" s="92"/>
      <c r="BXJ358" s="92"/>
      <c r="BXK358" s="92"/>
      <c r="BXL358" s="92"/>
      <c r="BXM358" s="92"/>
      <c r="BXN358" s="92"/>
      <c r="BXO358" s="92"/>
      <c r="BXP358" s="92"/>
      <c r="BXQ358" s="92"/>
      <c r="BXR358" s="92"/>
      <c r="BXS358" s="92"/>
      <c r="BXT358" s="92"/>
      <c r="BXU358" s="92"/>
      <c r="BXV358" s="92"/>
      <c r="BXW358" s="92"/>
      <c r="BXX358" s="92"/>
      <c r="BXY358" s="92"/>
      <c r="BXZ358" s="92"/>
      <c r="BYA358" s="92"/>
      <c r="BYB358" s="92"/>
      <c r="BYC358" s="92"/>
      <c r="BYD358" s="92"/>
      <c r="BYE358" s="92"/>
      <c r="BYF358" s="92"/>
      <c r="BYG358" s="92"/>
      <c r="BYH358" s="92"/>
      <c r="BYI358" s="92"/>
      <c r="BYJ358" s="92"/>
      <c r="BYK358" s="92"/>
      <c r="BYL358" s="92"/>
      <c r="BYM358" s="92"/>
      <c r="BYN358" s="92"/>
      <c r="BYO358" s="92"/>
      <c r="BYP358" s="92"/>
      <c r="BYQ358" s="92"/>
      <c r="BYR358" s="92"/>
      <c r="BYS358" s="92"/>
      <c r="BYT358" s="92"/>
      <c r="BYU358" s="92"/>
      <c r="BYV358" s="92"/>
      <c r="BYW358" s="92"/>
      <c r="BYX358" s="92"/>
      <c r="BYY358" s="92"/>
      <c r="BYZ358" s="92"/>
      <c r="BZA358" s="92"/>
      <c r="BZB358" s="92"/>
      <c r="BZC358" s="92"/>
      <c r="BZD358" s="92"/>
      <c r="BZE358" s="92"/>
      <c r="BZF358" s="92"/>
      <c r="BZG358" s="92"/>
      <c r="BZH358" s="92"/>
      <c r="BZI358" s="92"/>
      <c r="BZJ358" s="92"/>
      <c r="BZK358" s="92"/>
      <c r="BZL358" s="92"/>
      <c r="BZM358" s="92"/>
      <c r="BZN358" s="92"/>
      <c r="BZO358" s="92"/>
      <c r="BZP358" s="92"/>
      <c r="BZQ358" s="92"/>
      <c r="BZR358" s="92"/>
      <c r="BZS358" s="92"/>
      <c r="BZT358" s="92"/>
      <c r="BZU358" s="92"/>
      <c r="BZV358" s="92"/>
      <c r="BZW358" s="92"/>
      <c r="BZX358" s="92"/>
      <c r="BZY358" s="92"/>
      <c r="BZZ358" s="92"/>
      <c r="CAA358" s="92"/>
      <c r="CAB358" s="92"/>
      <c r="CAC358" s="92"/>
      <c r="CAD358" s="92"/>
      <c r="CAE358" s="92"/>
      <c r="CAF358" s="92"/>
      <c r="CAG358" s="92"/>
      <c r="CAH358" s="92"/>
      <c r="CAI358" s="92"/>
      <c r="CAJ358" s="92"/>
      <c r="CAK358" s="92"/>
      <c r="CAL358" s="92"/>
      <c r="CAM358" s="92"/>
      <c r="CAN358" s="92"/>
      <c r="CAO358" s="92"/>
      <c r="CAP358" s="92"/>
      <c r="CAQ358" s="92"/>
      <c r="CAR358" s="92"/>
      <c r="CAS358" s="92"/>
      <c r="CAT358" s="92"/>
      <c r="CAU358" s="92"/>
      <c r="CAV358" s="92"/>
      <c r="CAW358" s="92"/>
      <c r="CAX358" s="92"/>
      <c r="CAY358" s="92"/>
      <c r="CAZ358" s="92"/>
      <c r="CBA358" s="92"/>
      <c r="CBB358" s="92"/>
      <c r="CBC358" s="92"/>
      <c r="CBD358" s="92"/>
      <c r="CBE358" s="92"/>
      <c r="CBF358" s="92"/>
      <c r="CBG358" s="92"/>
      <c r="CBH358" s="92"/>
      <c r="CBI358" s="92"/>
      <c r="CBJ358" s="92"/>
      <c r="CBK358" s="92"/>
      <c r="CBL358" s="92"/>
      <c r="CBM358" s="92"/>
      <c r="CBN358" s="92"/>
      <c r="CBO358" s="92"/>
      <c r="CBP358" s="92"/>
      <c r="CBQ358" s="92"/>
      <c r="CBR358" s="92"/>
      <c r="CBS358" s="92"/>
      <c r="CBT358" s="92"/>
      <c r="CBU358" s="92"/>
      <c r="CBV358" s="92"/>
      <c r="CBW358" s="92"/>
      <c r="CBX358" s="92"/>
      <c r="CBY358" s="92"/>
      <c r="CBZ358" s="92"/>
      <c r="CCA358" s="92"/>
      <c r="CCB358" s="92"/>
      <c r="CCC358" s="92"/>
      <c r="CCD358" s="92"/>
      <c r="CCE358" s="92"/>
      <c r="CCF358" s="92"/>
      <c r="CCG358" s="92"/>
      <c r="CCH358" s="92"/>
      <c r="CCI358" s="92"/>
      <c r="CCJ358" s="92"/>
      <c r="CCK358" s="92"/>
      <c r="CCL358" s="92"/>
      <c r="CCM358" s="92"/>
      <c r="CCN358" s="92"/>
      <c r="CCO358" s="92"/>
      <c r="CCP358" s="92"/>
      <c r="CCQ358" s="92"/>
      <c r="CCR358" s="92"/>
      <c r="CCS358" s="92"/>
      <c r="CCT358" s="92"/>
      <c r="CCU358" s="92"/>
      <c r="CCV358" s="92"/>
      <c r="CCW358" s="92"/>
      <c r="CCX358" s="92"/>
      <c r="CCY358" s="92"/>
      <c r="CCZ358" s="92"/>
      <c r="CDA358" s="92"/>
      <c r="CDB358" s="92"/>
      <c r="CDC358" s="92"/>
      <c r="CDD358" s="92"/>
      <c r="CDE358" s="92"/>
      <c r="CDF358" s="92"/>
      <c r="CDG358" s="92"/>
      <c r="CDH358" s="92"/>
      <c r="CDI358" s="92"/>
      <c r="CDJ358" s="92"/>
      <c r="CDK358" s="92"/>
      <c r="CDL358" s="92"/>
      <c r="CDM358" s="92"/>
      <c r="CDN358" s="92"/>
      <c r="CDO358" s="92"/>
      <c r="CDP358" s="92"/>
      <c r="CDQ358" s="92"/>
      <c r="CDR358" s="92"/>
      <c r="CDS358" s="92"/>
      <c r="CDT358" s="92"/>
      <c r="CDU358" s="92"/>
      <c r="CDV358" s="92"/>
      <c r="CDW358" s="92"/>
      <c r="CDX358" s="92"/>
      <c r="CDY358" s="92"/>
      <c r="CDZ358" s="92"/>
      <c r="CEA358" s="92"/>
      <c r="CEB358" s="92"/>
      <c r="CEC358" s="92"/>
      <c r="CED358" s="92"/>
      <c r="CEE358" s="92"/>
      <c r="CEF358" s="92"/>
      <c r="CEG358" s="92"/>
      <c r="CEH358" s="92"/>
      <c r="CEI358" s="92"/>
      <c r="CEJ358" s="92"/>
      <c r="CEK358" s="92"/>
      <c r="CEL358" s="92"/>
      <c r="CEM358" s="92"/>
      <c r="CEN358" s="92"/>
      <c r="CEO358" s="92"/>
      <c r="CEP358" s="92"/>
      <c r="CEQ358" s="92"/>
      <c r="CER358" s="92"/>
      <c r="CES358" s="92"/>
      <c r="CET358" s="92"/>
      <c r="CEU358" s="92"/>
      <c r="CEV358" s="92"/>
      <c r="CEW358" s="92"/>
      <c r="CEX358" s="92"/>
      <c r="CEY358" s="92"/>
      <c r="CEZ358" s="92"/>
      <c r="CFA358" s="92"/>
      <c r="CFB358" s="92"/>
      <c r="CFC358" s="92"/>
      <c r="CFD358" s="92"/>
      <c r="CFE358" s="92"/>
      <c r="CFF358" s="92"/>
      <c r="CFG358" s="92"/>
      <c r="CFH358" s="92"/>
      <c r="CFI358" s="92"/>
      <c r="CFJ358" s="92"/>
      <c r="CFK358" s="92"/>
      <c r="CFL358" s="92"/>
      <c r="CFM358" s="92"/>
      <c r="CFN358" s="92"/>
      <c r="CFO358" s="92"/>
      <c r="CFP358" s="92"/>
      <c r="CFQ358" s="92"/>
      <c r="CFR358" s="92"/>
      <c r="CFS358" s="92"/>
      <c r="CFT358" s="92"/>
      <c r="CFU358" s="92"/>
      <c r="CFV358" s="92"/>
      <c r="CFW358" s="92"/>
      <c r="CFX358" s="92"/>
      <c r="CFY358" s="92"/>
      <c r="CFZ358" s="92"/>
      <c r="CGA358" s="92"/>
      <c r="CGB358" s="92"/>
      <c r="CGC358" s="92"/>
      <c r="CGD358" s="92"/>
      <c r="CGE358" s="92"/>
      <c r="CGF358" s="92"/>
      <c r="CGG358" s="92"/>
      <c r="CGH358" s="92"/>
      <c r="CGI358" s="92"/>
      <c r="CGJ358" s="92"/>
      <c r="CGK358" s="92"/>
      <c r="CGL358" s="92"/>
      <c r="CGM358" s="92"/>
      <c r="CGN358" s="92"/>
      <c r="CGO358" s="92"/>
      <c r="CGP358" s="92"/>
      <c r="CGQ358" s="92"/>
      <c r="CGR358" s="92"/>
      <c r="CGS358" s="92"/>
      <c r="CGT358" s="92"/>
      <c r="CGU358" s="92"/>
      <c r="CGV358" s="92"/>
      <c r="CGW358" s="92"/>
      <c r="CGX358" s="92"/>
      <c r="CGY358" s="92"/>
      <c r="CGZ358" s="92"/>
      <c r="CHA358" s="92"/>
      <c r="CHB358" s="92"/>
      <c r="CHC358" s="92"/>
      <c r="CHD358" s="92"/>
      <c r="CHE358" s="92"/>
      <c r="CHF358" s="92"/>
      <c r="CHG358" s="92"/>
      <c r="CHH358" s="92"/>
      <c r="CHI358" s="92"/>
      <c r="CHJ358" s="92"/>
      <c r="CHK358" s="92"/>
      <c r="CHL358" s="92"/>
      <c r="CHM358" s="92"/>
      <c r="CHN358" s="92"/>
      <c r="CHO358" s="92"/>
      <c r="CHP358" s="92"/>
      <c r="CHQ358" s="92"/>
      <c r="CHR358" s="92"/>
      <c r="CHS358" s="92"/>
      <c r="CHT358" s="92"/>
      <c r="CHU358" s="92"/>
      <c r="CHV358" s="92"/>
      <c r="CHW358" s="92"/>
      <c r="CHX358" s="92"/>
      <c r="CHY358" s="92"/>
      <c r="CHZ358" s="92"/>
      <c r="CIA358" s="92"/>
      <c r="CIB358" s="92"/>
      <c r="CIC358" s="92"/>
      <c r="CID358" s="92"/>
      <c r="CIE358" s="92"/>
      <c r="CIF358" s="92"/>
      <c r="CIG358" s="92"/>
      <c r="CIH358" s="92"/>
      <c r="CII358" s="92"/>
      <c r="CIJ358" s="92"/>
      <c r="CIK358" s="92"/>
      <c r="CIL358" s="92"/>
      <c r="CIM358" s="92"/>
      <c r="CIN358" s="92"/>
      <c r="CIO358" s="92"/>
      <c r="CIP358" s="92"/>
      <c r="CIQ358" s="92"/>
      <c r="CIR358" s="92"/>
      <c r="CIS358" s="92"/>
      <c r="CIT358" s="92"/>
      <c r="CIU358" s="92"/>
      <c r="CIV358" s="92"/>
      <c r="CIW358" s="92"/>
      <c r="CIX358" s="92"/>
      <c r="CIY358" s="92"/>
      <c r="CIZ358" s="92"/>
      <c r="CJA358" s="92"/>
      <c r="CJB358" s="92"/>
      <c r="CJC358" s="92"/>
      <c r="CJD358" s="92"/>
      <c r="CJE358" s="92"/>
      <c r="CJF358" s="92"/>
      <c r="CJG358" s="92"/>
      <c r="CJH358" s="92"/>
      <c r="CJI358" s="92"/>
      <c r="CJJ358" s="92"/>
      <c r="CJK358" s="92"/>
      <c r="CJL358" s="92"/>
      <c r="CJM358" s="92"/>
      <c r="CJN358" s="92"/>
      <c r="CJO358" s="92"/>
      <c r="CJP358" s="92"/>
      <c r="CJQ358" s="92"/>
      <c r="CJR358" s="92"/>
      <c r="CJS358" s="92"/>
      <c r="CJT358" s="92"/>
      <c r="CJU358" s="92"/>
      <c r="CJV358" s="92"/>
      <c r="CJW358" s="92"/>
      <c r="CJX358" s="92"/>
      <c r="CJY358" s="92"/>
      <c r="CJZ358" s="92"/>
      <c r="CKA358" s="92"/>
      <c r="CKB358" s="92"/>
      <c r="CKC358" s="92"/>
      <c r="CKD358" s="92"/>
      <c r="CKE358" s="92"/>
      <c r="CKF358" s="92"/>
      <c r="CKG358" s="92"/>
      <c r="CKH358" s="92"/>
      <c r="CKI358" s="92"/>
      <c r="CKJ358" s="92"/>
      <c r="CKK358" s="92"/>
      <c r="CKL358" s="92"/>
      <c r="CKM358" s="92"/>
      <c r="CKN358" s="92"/>
      <c r="CKO358" s="92"/>
      <c r="CKP358" s="92"/>
      <c r="CKQ358" s="92"/>
      <c r="CKR358" s="92"/>
      <c r="CKS358" s="92"/>
      <c r="CKT358" s="92"/>
      <c r="CKU358" s="92"/>
      <c r="CKV358" s="92"/>
      <c r="CKW358" s="92"/>
      <c r="CKX358" s="92"/>
      <c r="CKY358" s="92"/>
      <c r="CKZ358" s="92"/>
      <c r="CLA358" s="92"/>
      <c r="CLB358" s="92"/>
      <c r="CLC358" s="92"/>
      <c r="CLD358" s="92"/>
      <c r="CLE358" s="92"/>
      <c r="CLF358" s="92"/>
      <c r="CLG358" s="92"/>
      <c r="CLH358" s="92"/>
      <c r="CLI358" s="92"/>
      <c r="CLJ358" s="92"/>
      <c r="CLK358" s="92"/>
      <c r="CLL358" s="92"/>
      <c r="CLM358" s="92"/>
      <c r="CLN358" s="92"/>
      <c r="CLO358" s="92"/>
      <c r="CLP358" s="92"/>
      <c r="CLQ358" s="92"/>
      <c r="CLR358" s="92"/>
      <c r="CLS358" s="92"/>
      <c r="CLT358" s="92"/>
      <c r="CLU358" s="92"/>
      <c r="CLV358" s="92"/>
      <c r="CLW358" s="92"/>
      <c r="CLX358" s="92"/>
      <c r="CLY358" s="92"/>
      <c r="CLZ358" s="92"/>
      <c r="CMA358" s="92"/>
      <c r="CMB358" s="92"/>
      <c r="CMC358" s="92"/>
      <c r="CMD358" s="92"/>
      <c r="CME358" s="92"/>
      <c r="CMF358" s="92"/>
      <c r="CMG358" s="92"/>
      <c r="CMH358" s="92"/>
      <c r="CMI358" s="92"/>
      <c r="CMJ358" s="92"/>
      <c r="CMK358" s="92"/>
      <c r="CML358" s="92"/>
      <c r="CMM358" s="92"/>
      <c r="CMN358" s="92"/>
      <c r="CMO358" s="92"/>
      <c r="CMP358" s="92"/>
      <c r="CMQ358" s="92"/>
      <c r="CMR358" s="92"/>
      <c r="CMS358" s="92"/>
      <c r="CMT358" s="92"/>
      <c r="CMU358" s="92"/>
      <c r="CMV358" s="92"/>
      <c r="CMW358" s="92"/>
      <c r="CMX358" s="92"/>
      <c r="CMY358" s="92"/>
      <c r="CMZ358" s="92"/>
      <c r="CNA358" s="92"/>
      <c r="CNB358" s="92"/>
      <c r="CNC358" s="92"/>
      <c r="CND358" s="92"/>
      <c r="CNE358" s="92"/>
      <c r="CNF358" s="92"/>
      <c r="CNG358" s="92"/>
      <c r="CNH358" s="92"/>
      <c r="CNI358" s="92"/>
      <c r="CNJ358" s="92"/>
      <c r="CNK358" s="92"/>
      <c r="CNL358" s="92"/>
      <c r="CNM358" s="92"/>
      <c r="CNN358" s="92"/>
      <c r="CNO358" s="92"/>
      <c r="CNP358" s="92"/>
      <c r="CNQ358" s="92"/>
      <c r="CNR358" s="92"/>
      <c r="CNS358" s="92"/>
      <c r="CNT358" s="92"/>
      <c r="CNU358" s="92"/>
      <c r="CNV358" s="92"/>
      <c r="CNW358" s="92"/>
      <c r="CNX358" s="92"/>
      <c r="CNY358" s="92"/>
      <c r="CNZ358" s="92"/>
      <c r="COA358" s="92"/>
      <c r="COB358" s="92"/>
      <c r="COC358" s="92"/>
      <c r="COD358" s="92"/>
      <c r="COE358" s="92"/>
      <c r="COF358" s="92"/>
      <c r="COG358" s="92"/>
      <c r="COH358" s="92"/>
      <c r="COI358" s="92"/>
      <c r="COJ358" s="92"/>
      <c r="COK358" s="92"/>
      <c r="COL358" s="92"/>
      <c r="COM358" s="92"/>
      <c r="CON358" s="92"/>
      <c r="COO358" s="92"/>
      <c r="COP358" s="92"/>
      <c r="COQ358" s="92"/>
      <c r="COR358" s="92"/>
      <c r="COS358" s="92"/>
      <c r="COT358" s="92"/>
      <c r="COU358" s="92"/>
      <c r="COV358" s="92"/>
      <c r="COW358" s="92"/>
      <c r="COX358" s="92"/>
      <c r="COY358" s="92"/>
      <c r="COZ358" s="92"/>
      <c r="CPA358" s="92"/>
      <c r="CPB358" s="92"/>
      <c r="CPC358" s="92"/>
      <c r="CPD358" s="92"/>
      <c r="CPE358" s="92"/>
      <c r="CPF358" s="92"/>
      <c r="CPG358" s="92"/>
      <c r="CPH358" s="92"/>
      <c r="CPI358" s="92"/>
      <c r="CPJ358" s="92"/>
      <c r="CPK358" s="92"/>
      <c r="CPL358" s="92"/>
      <c r="CPM358" s="92"/>
      <c r="CPN358" s="92"/>
      <c r="CPO358" s="92"/>
      <c r="CPP358" s="92"/>
      <c r="CPQ358" s="92"/>
      <c r="CPR358" s="92"/>
      <c r="CPS358" s="92"/>
      <c r="CPT358" s="92"/>
      <c r="CPU358" s="92"/>
      <c r="CPV358" s="92"/>
      <c r="CPW358" s="92"/>
      <c r="CPX358" s="92"/>
      <c r="CPY358" s="92"/>
      <c r="CPZ358" s="92"/>
      <c r="CQA358" s="92"/>
      <c r="CQB358" s="92"/>
      <c r="CQC358" s="92"/>
      <c r="CQD358" s="92"/>
      <c r="CQE358" s="92"/>
      <c r="CQF358" s="92"/>
      <c r="CQG358" s="92"/>
      <c r="CQH358" s="92"/>
      <c r="CQI358" s="92"/>
      <c r="CQJ358" s="92"/>
      <c r="CQK358" s="92"/>
      <c r="CQL358" s="92"/>
      <c r="CQM358" s="92"/>
      <c r="CQN358" s="92"/>
      <c r="CQO358" s="92"/>
      <c r="CQP358" s="92"/>
      <c r="CQQ358" s="92"/>
      <c r="CQR358" s="92"/>
      <c r="CQS358" s="92"/>
      <c r="CQT358" s="92"/>
      <c r="CQU358" s="92"/>
      <c r="CQV358" s="92"/>
      <c r="CQW358" s="92"/>
      <c r="CQX358" s="92"/>
      <c r="CQY358" s="92"/>
      <c r="CQZ358" s="92"/>
      <c r="CRA358" s="92"/>
      <c r="CRB358" s="92"/>
      <c r="CRC358" s="92"/>
      <c r="CRD358" s="92"/>
      <c r="CRE358" s="92"/>
      <c r="CRF358" s="92"/>
      <c r="CRG358" s="92"/>
      <c r="CRH358" s="92"/>
      <c r="CRI358" s="92"/>
      <c r="CRJ358" s="92"/>
      <c r="CRK358" s="92"/>
      <c r="CRL358" s="92"/>
      <c r="CRM358" s="92"/>
      <c r="CRN358" s="92"/>
      <c r="CRO358" s="92"/>
      <c r="CRP358" s="92"/>
      <c r="CRQ358" s="92"/>
      <c r="CRR358" s="92"/>
      <c r="CRS358" s="92"/>
      <c r="CRT358" s="92"/>
      <c r="CRU358" s="92"/>
      <c r="CRV358" s="92"/>
      <c r="CRW358" s="92"/>
      <c r="CRX358" s="92"/>
      <c r="CRY358" s="92"/>
      <c r="CRZ358" s="92"/>
      <c r="CSA358" s="92"/>
      <c r="CSB358" s="92"/>
      <c r="CSC358" s="92"/>
      <c r="CSD358" s="92"/>
      <c r="CSE358" s="92"/>
      <c r="CSF358" s="92"/>
      <c r="CSG358" s="92"/>
      <c r="CSH358" s="92"/>
      <c r="CSI358" s="92"/>
      <c r="CSJ358" s="92"/>
      <c r="CSK358" s="92"/>
      <c r="CSL358" s="92"/>
      <c r="CSM358" s="92"/>
      <c r="CSN358" s="92"/>
      <c r="CSO358" s="92"/>
      <c r="CSP358" s="92"/>
      <c r="CSQ358" s="92"/>
      <c r="CSR358" s="92"/>
      <c r="CSS358" s="92"/>
      <c r="CST358" s="92"/>
      <c r="CSU358" s="92"/>
      <c r="CSV358" s="92"/>
      <c r="CSW358" s="92"/>
      <c r="CSX358" s="92"/>
      <c r="CSY358" s="92"/>
      <c r="CSZ358" s="92"/>
      <c r="CTA358" s="92"/>
      <c r="CTB358" s="92"/>
      <c r="CTC358" s="92"/>
      <c r="CTD358" s="92"/>
      <c r="CTE358" s="92"/>
      <c r="CTF358" s="92"/>
      <c r="CTG358" s="92"/>
      <c r="CTH358" s="92"/>
      <c r="CTI358" s="92"/>
      <c r="CTJ358" s="92"/>
      <c r="CTK358" s="92"/>
      <c r="CTL358" s="92"/>
      <c r="CTM358" s="92"/>
      <c r="CTN358" s="92"/>
      <c r="CTO358" s="92"/>
      <c r="CTP358" s="92"/>
      <c r="CTQ358" s="92"/>
      <c r="CTR358" s="92"/>
      <c r="CTS358" s="92"/>
      <c r="CTT358" s="92"/>
      <c r="CTU358" s="92"/>
      <c r="CTV358" s="92"/>
      <c r="CTW358" s="92"/>
      <c r="CTX358" s="92"/>
      <c r="CTY358" s="92"/>
      <c r="CTZ358" s="92"/>
      <c r="CUA358" s="92"/>
      <c r="CUB358" s="92"/>
      <c r="CUC358" s="92"/>
      <c r="CUD358" s="92"/>
      <c r="CUE358" s="92"/>
      <c r="CUF358" s="92"/>
      <c r="CUG358" s="92"/>
      <c r="CUH358" s="92"/>
      <c r="CUI358" s="92"/>
      <c r="CUJ358" s="92"/>
      <c r="CUK358" s="92"/>
      <c r="CUL358" s="92"/>
      <c r="CUM358" s="92"/>
      <c r="CUN358" s="92"/>
      <c r="CUO358" s="92"/>
      <c r="CUP358" s="92"/>
      <c r="CUQ358" s="92"/>
      <c r="CUR358" s="92"/>
      <c r="CUS358" s="92"/>
      <c r="CUT358" s="92"/>
      <c r="CUU358" s="92"/>
      <c r="CUV358" s="92"/>
      <c r="CUW358" s="92"/>
      <c r="CUX358" s="92"/>
      <c r="CUY358" s="92"/>
      <c r="CUZ358" s="92"/>
      <c r="CVA358" s="92"/>
      <c r="CVB358" s="92"/>
      <c r="CVC358" s="92"/>
      <c r="CVD358" s="92"/>
      <c r="CVE358" s="92"/>
      <c r="CVF358" s="92"/>
      <c r="CVG358" s="92"/>
      <c r="CVH358" s="92"/>
      <c r="CVI358" s="92"/>
      <c r="CVJ358" s="92"/>
      <c r="CVK358" s="92"/>
      <c r="CVL358" s="92"/>
      <c r="CVM358" s="92"/>
      <c r="CVN358" s="92"/>
      <c r="CVO358" s="92"/>
      <c r="CVP358" s="92"/>
      <c r="CVQ358" s="92"/>
      <c r="CVR358" s="92"/>
      <c r="CVS358" s="92"/>
      <c r="CVT358" s="92"/>
      <c r="CVU358" s="92"/>
      <c r="CVV358" s="92"/>
      <c r="CVW358" s="92"/>
      <c r="CVX358" s="92"/>
      <c r="CVY358" s="92"/>
      <c r="CVZ358" s="92"/>
      <c r="CWA358" s="92"/>
      <c r="CWB358" s="92"/>
      <c r="CWC358" s="92"/>
      <c r="CWD358" s="92"/>
      <c r="CWE358" s="92"/>
      <c r="CWF358" s="92"/>
      <c r="CWG358" s="92"/>
      <c r="CWH358" s="92"/>
      <c r="CWI358" s="92"/>
      <c r="CWJ358" s="92"/>
      <c r="CWK358" s="92"/>
      <c r="CWL358" s="92"/>
      <c r="CWM358" s="92"/>
      <c r="CWN358" s="92"/>
      <c r="CWO358" s="92"/>
      <c r="CWP358" s="92"/>
      <c r="CWQ358" s="92"/>
      <c r="CWR358" s="92"/>
      <c r="CWS358" s="92"/>
      <c r="CWT358" s="92"/>
      <c r="CWU358" s="92"/>
      <c r="CWV358" s="92"/>
      <c r="CWW358" s="92"/>
      <c r="CWX358" s="92"/>
      <c r="CWY358" s="92"/>
      <c r="CWZ358" s="92"/>
      <c r="CXA358" s="92"/>
      <c r="CXB358" s="92"/>
      <c r="CXC358" s="92"/>
      <c r="CXD358" s="92"/>
      <c r="CXE358" s="92"/>
      <c r="CXF358" s="92"/>
      <c r="CXG358" s="92"/>
      <c r="CXH358" s="92"/>
      <c r="CXI358" s="92"/>
      <c r="CXJ358" s="92"/>
      <c r="CXK358" s="92"/>
      <c r="CXL358" s="92"/>
      <c r="CXM358" s="92"/>
      <c r="CXN358" s="92"/>
      <c r="CXO358" s="92"/>
      <c r="CXP358" s="92"/>
      <c r="CXQ358" s="92"/>
      <c r="CXR358" s="92"/>
      <c r="CXS358" s="92"/>
      <c r="CXT358" s="92"/>
      <c r="CXU358" s="92"/>
      <c r="CXV358" s="92"/>
      <c r="CXW358" s="92"/>
      <c r="CXX358" s="92"/>
      <c r="CXY358" s="92"/>
      <c r="CXZ358" s="92"/>
      <c r="CYA358" s="92"/>
      <c r="CYB358" s="92"/>
      <c r="CYC358" s="92"/>
      <c r="CYD358" s="92"/>
      <c r="CYE358" s="92"/>
      <c r="CYF358" s="92"/>
      <c r="CYG358" s="92"/>
      <c r="CYH358" s="92"/>
      <c r="CYI358" s="92"/>
      <c r="CYJ358" s="92"/>
      <c r="CYK358" s="92"/>
      <c r="CYL358" s="92"/>
      <c r="CYM358" s="92"/>
      <c r="CYN358" s="92"/>
      <c r="CYO358" s="92"/>
      <c r="CYP358" s="92"/>
      <c r="CYQ358" s="92"/>
      <c r="CYR358" s="92"/>
      <c r="CYS358" s="92"/>
      <c r="CYT358" s="92"/>
      <c r="CYU358" s="92"/>
      <c r="CYV358" s="92"/>
      <c r="CYW358" s="92"/>
      <c r="CYX358" s="92"/>
      <c r="CYY358" s="92"/>
      <c r="CYZ358" s="92"/>
      <c r="CZA358" s="92"/>
      <c r="CZB358" s="92"/>
      <c r="CZC358" s="92"/>
      <c r="CZD358" s="92"/>
      <c r="CZE358" s="92"/>
      <c r="CZF358" s="92"/>
      <c r="CZG358" s="92"/>
      <c r="CZH358" s="92"/>
      <c r="CZI358" s="92"/>
      <c r="CZJ358" s="92"/>
      <c r="CZK358" s="92"/>
      <c r="CZL358" s="92"/>
      <c r="CZM358" s="92"/>
      <c r="CZN358" s="92"/>
      <c r="CZO358" s="92"/>
      <c r="CZP358" s="92"/>
      <c r="CZQ358" s="92"/>
      <c r="CZR358" s="92"/>
      <c r="CZS358" s="92"/>
      <c r="CZT358" s="92"/>
      <c r="CZU358" s="92"/>
      <c r="CZV358" s="92"/>
      <c r="CZW358" s="92"/>
      <c r="CZX358" s="92"/>
      <c r="CZY358" s="92"/>
      <c r="CZZ358" s="92"/>
      <c r="DAA358" s="92"/>
      <c r="DAB358" s="92"/>
      <c r="DAC358" s="92"/>
      <c r="DAD358" s="92"/>
      <c r="DAE358" s="92"/>
      <c r="DAF358" s="92"/>
      <c r="DAG358" s="92"/>
      <c r="DAH358" s="92"/>
      <c r="DAI358" s="92"/>
      <c r="DAJ358" s="92"/>
      <c r="DAK358" s="92"/>
      <c r="DAL358" s="92"/>
      <c r="DAM358" s="92"/>
      <c r="DAN358" s="92"/>
      <c r="DAO358" s="92"/>
      <c r="DAP358" s="92"/>
      <c r="DAQ358" s="92"/>
      <c r="DAR358" s="92"/>
      <c r="DAS358" s="92"/>
      <c r="DAT358" s="92"/>
      <c r="DAU358" s="92"/>
      <c r="DAV358" s="92"/>
      <c r="DAW358" s="92"/>
      <c r="DAX358" s="92"/>
      <c r="DAY358" s="92"/>
      <c r="DAZ358" s="92"/>
      <c r="DBA358" s="92"/>
      <c r="DBB358" s="92"/>
      <c r="DBC358" s="92"/>
      <c r="DBD358" s="92"/>
      <c r="DBE358" s="92"/>
      <c r="DBF358" s="92"/>
      <c r="DBG358" s="92"/>
      <c r="DBH358" s="92"/>
      <c r="DBI358" s="92"/>
      <c r="DBJ358" s="92"/>
      <c r="DBK358" s="92"/>
      <c r="DBL358" s="92"/>
      <c r="DBM358" s="92"/>
      <c r="DBN358" s="92"/>
      <c r="DBO358" s="92"/>
      <c r="DBP358" s="92"/>
      <c r="DBQ358" s="92"/>
      <c r="DBR358" s="92"/>
      <c r="DBS358" s="92"/>
      <c r="DBT358" s="92"/>
      <c r="DBU358" s="92"/>
      <c r="DBV358" s="92"/>
      <c r="DBW358" s="92"/>
      <c r="DBX358" s="92"/>
      <c r="DBY358" s="92"/>
      <c r="DBZ358" s="92"/>
      <c r="DCA358" s="92"/>
      <c r="DCB358" s="92"/>
      <c r="DCC358" s="92"/>
      <c r="DCD358" s="92"/>
      <c r="DCE358" s="92"/>
      <c r="DCF358" s="92"/>
      <c r="DCG358" s="92"/>
      <c r="DCH358" s="92"/>
      <c r="DCI358" s="92"/>
      <c r="DCJ358" s="92"/>
      <c r="DCK358" s="92"/>
      <c r="DCL358" s="92"/>
      <c r="DCM358" s="92"/>
      <c r="DCN358" s="92"/>
      <c r="DCO358" s="92"/>
      <c r="DCP358" s="92"/>
      <c r="DCQ358" s="92"/>
      <c r="DCR358" s="92"/>
      <c r="DCS358" s="92"/>
      <c r="DCT358" s="92"/>
      <c r="DCU358" s="92"/>
      <c r="DCV358" s="92"/>
      <c r="DCW358" s="92"/>
      <c r="DCX358" s="92"/>
      <c r="DCY358" s="92"/>
      <c r="DCZ358" s="92"/>
      <c r="DDA358" s="92"/>
      <c r="DDB358" s="92"/>
      <c r="DDC358" s="92"/>
      <c r="DDD358" s="92"/>
      <c r="DDE358" s="92"/>
      <c r="DDF358" s="92"/>
      <c r="DDG358" s="92"/>
      <c r="DDH358" s="92"/>
      <c r="DDI358" s="92"/>
      <c r="DDJ358" s="92"/>
      <c r="DDK358" s="92"/>
      <c r="DDL358" s="92"/>
      <c r="DDM358" s="92"/>
      <c r="DDN358" s="92"/>
      <c r="DDO358" s="92"/>
      <c r="DDP358" s="92"/>
      <c r="DDQ358" s="92"/>
      <c r="DDR358" s="92"/>
      <c r="DDS358" s="92"/>
      <c r="DDT358" s="92"/>
      <c r="DDU358" s="92"/>
      <c r="DDV358" s="92"/>
      <c r="DDW358" s="92"/>
      <c r="DDX358" s="92"/>
      <c r="DDY358" s="92"/>
      <c r="DDZ358" s="92"/>
      <c r="DEA358" s="92"/>
      <c r="DEB358" s="92"/>
      <c r="DEC358" s="92"/>
      <c r="DED358" s="92"/>
      <c r="DEE358" s="92"/>
      <c r="DEF358" s="92"/>
      <c r="DEG358" s="92"/>
      <c r="DEH358" s="92"/>
      <c r="DEI358" s="92"/>
      <c r="DEJ358" s="92"/>
      <c r="DEK358" s="92"/>
      <c r="DEL358" s="92"/>
      <c r="DEM358" s="92"/>
      <c r="DEN358" s="92"/>
      <c r="DEO358" s="92"/>
      <c r="DEP358" s="92"/>
      <c r="DEQ358" s="92"/>
      <c r="DER358" s="92"/>
      <c r="DES358" s="92"/>
      <c r="DET358" s="92"/>
      <c r="DEU358" s="92"/>
      <c r="DEV358" s="92"/>
      <c r="DEW358" s="92"/>
      <c r="DEX358" s="92"/>
      <c r="DEY358" s="92"/>
      <c r="DEZ358" s="92"/>
      <c r="DFA358" s="92"/>
      <c r="DFB358" s="92"/>
      <c r="DFC358" s="92"/>
      <c r="DFD358" s="92"/>
      <c r="DFE358" s="92"/>
      <c r="DFF358" s="92"/>
      <c r="DFG358" s="92"/>
      <c r="DFH358" s="92"/>
      <c r="DFI358" s="92"/>
      <c r="DFJ358" s="92"/>
      <c r="DFK358" s="92"/>
      <c r="DFL358" s="92"/>
      <c r="DFM358" s="92"/>
      <c r="DFN358" s="92"/>
      <c r="DFO358" s="92"/>
      <c r="DFP358" s="92"/>
      <c r="DFQ358" s="92"/>
      <c r="DFR358" s="92"/>
      <c r="DFS358" s="92"/>
      <c r="DFT358" s="92"/>
      <c r="DFU358" s="92"/>
      <c r="DFV358" s="92"/>
      <c r="DFW358" s="92"/>
      <c r="DFX358" s="92"/>
      <c r="DFY358" s="92"/>
      <c r="DFZ358" s="92"/>
      <c r="DGA358" s="92"/>
      <c r="DGB358" s="92"/>
      <c r="DGC358" s="92"/>
      <c r="DGD358" s="92"/>
      <c r="DGE358" s="92"/>
      <c r="DGF358" s="92"/>
      <c r="DGG358" s="92"/>
      <c r="DGH358" s="92"/>
      <c r="DGI358" s="92"/>
      <c r="DGJ358" s="92"/>
      <c r="DGK358" s="92"/>
      <c r="DGL358" s="92"/>
      <c r="DGM358" s="92"/>
      <c r="DGN358" s="92"/>
      <c r="DGO358" s="92"/>
      <c r="DGP358" s="92"/>
      <c r="DGQ358" s="92"/>
      <c r="DGR358" s="92"/>
      <c r="DGS358" s="92"/>
      <c r="DGT358" s="92"/>
      <c r="DGU358" s="92"/>
      <c r="DGV358" s="92"/>
      <c r="DGW358" s="92"/>
      <c r="DGX358" s="92"/>
      <c r="DGY358" s="92"/>
      <c r="DGZ358" s="92"/>
      <c r="DHA358" s="92"/>
      <c r="DHB358" s="92"/>
      <c r="DHC358" s="92"/>
      <c r="DHD358" s="92"/>
      <c r="DHE358" s="92"/>
      <c r="DHF358" s="92"/>
      <c r="DHG358" s="92"/>
      <c r="DHH358" s="92"/>
      <c r="DHI358" s="92"/>
      <c r="DHJ358" s="92"/>
      <c r="DHK358" s="92"/>
      <c r="DHL358" s="92"/>
      <c r="DHM358" s="92"/>
      <c r="DHN358" s="92"/>
      <c r="DHO358" s="92"/>
      <c r="DHP358" s="92"/>
      <c r="DHQ358" s="92"/>
      <c r="DHR358" s="92"/>
      <c r="DHS358" s="92"/>
      <c r="DHT358" s="92"/>
      <c r="DHU358" s="92"/>
      <c r="DHV358" s="92"/>
      <c r="DHW358" s="92"/>
      <c r="DHX358" s="92"/>
      <c r="DHY358" s="92"/>
      <c r="DHZ358" s="92"/>
      <c r="DIA358" s="92"/>
      <c r="DIB358" s="92"/>
      <c r="DIC358" s="92"/>
      <c r="DID358" s="92"/>
      <c r="DIE358" s="92"/>
      <c r="DIF358" s="92"/>
      <c r="DIG358" s="92"/>
      <c r="DIH358" s="92"/>
      <c r="DII358" s="92"/>
      <c r="DIJ358" s="92"/>
      <c r="DIK358" s="92"/>
      <c r="DIL358" s="92"/>
      <c r="DIM358" s="92"/>
      <c r="DIN358" s="92"/>
      <c r="DIO358" s="92"/>
      <c r="DIP358" s="92"/>
      <c r="DIQ358" s="92"/>
      <c r="DIR358" s="92"/>
      <c r="DIS358" s="92"/>
      <c r="DIT358" s="92"/>
      <c r="DIU358" s="92"/>
      <c r="DIV358" s="92"/>
      <c r="DIW358" s="92"/>
      <c r="DIX358" s="92"/>
      <c r="DIY358" s="92"/>
      <c r="DIZ358" s="92"/>
      <c r="DJA358" s="92"/>
      <c r="DJB358" s="92"/>
      <c r="DJC358" s="92"/>
      <c r="DJD358" s="92"/>
      <c r="DJE358" s="92"/>
      <c r="DJF358" s="92"/>
      <c r="DJG358" s="92"/>
      <c r="DJH358" s="92"/>
      <c r="DJI358" s="92"/>
      <c r="DJJ358" s="92"/>
      <c r="DJK358" s="92"/>
      <c r="DJL358" s="92"/>
      <c r="DJM358" s="92"/>
      <c r="DJN358" s="92"/>
      <c r="DJO358" s="92"/>
      <c r="DJP358" s="92"/>
      <c r="DJQ358" s="92"/>
      <c r="DJR358" s="92"/>
      <c r="DJS358" s="92"/>
      <c r="DJT358" s="92"/>
      <c r="DJU358" s="92"/>
      <c r="DJV358" s="92"/>
      <c r="DJW358" s="92"/>
      <c r="DJX358" s="92"/>
      <c r="DJY358" s="92"/>
      <c r="DJZ358" s="92"/>
      <c r="DKA358" s="92"/>
      <c r="DKB358" s="92"/>
      <c r="DKC358" s="92"/>
      <c r="DKD358" s="92"/>
      <c r="DKE358" s="92"/>
      <c r="DKF358" s="92"/>
      <c r="DKG358" s="92"/>
      <c r="DKH358" s="92"/>
      <c r="DKI358" s="92"/>
      <c r="DKJ358" s="92"/>
      <c r="DKK358" s="92"/>
      <c r="DKL358" s="92"/>
      <c r="DKM358" s="92"/>
      <c r="DKN358" s="92"/>
      <c r="DKO358" s="92"/>
      <c r="DKP358" s="92"/>
      <c r="DKQ358" s="92"/>
      <c r="DKR358" s="92"/>
      <c r="DKS358" s="92"/>
      <c r="DKT358" s="92"/>
      <c r="DKU358" s="92"/>
      <c r="DKV358" s="92"/>
      <c r="DKW358" s="92"/>
      <c r="DKX358" s="92"/>
      <c r="DKY358" s="92"/>
      <c r="DKZ358" s="92"/>
      <c r="DLA358" s="92"/>
      <c r="DLB358" s="92"/>
      <c r="DLC358" s="92"/>
      <c r="DLD358" s="92"/>
      <c r="DLE358" s="92"/>
      <c r="DLF358" s="92"/>
      <c r="DLG358" s="92"/>
      <c r="DLH358" s="92"/>
      <c r="DLI358" s="92"/>
      <c r="DLJ358" s="92"/>
      <c r="DLK358" s="92"/>
      <c r="DLL358" s="92"/>
      <c r="DLM358" s="92"/>
      <c r="DLN358" s="92"/>
      <c r="DLO358" s="92"/>
      <c r="DLP358" s="92"/>
      <c r="DLQ358" s="92"/>
      <c r="DLR358" s="92"/>
      <c r="DLS358" s="92"/>
      <c r="DLT358" s="92"/>
      <c r="DLU358" s="92"/>
      <c r="DLV358" s="92"/>
      <c r="DLW358" s="92"/>
      <c r="DLX358" s="92"/>
      <c r="DLY358" s="92"/>
      <c r="DLZ358" s="92"/>
      <c r="DMA358" s="92"/>
      <c r="DMB358" s="92"/>
      <c r="DMC358" s="92"/>
      <c r="DMD358" s="92"/>
      <c r="DME358" s="92"/>
      <c r="DMF358" s="92"/>
      <c r="DMG358" s="92"/>
      <c r="DMH358" s="92"/>
      <c r="DMI358" s="92"/>
      <c r="DMJ358" s="92"/>
      <c r="DMK358" s="92"/>
      <c r="DML358" s="92"/>
      <c r="DMM358" s="92"/>
      <c r="DMN358" s="92"/>
      <c r="DMO358" s="92"/>
      <c r="DMP358" s="92"/>
      <c r="DMQ358" s="92"/>
      <c r="DMR358" s="92"/>
      <c r="DMS358" s="92"/>
      <c r="DMT358" s="92"/>
      <c r="DMU358" s="92"/>
      <c r="DMV358" s="92"/>
      <c r="DMW358" s="92"/>
      <c r="DMX358" s="92"/>
      <c r="DMY358" s="92"/>
      <c r="DMZ358" s="92"/>
      <c r="DNA358" s="92"/>
      <c r="DNB358" s="92"/>
      <c r="DNC358" s="92"/>
      <c r="DND358" s="92"/>
      <c r="DNE358" s="92"/>
      <c r="DNF358" s="92"/>
      <c r="DNG358" s="92"/>
      <c r="DNH358" s="92"/>
      <c r="DNI358" s="92"/>
      <c r="DNJ358" s="92"/>
      <c r="DNK358" s="92"/>
      <c r="DNL358" s="92"/>
      <c r="DNM358" s="92"/>
      <c r="DNN358" s="92"/>
      <c r="DNO358" s="92"/>
      <c r="DNP358" s="92"/>
      <c r="DNQ358" s="92"/>
      <c r="DNR358" s="92"/>
      <c r="DNS358" s="92"/>
      <c r="DNT358" s="92"/>
      <c r="DNU358" s="92"/>
      <c r="DNV358" s="92"/>
      <c r="DNW358" s="92"/>
      <c r="DNX358" s="92"/>
      <c r="DNY358" s="92"/>
      <c r="DNZ358" s="92"/>
      <c r="DOA358" s="92"/>
      <c r="DOB358" s="92"/>
      <c r="DOC358" s="92"/>
      <c r="DOD358" s="92"/>
      <c r="DOE358" s="92"/>
      <c r="DOF358" s="92"/>
      <c r="DOG358" s="92"/>
      <c r="DOH358" s="92"/>
      <c r="DOI358" s="92"/>
      <c r="DOJ358" s="92"/>
      <c r="DOK358" s="92"/>
      <c r="DOL358" s="92"/>
      <c r="DOM358" s="92"/>
      <c r="DON358" s="92"/>
      <c r="DOO358" s="92"/>
      <c r="DOP358" s="92"/>
      <c r="DOQ358" s="92"/>
      <c r="DOR358" s="92"/>
      <c r="DOS358" s="92"/>
      <c r="DOT358" s="92"/>
      <c r="DOU358" s="92"/>
      <c r="DOV358" s="92"/>
      <c r="DOW358" s="92"/>
      <c r="DOX358" s="92"/>
      <c r="DOY358" s="92"/>
      <c r="DOZ358" s="92"/>
      <c r="DPA358" s="92"/>
      <c r="DPB358" s="92"/>
      <c r="DPC358" s="92"/>
      <c r="DPD358" s="92"/>
      <c r="DPE358" s="92"/>
      <c r="DPF358" s="92"/>
      <c r="DPG358" s="92"/>
      <c r="DPH358" s="92"/>
      <c r="DPI358" s="92"/>
      <c r="DPJ358" s="92"/>
      <c r="DPK358" s="92"/>
      <c r="DPL358" s="92"/>
      <c r="DPM358" s="92"/>
      <c r="DPN358" s="92"/>
      <c r="DPO358" s="92"/>
      <c r="DPP358" s="92"/>
      <c r="DPQ358" s="92"/>
      <c r="DPR358" s="92"/>
      <c r="DPS358" s="92"/>
      <c r="DPT358" s="92"/>
      <c r="DPU358" s="92"/>
      <c r="DPV358" s="92"/>
      <c r="DPW358" s="92"/>
      <c r="DPX358" s="92"/>
      <c r="DPY358" s="92"/>
      <c r="DPZ358" s="92"/>
      <c r="DQA358" s="92"/>
      <c r="DQB358" s="92"/>
      <c r="DQC358" s="92"/>
      <c r="DQD358" s="92"/>
      <c r="DQE358" s="92"/>
      <c r="DQF358" s="92"/>
      <c r="DQG358" s="92"/>
      <c r="DQH358" s="92"/>
      <c r="DQI358" s="92"/>
      <c r="DQJ358" s="92"/>
      <c r="DQK358" s="92"/>
      <c r="DQL358" s="92"/>
      <c r="DQM358" s="92"/>
      <c r="DQN358" s="92"/>
      <c r="DQO358" s="92"/>
      <c r="DQP358" s="92"/>
      <c r="DQQ358" s="92"/>
      <c r="DQR358" s="92"/>
      <c r="DQS358" s="92"/>
      <c r="DQT358" s="92"/>
      <c r="DQU358" s="92"/>
      <c r="DQV358" s="92"/>
      <c r="DQW358" s="92"/>
      <c r="DQX358" s="92"/>
      <c r="DQY358" s="92"/>
      <c r="DQZ358" s="92"/>
      <c r="DRA358" s="92"/>
      <c r="DRB358" s="92"/>
      <c r="DRC358" s="92"/>
      <c r="DRD358" s="92"/>
      <c r="DRE358" s="92"/>
      <c r="DRF358" s="92"/>
      <c r="DRG358" s="92"/>
      <c r="DRH358" s="92"/>
      <c r="DRI358" s="92"/>
      <c r="DRJ358" s="92"/>
      <c r="DRK358" s="92"/>
      <c r="DRL358" s="92"/>
      <c r="DRM358" s="92"/>
      <c r="DRN358" s="92"/>
      <c r="DRO358" s="92"/>
      <c r="DRP358" s="92"/>
      <c r="DRQ358" s="92"/>
      <c r="DRR358" s="92"/>
      <c r="DRS358" s="92"/>
      <c r="DRT358" s="92"/>
      <c r="DRU358" s="92"/>
      <c r="DRV358" s="92"/>
      <c r="DRW358" s="92"/>
      <c r="DRX358" s="92"/>
      <c r="DRY358" s="92"/>
      <c r="DRZ358" s="92"/>
      <c r="DSA358" s="92"/>
      <c r="DSB358" s="92"/>
      <c r="DSC358" s="92"/>
      <c r="DSD358" s="92"/>
      <c r="DSE358" s="92"/>
      <c r="DSF358" s="92"/>
      <c r="DSG358" s="92"/>
      <c r="DSH358" s="92"/>
      <c r="DSI358" s="92"/>
      <c r="DSJ358" s="92"/>
      <c r="DSK358" s="92"/>
      <c r="DSL358" s="92"/>
      <c r="DSM358" s="92"/>
      <c r="DSN358" s="92"/>
      <c r="DSO358" s="92"/>
      <c r="DSP358" s="92"/>
      <c r="DSQ358" s="92"/>
      <c r="DSR358" s="92"/>
      <c r="DSS358" s="92"/>
      <c r="DST358" s="92"/>
      <c r="DSU358" s="92"/>
      <c r="DSV358" s="92"/>
      <c r="DSW358" s="92"/>
      <c r="DSX358" s="92"/>
      <c r="DSY358" s="92"/>
      <c r="DSZ358" s="92"/>
      <c r="DTA358" s="92"/>
      <c r="DTB358" s="92"/>
      <c r="DTC358" s="92"/>
      <c r="DTD358" s="92"/>
      <c r="DTE358" s="92"/>
      <c r="DTF358" s="92"/>
      <c r="DTG358" s="92"/>
      <c r="DTH358" s="92"/>
      <c r="DTI358" s="92"/>
      <c r="DTJ358" s="92"/>
      <c r="DTK358" s="92"/>
      <c r="DTL358" s="92"/>
      <c r="DTM358" s="92"/>
      <c r="DTN358" s="92"/>
      <c r="DTO358" s="92"/>
      <c r="DTP358" s="92"/>
      <c r="DTQ358" s="92"/>
      <c r="DTR358" s="92"/>
      <c r="DTS358" s="92"/>
      <c r="DTT358" s="92"/>
      <c r="DTU358" s="92"/>
      <c r="DTV358" s="92"/>
      <c r="DTW358" s="92"/>
      <c r="DTX358" s="92"/>
      <c r="DTY358" s="92"/>
      <c r="DTZ358" s="92"/>
      <c r="DUA358" s="92"/>
      <c r="DUB358" s="92"/>
      <c r="DUC358" s="92"/>
      <c r="DUD358" s="92"/>
      <c r="DUE358" s="92"/>
      <c r="DUF358" s="92"/>
      <c r="DUG358" s="92"/>
      <c r="DUH358" s="92"/>
      <c r="DUI358" s="92"/>
      <c r="DUJ358" s="92"/>
      <c r="DUK358" s="92"/>
      <c r="DUL358" s="92"/>
      <c r="DUM358" s="92"/>
      <c r="DUN358" s="92"/>
      <c r="DUO358" s="92"/>
      <c r="DUP358" s="92"/>
      <c r="DUQ358" s="92"/>
      <c r="DUR358" s="92"/>
      <c r="DUS358" s="92"/>
      <c r="DUT358" s="92"/>
      <c r="DUU358" s="92"/>
      <c r="DUV358" s="92"/>
      <c r="DUW358" s="92"/>
      <c r="DUX358" s="92"/>
      <c r="DUY358" s="92"/>
      <c r="DUZ358" s="92"/>
      <c r="DVA358" s="92"/>
      <c r="DVB358" s="92"/>
      <c r="DVC358" s="92"/>
      <c r="DVD358" s="92"/>
      <c r="DVE358" s="92"/>
      <c r="DVF358" s="92"/>
      <c r="DVG358" s="92"/>
      <c r="DVH358" s="92"/>
      <c r="DVI358" s="92"/>
      <c r="DVJ358" s="92"/>
      <c r="DVK358" s="92"/>
      <c r="DVL358" s="92"/>
      <c r="DVM358" s="92"/>
      <c r="DVN358" s="92"/>
      <c r="DVO358" s="92"/>
      <c r="DVP358" s="92"/>
      <c r="DVQ358" s="92"/>
      <c r="DVR358" s="92"/>
      <c r="DVS358" s="92"/>
      <c r="DVT358" s="92"/>
      <c r="DVU358" s="92"/>
      <c r="DVV358" s="92"/>
      <c r="DVW358" s="92"/>
      <c r="DVX358" s="92"/>
      <c r="DVY358" s="92"/>
      <c r="DVZ358" s="92"/>
      <c r="DWA358" s="92"/>
      <c r="DWB358" s="92"/>
      <c r="DWC358" s="92"/>
      <c r="DWD358" s="92"/>
      <c r="DWE358" s="92"/>
      <c r="DWF358" s="92"/>
      <c r="DWG358" s="92"/>
      <c r="DWH358" s="92"/>
      <c r="DWI358" s="92"/>
      <c r="DWJ358" s="92"/>
      <c r="DWK358" s="92"/>
      <c r="DWL358" s="92"/>
      <c r="DWM358" s="92"/>
      <c r="DWN358" s="92"/>
      <c r="DWO358" s="92"/>
      <c r="DWP358" s="92"/>
      <c r="DWQ358" s="92"/>
      <c r="DWR358" s="92"/>
      <c r="DWS358" s="92"/>
      <c r="DWT358" s="92"/>
      <c r="DWU358" s="92"/>
      <c r="DWV358" s="92"/>
      <c r="DWW358" s="92"/>
      <c r="DWX358" s="92"/>
      <c r="DWY358" s="92"/>
      <c r="DWZ358" s="92"/>
      <c r="DXA358" s="92"/>
      <c r="DXB358" s="92"/>
      <c r="DXC358" s="92"/>
      <c r="DXD358" s="92"/>
      <c r="DXE358" s="92"/>
      <c r="DXF358" s="92"/>
      <c r="DXG358" s="92"/>
      <c r="DXH358" s="92"/>
      <c r="DXI358" s="92"/>
      <c r="DXJ358" s="92"/>
      <c r="DXK358" s="92"/>
      <c r="DXL358" s="92"/>
      <c r="DXM358" s="92"/>
      <c r="DXN358" s="92"/>
      <c r="DXO358" s="92"/>
      <c r="DXP358" s="92"/>
      <c r="DXQ358" s="92"/>
      <c r="DXR358" s="92"/>
      <c r="DXS358" s="92"/>
      <c r="DXT358" s="92"/>
      <c r="DXU358" s="92"/>
      <c r="DXV358" s="92"/>
      <c r="DXW358" s="92"/>
      <c r="DXX358" s="92"/>
      <c r="DXY358" s="92"/>
      <c r="DXZ358" s="92"/>
      <c r="DYA358" s="92"/>
      <c r="DYB358" s="92"/>
      <c r="DYC358" s="92"/>
      <c r="DYD358" s="92"/>
      <c r="DYE358" s="92"/>
      <c r="DYF358" s="92"/>
      <c r="DYG358" s="92"/>
      <c r="DYH358" s="92"/>
      <c r="DYI358" s="92"/>
      <c r="DYJ358" s="92"/>
      <c r="DYK358" s="92"/>
      <c r="DYL358" s="92"/>
      <c r="DYM358" s="92"/>
      <c r="DYN358" s="92"/>
      <c r="DYO358" s="92"/>
      <c r="DYP358" s="92"/>
      <c r="DYQ358" s="92"/>
      <c r="DYR358" s="92"/>
      <c r="DYS358" s="92"/>
      <c r="DYT358" s="92"/>
      <c r="DYU358" s="92"/>
      <c r="DYV358" s="92"/>
      <c r="DYW358" s="92"/>
      <c r="DYX358" s="92"/>
      <c r="DYY358" s="92"/>
      <c r="DYZ358" s="92"/>
      <c r="DZA358" s="92"/>
      <c r="DZB358" s="92"/>
      <c r="DZC358" s="92"/>
      <c r="DZD358" s="92"/>
      <c r="DZE358" s="92"/>
      <c r="DZF358" s="92"/>
      <c r="DZG358" s="92"/>
      <c r="DZH358" s="92"/>
      <c r="DZI358" s="92"/>
      <c r="DZJ358" s="92"/>
      <c r="DZK358" s="92"/>
      <c r="DZL358" s="92"/>
      <c r="DZM358" s="92"/>
      <c r="DZN358" s="92"/>
      <c r="DZO358" s="92"/>
      <c r="DZP358" s="92"/>
      <c r="DZQ358" s="92"/>
      <c r="DZR358" s="92"/>
      <c r="DZS358" s="92"/>
      <c r="DZT358" s="92"/>
      <c r="DZU358" s="92"/>
      <c r="DZV358" s="92"/>
      <c r="DZW358" s="92"/>
      <c r="DZX358" s="92"/>
      <c r="DZY358" s="92"/>
      <c r="DZZ358" s="92"/>
      <c r="EAA358" s="92"/>
      <c r="EAB358" s="92"/>
      <c r="EAC358" s="92"/>
      <c r="EAD358" s="92"/>
      <c r="EAE358" s="92"/>
      <c r="EAF358" s="92"/>
      <c r="EAG358" s="92"/>
      <c r="EAH358" s="92"/>
      <c r="EAI358" s="92"/>
      <c r="EAJ358" s="92"/>
      <c r="EAK358" s="92"/>
      <c r="EAL358" s="92"/>
      <c r="EAM358" s="92"/>
      <c r="EAN358" s="92"/>
      <c r="EAO358" s="92"/>
      <c r="EAP358" s="92"/>
      <c r="EAQ358" s="92"/>
      <c r="EAR358" s="92"/>
      <c r="EAS358" s="92"/>
      <c r="EAT358" s="92"/>
      <c r="EAU358" s="92"/>
      <c r="EAV358" s="92"/>
      <c r="EAW358" s="92"/>
      <c r="EAX358" s="92"/>
      <c r="EAY358" s="92"/>
      <c r="EAZ358" s="92"/>
      <c r="EBA358" s="92"/>
      <c r="EBB358" s="92"/>
      <c r="EBC358" s="92"/>
      <c r="EBD358" s="92"/>
      <c r="EBE358" s="92"/>
      <c r="EBF358" s="92"/>
      <c r="EBG358" s="92"/>
      <c r="EBH358" s="92"/>
      <c r="EBI358" s="92"/>
      <c r="EBJ358" s="92"/>
      <c r="EBK358" s="92"/>
      <c r="EBL358" s="92"/>
      <c r="EBM358" s="92"/>
      <c r="EBN358" s="92"/>
      <c r="EBO358" s="92"/>
      <c r="EBP358" s="92"/>
      <c r="EBQ358" s="92"/>
      <c r="EBR358" s="92"/>
      <c r="EBS358" s="92"/>
      <c r="EBT358" s="92"/>
      <c r="EBU358" s="92"/>
      <c r="EBV358" s="92"/>
      <c r="EBW358" s="92"/>
      <c r="EBX358" s="92"/>
      <c r="EBY358" s="92"/>
      <c r="EBZ358" s="92"/>
      <c r="ECA358" s="92"/>
      <c r="ECB358" s="92"/>
      <c r="ECC358" s="92"/>
      <c r="ECD358" s="92"/>
      <c r="ECE358" s="92"/>
      <c r="ECF358" s="92"/>
      <c r="ECG358" s="92"/>
      <c r="ECH358" s="92"/>
      <c r="ECI358" s="92"/>
      <c r="ECJ358" s="92"/>
      <c r="ECK358" s="92"/>
      <c r="ECL358" s="92"/>
      <c r="ECM358" s="92"/>
      <c r="ECN358" s="92"/>
      <c r="ECO358" s="92"/>
      <c r="ECP358" s="92"/>
      <c r="ECQ358" s="92"/>
      <c r="ECR358" s="92"/>
      <c r="ECS358" s="92"/>
      <c r="ECT358" s="92"/>
      <c r="ECU358" s="92"/>
      <c r="ECV358" s="92"/>
      <c r="ECW358" s="92"/>
      <c r="ECX358" s="92"/>
      <c r="ECY358" s="92"/>
      <c r="ECZ358" s="92"/>
      <c r="EDA358" s="92"/>
      <c r="EDB358" s="92"/>
      <c r="EDC358" s="92"/>
      <c r="EDD358" s="92"/>
      <c r="EDE358" s="92"/>
      <c r="EDF358" s="92"/>
      <c r="EDG358" s="92"/>
      <c r="EDH358" s="92"/>
      <c r="EDI358" s="92"/>
      <c r="EDJ358" s="92"/>
      <c r="EDK358" s="92"/>
      <c r="EDL358" s="92"/>
      <c r="EDM358" s="92"/>
      <c r="EDN358" s="92"/>
      <c r="EDO358" s="92"/>
      <c r="EDP358" s="92"/>
      <c r="EDQ358" s="92"/>
      <c r="EDR358" s="92"/>
      <c r="EDS358" s="92"/>
      <c r="EDT358" s="92"/>
      <c r="EDU358" s="92"/>
      <c r="EDV358" s="92"/>
      <c r="EDW358" s="92"/>
      <c r="EDX358" s="92"/>
      <c r="EDY358" s="92"/>
      <c r="EDZ358" s="92"/>
      <c r="EEA358" s="92"/>
      <c r="EEB358" s="92"/>
      <c r="EEC358" s="92"/>
      <c r="EED358" s="92"/>
      <c r="EEE358" s="92"/>
      <c r="EEF358" s="92"/>
      <c r="EEG358" s="92"/>
      <c r="EEH358" s="92"/>
      <c r="EEI358" s="92"/>
      <c r="EEJ358" s="92"/>
      <c r="EEK358" s="92"/>
      <c r="EEL358" s="92"/>
      <c r="EEM358" s="92"/>
      <c r="EEN358" s="92"/>
      <c r="EEO358" s="92"/>
      <c r="EEP358" s="92"/>
      <c r="EEQ358" s="92"/>
      <c r="EER358" s="92"/>
      <c r="EES358" s="92"/>
      <c r="EET358" s="92"/>
      <c r="EEU358" s="92"/>
      <c r="EEV358" s="92"/>
      <c r="EEW358" s="92"/>
      <c r="EEX358" s="92"/>
      <c r="EEY358" s="92"/>
      <c r="EEZ358" s="92"/>
      <c r="EFA358" s="92"/>
      <c r="EFB358" s="92"/>
      <c r="EFC358" s="92"/>
      <c r="EFD358" s="92"/>
      <c r="EFE358" s="92"/>
      <c r="EFF358" s="92"/>
      <c r="EFG358" s="92"/>
      <c r="EFH358" s="92"/>
      <c r="EFI358" s="92"/>
      <c r="EFJ358" s="92"/>
      <c r="EFK358" s="92"/>
      <c r="EFL358" s="92"/>
      <c r="EFM358" s="92"/>
      <c r="EFN358" s="92"/>
      <c r="EFO358" s="92"/>
      <c r="EFP358" s="92"/>
      <c r="EFQ358" s="92"/>
      <c r="EFR358" s="92"/>
      <c r="EFS358" s="92"/>
      <c r="EFT358" s="92"/>
      <c r="EFU358" s="92"/>
      <c r="EFV358" s="92"/>
      <c r="EFW358" s="92"/>
      <c r="EFX358" s="92"/>
      <c r="EFY358" s="92"/>
      <c r="EFZ358" s="92"/>
      <c r="EGA358" s="92"/>
      <c r="EGB358" s="92"/>
      <c r="EGC358" s="92"/>
      <c r="EGD358" s="92"/>
      <c r="EGE358" s="92"/>
      <c r="EGF358" s="92"/>
      <c r="EGG358" s="92"/>
      <c r="EGH358" s="92"/>
      <c r="EGI358" s="92"/>
      <c r="EGJ358" s="92"/>
      <c r="EGK358" s="92"/>
      <c r="EGL358" s="92"/>
      <c r="EGM358" s="92"/>
      <c r="EGN358" s="92"/>
      <c r="EGO358" s="92"/>
      <c r="EGP358" s="92"/>
      <c r="EGQ358" s="92"/>
      <c r="EGR358" s="92"/>
      <c r="EGS358" s="92"/>
      <c r="EGT358" s="92"/>
      <c r="EGU358" s="92"/>
      <c r="EGV358" s="92"/>
      <c r="EGW358" s="92"/>
      <c r="EGX358" s="92"/>
      <c r="EGY358" s="92"/>
      <c r="EGZ358" s="92"/>
      <c r="EHA358" s="92"/>
      <c r="EHB358" s="92"/>
      <c r="EHC358" s="92"/>
      <c r="EHD358" s="92"/>
      <c r="EHE358" s="92"/>
      <c r="EHF358" s="92"/>
      <c r="EHG358" s="92"/>
      <c r="EHH358" s="92"/>
      <c r="EHI358" s="92"/>
      <c r="EHJ358" s="92"/>
      <c r="EHK358" s="92"/>
      <c r="EHL358" s="92"/>
      <c r="EHM358" s="92"/>
      <c r="EHN358" s="92"/>
      <c r="EHO358" s="92"/>
      <c r="EHP358" s="92"/>
      <c r="EHQ358" s="92"/>
      <c r="EHR358" s="92"/>
      <c r="EHS358" s="92"/>
      <c r="EHT358" s="92"/>
      <c r="EHU358" s="92"/>
      <c r="EHV358" s="92"/>
      <c r="EHW358" s="92"/>
      <c r="EHX358" s="92"/>
      <c r="EHY358" s="92"/>
      <c r="EHZ358" s="92"/>
      <c r="EIA358" s="92"/>
      <c r="EIB358" s="92"/>
      <c r="EIC358" s="92"/>
      <c r="EID358" s="92"/>
      <c r="EIE358" s="92"/>
      <c r="EIF358" s="92"/>
      <c r="EIG358" s="92"/>
      <c r="EIH358" s="92"/>
      <c r="EII358" s="92"/>
      <c r="EIJ358" s="92"/>
      <c r="EIK358" s="92"/>
      <c r="EIL358" s="92"/>
      <c r="EIM358" s="92"/>
      <c r="EIN358" s="92"/>
      <c r="EIO358" s="92"/>
      <c r="EIP358" s="92"/>
      <c r="EIQ358" s="92"/>
      <c r="EIR358" s="92"/>
      <c r="EIS358" s="92"/>
      <c r="EIT358" s="92"/>
      <c r="EIU358" s="92"/>
      <c r="EIV358" s="92"/>
      <c r="EIW358" s="92"/>
      <c r="EIX358" s="92"/>
      <c r="EIY358" s="92"/>
      <c r="EIZ358" s="92"/>
      <c r="EJA358" s="92"/>
      <c r="EJB358" s="92"/>
      <c r="EJC358" s="92"/>
      <c r="EJD358" s="92"/>
      <c r="EJE358" s="92"/>
      <c r="EJF358" s="92"/>
      <c r="EJG358" s="92"/>
      <c r="EJH358" s="92"/>
      <c r="EJI358" s="92"/>
      <c r="EJJ358" s="92"/>
      <c r="EJK358" s="92"/>
      <c r="EJL358" s="92"/>
      <c r="EJM358" s="92"/>
      <c r="EJN358" s="92"/>
      <c r="EJO358" s="92"/>
      <c r="EJP358" s="92"/>
      <c r="EJQ358" s="92"/>
      <c r="EJR358" s="92"/>
      <c r="EJS358" s="92"/>
      <c r="EJT358" s="92"/>
      <c r="EJU358" s="92"/>
      <c r="EJV358" s="92"/>
      <c r="EJW358" s="92"/>
      <c r="EJX358" s="92"/>
      <c r="EJY358" s="92"/>
      <c r="EJZ358" s="92"/>
      <c r="EKA358" s="92"/>
      <c r="EKB358" s="92"/>
      <c r="EKC358" s="92"/>
      <c r="EKD358" s="92"/>
      <c r="EKE358" s="92"/>
      <c r="EKF358" s="92"/>
      <c r="EKG358" s="92"/>
      <c r="EKH358" s="92"/>
      <c r="EKI358" s="92"/>
      <c r="EKJ358" s="92"/>
      <c r="EKK358" s="92"/>
      <c r="EKL358" s="92"/>
      <c r="EKM358" s="92"/>
      <c r="EKN358" s="92"/>
      <c r="EKO358" s="92"/>
      <c r="EKP358" s="92"/>
      <c r="EKQ358" s="92"/>
      <c r="EKR358" s="92"/>
      <c r="EKS358" s="92"/>
      <c r="EKT358" s="92"/>
      <c r="EKU358" s="92"/>
      <c r="EKV358" s="92"/>
      <c r="EKW358" s="92"/>
      <c r="EKX358" s="92"/>
      <c r="EKY358" s="92"/>
      <c r="EKZ358" s="92"/>
      <c r="ELA358" s="92"/>
      <c r="ELB358" s="92"/>
      <c r="ELC358" s="92"/>
      <c r="ELD358" s="92"/>
      <c r="ELE358" s="92"/>
      <c r="ELF358" s="92"/>
      <c r="ELG358" s="92"/>
      <c r="ELH358" s="92"/>
      <c r="ELI358" s="92"/>
      <c r="ELJ358" s="92"/>
      <c r="ELK358" s="92"/>
      <c r="ELL358" s="92"/>
      <c r="ELM358" s="92"/>
      <c r="ELN358" s="92"/>
      <c r="ELO358" s="92"/>
      <c r="ELP358" s="92"/>
      <c r="ELQ358" s="92"/>
      <c r="ELR358" s="92"/>
      <c r="ELS358" s="92"/>
      <c r="ELT358" s="92"/>
      <c r="ELU358" s="92"/>
      <c r="ELV358" s="92"/>
      <c r="ELW358" s="92"/>
      <c r="ELX358" s="92"/>
      <c r="ELY358" s="92"/>
      <c r="ELZ358" s="92"/>
      <c r="EMA358" s="92"/>
      <c r="EMB358" s="92"/>
      <c r="EMC358" s="92"/>
      <c r="EMD358" s="92"/>
      <c r="EME358" s="92"/>
      <c r="EMF358" s="92"/>
      <c r="EMG358" s="92"/>
      <c r="EMH358" s="92"/>
      <c r="EMI358" s="92"/>
      <c r="EMJ358" s="92"/>
      <c r="EMK358" s="92"/>
      <c r="EML358" s="92"/>
      <c r="EMM358" s="92"/>
      <c r="EMN358" s="92"/>
      <c r="EMO358" s="92"/>
      <c r="EMP358" s="92"/>
      <c r="EMQ358" s="92"/>
      <c r="EMR358" s="92"/>
      <c r="EMS358" s="92"/>
      <c r="EMT358" s="92"/>
      <c r="EMU358" s="92"/>
      <c r="EMV358" s="92"/>
      <c r="EMW358" s="92"/>
      <c r="EMX358" s="92"/>
      <c r="EMY358" s="92"/>
      <c r="EMZ358" s="92"/>
      <c r="ENA358" s="92"/>
      <c r="ENB358" s="92"/>
      <c r="ENC358" s="92"/>
      <c r="END358" s="92"/>
      <c r="ENE358" s="92"/>
      <c r="ENF358" s="92"/>
      <c r="ENG358" s="92"/>
      <c r="ENH358" s="92"/>
      <c r="ENI358" s="92"/>
      <c r="ENJ358" s="92"/>
      <c r="ENK358" s="92"/>
      <c r="ENL358" s="92"/>
      <c r="ENM358" s="92"/>
      <c r="ENN358" s="92"/>
      <c r="ENO358" s="92"/>
      <c r="ENP358" s="92"/>
      <c r="ENQ358" s="92"/>
      <c r="ENR358" s="92"/>
      <c r="ENS358" s="92"/>
      <c r="ENT358" s="92"/>
      <c r="ENU358" s="92"/>
      <c r="ENV358" s="92"/>
      <c r="ENW358" s="92"/>
      <c r="ENX358" s="92"/>
      <c r="ENY358" s="92"/>
      <c r="ENZ358" s="92"/>
      <c r="EOA358" s="92"/>
      <c r="EOB358" s="92"/>
      <c r="EOC358" s="92"/>
      <c r="EOD358" s="92"/>
      <c r="EOE358" s="92"/>
      <c r="EOF358" s="92"/>
      <c r="EOG358" s="92"/>
      <c r="EOH358" s="92"/>
      <c r="EOI358" s="92"/>
      <c r="EOJ358" s="92"/>
      <c r="EOK358" s="92"/>
      <c r="EOL358" s="92"/>
      <c r="EOM358" s="92"/>
      <c r="EON358" s="92"/>
      <c r="EOO358" s="92"/>
      <c r="EOP358" s="92"/>
      <c r="EOQ358" s="92"/>
      <c r="EOR358" s="92"/>
      <c r="EOS358" s="92"/>
      <c r="EOT358" s="92"/>
      <c r="EOU358" s="92"/>
      <c r="EOV358" s="92"/>
      <c r="EOW358" s="92"/>
      <c r="EOX358" s="92"/>
      <c r="EOY358" s="92"/>
      <c r="EOZ358" s="92"/>
      <c r="EPA358" s="92"/>
      <c r="EPB358" s="92"/>
      <c r="EPC358" s="92"/>
      <c r="EPD358" s="92"/>
      <c r="EPE358" s="92"/>
      <c r="EPF358" s="92"/>
      <c r="EPG358" s="92"/>
      <c r="EPH358" s="92"/>
      <c r="EPI358" s="92"/>
      <c r="EPJ358" s="92"/>
      <c r="EPK358" s="92"/>
      <c r="EPL358" s="92"/>
      <c r="EPM358" s="92"/>
      <c r="EPN358" s="92"/>
      <c r="EPO358" s="92"/>
      <c r="EPP358" s="92"/>
      <c r="EPQ358" s="92"/>
      <c r="EPR358" s="92"/>
      <c r="EPS358" s="92"/>
      <c r="EPT358" s="92"/>
      <c r="EPU358" s="92"/>
      <c r="EPV358" s="92"/>
      <c r="EPW358" s="92"/>
      <c r="EPX358" s="92"/>
      <c r="EPY358" s="92"/>
      <c r="EPZ358" s="92"/>
      <c r="EQA358" s="92"/>
      <c r="EQB358" s="92"/>
      <c r="EQC358" s="92"/>
      <c r="EQD358" s="92"/>
      <c r="EQE358" s="92"/>
      <c r="EQF358" s="92"/>
      <c r="EQG358" s="92"/>
      <c r="EQH358" s="92"/>
      <c r="EQI358" s="92"/>
      <c r="EQJ358" s="92"/>
      <c r="EQK358" s="92"/>
      <c r="EQL358" s="92"/>
      <c r="EQM358" s="92"/>
      <c r="EQN358" s="92"/>
      <c r="EQO358" s="92"/>
      <c r="EQP358" s="92"/>
      <c r="EQQ358" s="92"/>
      <c r="EQR358" s="92"/>
      <c r="EQS358" s="92"/>
      <c r="EQT358" s="92"/>
      <c r="EQU358" s="92"/>
      <c r="EQV358" s="92"/>
      <c r="EQW358" s="92"/>
      <c r="EQX358" s="92"/>
      <c r="EQY358" s="92"/>
      <c r="EQZ358" s="92"/>
      <c r="ERA358" s="92"/>
      <c r="ERB358" s="92"/>
      <c r="ERC358" s="92"/>
      <c r="ERD358" s="92"/>
      <c r="ERE358" s="92"/>
      <c r="ERF358" s="92"/>
      <c r="ERG358" s="92"/>
      <c r="ERH358" s="92"/>
      <c r="ERI358" s="92"/>
      <c r="ERJ358" s="92"/>
      <c r="ERK358" s="92"/>
      <c r="ERL358" s="92"/>
      <c r="ERM358" s="92"/>
      <c r="ERN358" s="92"/>
      <c r="ERO358" s="92"/>
      <c r="ERP358" s="92"/>
      <c r="ERQ358" s="92"/>
      <c r="ERR358" s="92"/>
      <c r="ERS358" s="92"/>
      <c r="ERT358" s="92"/>
      <c r="ERU358" s="92"/>
      <c r="ERV358" s="92"/>
      <c r="ERW358" s="92"/>
      <c r="ERX358" s="92"/>
      <c r="ERY358" s="92"/>
      <c r="ERZ358" s="92"/>
      <c r="ESA358" s="92"/>
      <c r="ESB358" s="92"/>
      <c r="ESC358" s="92"/>
      <c r="ESD358" s="92"/>
      <c r="ESE358" s="92"/>
      <c r="ESF358" s="92"/>
      <c r="ESG358" s="92"/>
      <c r="ESH358" s="92"/>
      <c r="ESI358" s="92"/>
      <c r="ESJ358" s="92"/>
      <c r="ESK358" s="92"/>
      <c r="ESL358" s="92"/>
      <c r="ESM358" s="92"/>
      <c r="ESN358" s="92"/>
      <c r="ESO358" s="92"/>
      <c r="ESP358" s="92"/>
      <c r="ESQ358" s="92"/>
      <c r="ESR358" s="92"/>
      <c r="ESS358" s="92"/>
      <c r="EST358" s="92"/>
      <c r="ESU358" s="92"/>
      <c r="ESV358" s="92"/>
      <c r="ESW358" s="92"/>
      <c r="ESX358" s="92"/>
      <c r="ESY358" s="92"/>
      <c r="ESZ358" s="92"/>
      <c r="ETA358" s="92"/>
      <c r="ETB358" s="92"/>
      <c r="ETC358" s="92"/>
      <c r="ETD358" s="92"/>
      <c r="ETE358" s="92"/>
      <c r="ETF358" s="92"/>
      <c r="ETG358" s="92"/>
      <c r="ETH358" s="92"/>
      <c r="ETI358" s="92"/>
      <c r="ETJ358" s="92"/>
      <c r="ETK358" s="92"/>
      <c r="ETL358" s="92"/>
      <c r="ETM358" s="92"/>
      <c r="ETN358" s="92"/>
      <c r="ETO358" s="92"/>
      <c r="ETP358" s="92"/>
      <c r="ETQ358" s="92"/>
      <c r="ETR358" s="92"/>
      <c r="ETS358" s="92"/>
      <c r="ETT358" s="92"/>
      <c r="ETU358" s="92"/>
      <c r="ETV358" s="92"/>
      <c r="ETW358" s="92"/>
      <c r="ETX358" s="92"/>
      <c r="ETY358" s="92"/>
      <c r="ETZ358" s="92"/>
      <c r="EUA358" s="92"/>
      <c r="EUB358" s="92"/>
      <c r="EUC358" s="92"/>
      <c r="EUD358" s="92"/>
      <c r="EUE358" s="92"/>
      <c r="EUF358" s="92"/>
      <c r="EUG358" s="92"/>
      <c r="EUH358" s="92"/>
      <c r="EUI358" s="92"/>
      <c r="EUJ358" s="92"/>
      <c r="EUK358" s="92"/>
      <c r="EUL358" s="92"/>
      <c r="EUM358" s="92"/>
      <c r="EUN358" s="92"/>
      <c r="EUO358" s="92"/>
      <c r="EUP358" s="92"/>
      <c r="EUQ358" s="92"/>
      <c r="EUR358" s="92"/>
      <c r="EUS358" s="92"/>
      <c r="EUT358" s="92"/>
      <c r="EUU358" s="92"/>
      <c r="EUV358" s="92"/>
      <c r="EUW358" s="92"/>
      <c r="EUX358" s="92"/>
      <c r="EUY358" s="92"/>
      <c r="EUZ358" s="92"/>
      <c r="EVA358" s="92"/>
      <c r="EVB358" s="92"/>
      <c r="EVC358" s="92"/>
      <c r="EVD358" s="92"/>
      <c r="EVE358" s="92"/>
      <c r="EVF358" s="92"/>
      <c r="EVG358" s="92"/>
      <c r="EVH358" s="92"/>
      <c r="EVI358" s="92"/>
      <c r="EVJ358" s="92"/>
      <c r="EVK358" s="92"/>
      <c r="EVL358" s="92"/>
      <c r="EVM358" s="92"/>
      <c r="EVN358" s="92"/>
      <c r="EVO358" s="92"/>
      <c r="EVP358" s="92"/>
      <c r="EVQ358" s="92"/>
      <c r="EVR358" s="92"/>
      <c r="EVS358" s="92"/>
      <c r="EVT358" s="92"/>
      <c r="EVU358" s="92"/>
      <c r="EVV358" s="92"/>
      <c r="EVW358" s="92"/>
      <c r="EVX358" s="92"/>
      <c r="EVY358" s="92"/>
      <c r="EVZ358" s="92"/>
      <c r="EWA358" s="92"/>
      <c r="EWB358" s="92"/>
      <c r="EWC358" s="92"/>
      <c r="EWD358" s="92"/>
      <c r="EWE358" s="92"/>
      <c r="EWF358" s="92"/>
      <c r="EWG358" s="92"/>
      <c r="EWH358" s="92"/>
      <c r="EWI358" s="92"/>
      <c r="EWJ358" s="92"/>
      <c r="EWK358" s="92"/>
      <c r="EWL358" s="92"/>
      <c r="EWM358" s="92"/>
      <c r="EWN358" s="92"/>
      <c r="EWO358" s="92"/>
      <c r="EWP358" s="92"/>
      <c r="EWQ358" s="92"/>
      <c r="EWR358" s="92"/>
      <c r="EWS358" s="92"/>
      <c r="EWT358" s="92"/>
      <c r="EWU358" s="92"/>
      <c r="EWV358" s="92"/>
      <c r="EWW358" s="92"/>
      <c r="EWX358" s="92"/>
      <c r="EWY358" s="92"/>
      <c r="EWZ358" s="92"/>
      <c r="EXA358" s="92"/>
      <c r="EXB358" s="92"/>
      <c r="EXC358" s="92"/>
      <c r="EXD358" s="92"/>
      <c r="EXE358" s="92"/>
      <c r="EXF358" s="92"/>
      <c r="EXG358" s="92"/>
      <c r="EXH358" s="92"/>
      <c r="EXI358" s="92"/>
      <c r="EXJ358" s="92"/>
      <c r="EXK358" s="92"/>
      <c r="EXL358" s="92"/>
      <c r="EXM358" s="92"/>
      <c r="EXN358" s="92"/>
      <c r="EXO358" s="92"/>
      <c r="EXP358" s="92"/>
      <c r="EXQ358" s="92"/>
      <c r="EXR358" s="92"/>
      <c r="EXS358" s="92"/>
      <c r="EXT358" s="92"/>
      <c r="EXU358" s="92"/>
      <c r="EXV358" s="92"/>
      <c r="EXW358" s="92"/>
      <c r="EXX358" s="92"/>
      <c r="EXY358" s="92"/>
      <c r="EXZ358" s="92"/>
      <c r="EYA358" s="92"/>
      <c r="EYB358" s="92"/>
      <c r="EYC358" s="92"/>
      <c r="EYD358" s="92"/>
      <c r="EYE358" s="92"/>
      <c r="EYF358" s="92"/>
      <c r="EYG358" s="92"/>
      <c r="EYH358" s="92"/>
      <c r="EYI358" s="92"/>
      <c r="EYJ358" s="92"/>
      <c r="EYK358" s="92"/>
      <c r="EYL358" s="92"/>
      <c r="EYM358" s="92"/>
      <c r="EYN358" s="92"/>
      <c r="EYO358" s="92"/>
      <c r="EYP358" s="92"/>
      <c r="EYQ358" s="92"/>
      <c r="EYR358" s="92"/>
      <c r="EYS358" s="92"/>
      <c r="EYT358" s="92"/>
      <c r="EYU358" s="92"/>
      <c r="EYV358" s="92"/>
      <c r="EYW358" s="92"/>
      <c r="EYX358" s="92"/>
      <c r="EYY358" s="92"/>
      <c r="EYZ358" s="92"/>
      <c r="EZA358" s="92"/>
      <c r="EZB358" s="92"/>
      <c r="EZC358" s="92"/>
      <c r="EZD358" s="92"/>
      <c r="EZE358" s="92"/>
      <c r="EZF358" s="92"/>
      <c r="EZG358" s="92"/>
      <c r="EZH358" s="92"/>
      <c r="EZI358" s="92"/>
      <c r="EZJ358" s="92"/>
      <c r="EZK358" s="92"/>
      <c r="EZL358" s="92"/>
      <c r="EZM358" s="92"/>
      <c r="EZN358" s="92"/>
      <c r="EZO358" s="92"/>
      <c r="EZP358" s="92"/>
      <c r="EZQ358" s="92"/>
      <c r="EZR358" s="92"/>
      <c r="EZS358" s="92"/>
      <c r="EZT358" s="92"/>
      <c r="EZU358" s="92"/>
      <c r="EZV358" s="92"/>
      <c r="EZW358" s="92"/>
      <c r="EZX358" s="92"/>
      <c r="EZY358" s="92"/>
      <c r="EZZ358" s="92"/>
      <c r="FAA358" s="92"/>
      <c r="FAB358" s="92"/>
      <c r="FAC358" s="92"/>
      <c r="FAD358" s="92"/>
      <c r="FAE358" s="92"/>
      <c r="FAF358" s="92"/>
      <c r="FAG358" s="92"/>
      <c r="FAH358" s="92"/>
      <c r="FAI358" s="92"/>
      <c r="FAJ358" s="92"/>
      <c r="FAK358" s="92"/>
      <c r="FAL358" s="92"/>
      <c r="FAM358" s="92"/>
      <c r="FAN358" s="92"/>
      <c r="FAO358" s="92"/>
      <c r="FAP358" s="92"/>
      <c r="FAQ358" s="92"/>
      <c r="FAR358" s="92"/>
      <c r="FAS358" s="92"/>
      <c r="FAT358" s="92"/>
      <c r="FAU358" s="92"/>
      <c r="FAV358" s="92"/>
      <c r="FAW358" s="92"/>
      <c r="FAX358" s="92"/>
      <c r="FAY358" s="92"/>
      <c r="FAZ358" s="92"/>
      <c r="FBA358" s="92"/>
      <c r="FBB358" s="92"/>
      <c r="FBC358" s="92"/>
      <c r="FBD358" s="92"/>
      <c r="FBE358" s="92"/>
      <c r="FBF358" s="92"/>
      <c r="FBG358" s="92"/>
      <c r="FBH358" s="92"/>
      <c r="FBI358" s="92"/>
      <c r="FBJ358" s="92"/>
      <c r="FBK358" s="92"/>
      <c r="FBL358" s="92"/>
      <c r="FBM358" s="92"/>
      <c r="FBN358" s="92"/>
      <c r="FBO358" s="92"/>
      <c r="FBP358" s="92"/>
      <c r="FBQ358" s="92"/>
      <c r="FBR358" s="92"/>
      <c r="FBS358" s="92"/>
      <c r="FBT358" s="92"/>
      <c r="FBU358" s="92"/>
      <c r="FBV358" s="92"/>
      <c r="FBW358" s="92"/>
      <c r="FBX358" s="92"/>
      <c r="FBY358" s="92"/>
      <c r="FBZ358" s="92"/>
      <c r="FCA358" s="92"/>
      <c r="FCB358" s="92"/>
      <c r="FCC358" s="92"/>
      <c r="FCD358" s="92"/>
      <c r="FCE358" s="92"/>
      <c r="FCF358" s="92"/>
      <c r="FCG358" s="92"/>
      <c r="FCH358" s="92"/>
      <c r="FCI358" s="92"/>
      <c r="FCJ358" s="92"/>
      <c r="FCK358" s="92"/>
      <c r="FCL358" s="92"/>
      <c r="FCM358" s="92"/>
      <c r="FCN358" s="92"/>
      <c r="FCO358" s="92"/>
      <c r="FCP358" s="92"/>
      <c r="FCQ358" s="92"/>
      <c r="FCR358" s="92"/>
      <c r="FCS358" s="92"/>
      <c r="FCT358" s="92"/>
      <c r="FCU358" s="92"/>
      <c r="FCV358" s="92"/>
      <c r="FCW358" s="92"/>
      <c r="FCX358" s="92"/>
      <c r="FCY358" s="92"/>
      <c r="FCZ358" s="92"/>
      <c r="FDA358" s="92"/>
      <c r="FDB358" s="92"/>
      <c r="FDC358" s="92"/>
      <c r="FDD358" s="92"/>
      <c r="FDE358" s="92"/>
      <c r="FDF358" s="92"/>
      <c r="FDG358" s="92"/>
      <c r="FDH358" s="92"/>
      <c r="FDI358" s="92"/>
      <c r="FDJ358" s="92"/>
      <c r="FDK358" s="92"/>
      <c r="FDL358" s="92"/>
      <c r="FDM358" s="92"/>
      <c r="FDN358" s="92"/>
      <c r="FDO358" s="92"/>
      <c r="FDP358" s="92"/>
      <c r="FDQ358" s="92"/>
      <c r="FDR358" s="92"/>
      <c r="FDS358" s="92"/>
      <c r="FDT358" s="92"/>
      <c r="FDU358" s="92"/>
      <c r="FDV358" s="92"/>
      <c r="FDW358" s="92"/>
      <c r="FDX358" s="92"/>
      <c r="FDY358" s="92"/>
      <c r="FDZ358" s="92"/>
      <c r="FEA358" s="92"/>
      <c r="FEB358" s="92"/>
      <c r="FEC358" s="92"/>
      <c r="FED358" s="92"/>
      <c r="FEE358" s="92"/>
      <c r="FEF358" s="92"/>
      <c r="FEG358" s="92"/>
      <c r="FEH358" s="92"/>
      <c r="FEI358" s="92"/>
      <c r="FEJ358" s="92"/>
      <c r="FEK358" s="92"/>
      <c r="FEL358" s="92"/>
      <c r="FEM358" s="92"/>
      <c r="FEN358" s="92"/>
      <c r="FEO358" s="92"/>
      <c r="FEP358" s="92"/>
      <c r="FEQ358" s="92"/>
      <c r="FER358" s="92"/>
      <c r="FES358" s="92"/>
      <c r="FET358" s="92"/>
      <c r="FEU358" s="92"/>
      <c r="FEV358" s="92"/>
      <c r="FEW358" s="92"/>
      <c r="FEX358" s="92"/>
      <c r="FEY358" s="92"/>
      <c r="FEZ358" s="92"/>
      <c r="FFA358" s="92"/>
      <c r="FFB358" s="92"/>
      <c r="FFC358" s="92"/>
      <c r="FFD358" s="92"/>
      <c r="FFE358" s="92"/>
      <c r="FFF358" s="92"/>
      <c r="FFG358" s="92"/>
      <c r="FFH358" s="92"/>
      <c r="FFI358" s="92"/>
      <c r="FFJ358" s="92"/>
      <c r="FFK358" s="92"/>
      <c r="FFL358" s="92"/>
      <c r="FFM358" s="92"/>
      <c r="FFN358" s="92"/>
      <c r="FFO358" s="92"/>
      <c r="FFP358" s="92"/>
      <c r="FFQ358" s="92"/>
      <c r="FFR358" s="92"/>
      <c r="FFS358" s="92"/>
      <c r="FFT358" s="92"/>
      <c r="FFU358" s="92"/>
      <c r="FFV358" s="92"/>
      <c r="FFW358" s="92"/>
      <c r="FFX358" s="92"/>
      <c r="FFY358" s="92"/>
      <c r="FFZ358" s="92"/>
      <c r="FGA358" s="92"/>
      <c r="FGB358" s="92"/>
      <c r="FGC358" s="92"/>
      <c r="FGD358" s="92"/>
      <c r="FGE358" s="92"/>
      <c r="FGF358" s="92"/>
      <c r="FGG358" s="92"/>
      <c r="FGH358" s="92"/>
      <c r="FGI358" s="92"/>
      <c r="FGJ358" s="92"/>
      <c r="FGK358" s="92"/>
      <c r="FGL358" s="92"/>
      <c r="FGM358" s="92"/>
      <c r="FGN358" s="92"/>
      <c r="FGO358" s="92"/>
      <c r="FGP358" s="92"/>
      <c r="FGQ358" s="92"/>
      <c r="FGR358" s="92"/>
      <c r="FGS358" s="92"/>
      <c r="FGT358" s="92"/>
      <c r="FGU358" s="92"/>
      <c r="FGV358" s="92"/>
      <c r="FGW358" s="92"/>
      <c r="FGX358" s="92"/>
      <c r="FGY358" s="92"/>
      <c r="FGZ358" s="92"/>
      <c r="FHA358" s="92"/>
      <c r="FHB358" s="92"/>
      <c r="FHC358" s="92"/>
      <c r="FHD358" s="92"/>
      <c r="FHE358" s="92"/>
      <c r="FHF358" s="92"/>
      <c r="FHG358" s="92"/>
      <c r="FHH358" s="92"/>
      <c r="FHI358" s="92"/>
      <c r="FHJ358" s="92"/>
      <c r="FHK358" s="92"/>
      <c r="FHL358" s="92"/>
      <c r="FHM358" s="92"/>
      <c r="FHN358" s="92"/>
      <c r="FHO358" s="92"/>
      <c r="FHP358" s="92"/>
      <c r="FHQ358" s="92"/>
      <c r="FHR358" s="92"/>
      <c r="FHS358" s="92"/>
      <c r="FHT358" s="92"/>
      <c r="FHU358" s="92"/>
      <c r="FHV358" s="92"/>
      <c r="FHW358" s="92"/>
      <c r="FHX358" s="92"/>
      <c r="FHY358" s="92"/>
      <c r="FHZ358" s="92"/>
      <c r="FIA358" s="92"/>
      <c r="FIB358" s="92"/>
      <c r="FIC358" s="92"/>
      <c r="FID358" s="92"/>
      <c r="FIE358" s="92"/>
      <c r="FIF358" s="92"/>
      <c r="FIG358" s="92"/>
      <c r="FIH358" s="92"/>
      <c r="FII358" s="92"/>
      <c r="FIJ358" s="92"/>
      <c r="FIK358" s="92"/>
      <c r="FIL358" s="92"/>
      <c r="FIM358" s="92"/>
      <c r="FIN358" s="92"/>
      <c r="FIO358" s="92"/>
      <c r="FIP358" s="92"/>
      <c r="FIQ358" s="92"/>
      <c r="FIR358" s="92"/>
      <c r="FIS358" s="92"/>
      <c r="FIT358" s="92"/>
      <c r="FIU358" s="92"/>
      <c r="FIV358" s="92"/>
      <c r="FIW358" s="92"/>
      <c r="FIX358" s="92"/>
      <c r="FIY358" s="92"/>
      <c r="FIZ358" s="92"/>
      <c r="FJA358" s="92"/>
      <c r="FJB358" s="92"/>
      <c r="FJC358" s="92"/>
      <c r="FJD358" s="92"/>
      <c r="FJE358" s="92"/>
      <c r="FJF358" s="92"/>
      <c r="FJG358" s="92"/>
      <c r="FJH358" s="92"/>
      <c r="FJI358" s="92"/>
      <c r="FJJ358" s="92"/>
      <c r="FJK358" s="92"/>
      <c r="FJL358" s="92"/>
      <c r="FJM358" s="92"/>
      <c r="FJN358" s="92"/>
      <c r="FJO358" s="92"/>
      <c r="FJP358" s="92"/>
      <c r="FJQ358" s="92"/>
      <c r="FJR358" s="92"/>
      <c r="FJS358" s="92"/>
      <c r="FJT358" s="92"/>
      <c r="FJU358" s="92"/>
      <c r="FJV358" s="92"/>
      <c r="FJW358" s="92"/>
      <c r="FJX358" s="92"/>
      <c r="FJY358" s="92"/>
      <c r="FJZ358" s="92"/>
      <c r="FKA358" s="92"/>
      <c r="FKB358" s="92"/>
      <c r="FKC358" s="92"/>
      <c r="FKD358" s="92"/>
      <c r="FKE358" s="92"/>
      <c r="FKF358" s="92"/>
      <c r="FKG358" s="92"/>
      <c r="FKH358" s="92"/>
      <c r="FKI358" s="92"/>
      <c r="FKJ358" s="92"/>
      <c r="FKK358" s="92"/>
      <c r="FKL358" s="92"/>
      <c r="FKM358" s="92"/>
      <c r="FKN358" s="92"/>
      <c r="FKO358" s="92"/>
      <c r="FKP358" s="92"/>
      <c r="FKQ358" s="92"/>
      <c r="FKR358" s="92"/>
      <c r="FKS358" s="92"/>
      <c r="FKT358" s="92"/>
      <c r="FKU358" s="92"/>
      <c r="FKV358" s="92"/>
      <c r="FKW358" s="92"/>
      <c r="FKX358" s="92"/>
      <c r="FKY358" s="92"/>
      <c r="FKZ358" s="92"/>
      <c r="FLA358" s="92"/>
      <c r="FLB358" s="92"/>
      <c r="FLC358" s="92"/>
      <c r="FLD358" s="92"/>
      <c r="FLE358" s="92"/>
      <c r="FLF358" s="92"/>
      <c r="FLG358" s="92"/>
      <c r="FLH358" s="92"/>
      <c r="FLI358" s="92"/>
      <c r="FLJ358" s="92"/>
      <c r="FLK358" s="92"/>
      <c r="FLL358" s="92"/>
      <c r="FLM358" s="92"/>
      <c r="FLN358" s="92"/>
      <c r="FLO358" s="92"/>
      <c r="FLP358" s="92"/>
      <c r="FLQ358" s="92"/>
      <c r="FLR358" s="92"/>
      <c r="FLS358" s="92"/>
      <c r="FLT358" s="92"/>
      <c r="FLU358" s="92"/>
      <c r="FLV358" s="92"/>
      <c r="FLW358" s="92"/>
      <c r="FLX358" s="92"/>
      <c r="FLY358" s="92"/>
      <c r="FLZ358" s="92"/>
      <c r="FMA358" s="92"/>
      <c r="FMB358" s="92"/>
      <c r="FMC358" s="92"/>
      <c r="FMD358" s="92"/>
      <c r="FME358" s="92"/>
      <c r="FMF358" s="92"/>
      <c r="FMG358" s="92"/>
      <c r="FMH358" s="92"/>
      <c r="FMI358" s="92"/>
      <c r="FMJ358" s="92"/>
      <c r="FMK358" s="92"/>
      <c r="FML358" s="92"/>
      <c r="FMM358" s="92"/>
      <c r="FMN358" s="92"/>
      <c r="FMO358" s="92"/>
      <c r="FMP358" s="92"/>
      <c r="FMQ358" s="92"/>
      <c r="FMR358" s="92"/>
      <c r="FMS358" s="92"/>
      <c r="FMT358" s="92"/>
      <c r="FMU358" s="92"/>
      <c r="FMV358" s="92"/>
      <c r="FMW358" s="92"/>
      <c r="FMX358" s="92"/>
      <c r="FMY358" s="92"/>
      <c r="FMZ358" s="92"/>
      <c r="FNA358" s="92"/>
      <c r="FNB358" s="92"/>
      <c r="FNC358" s="92"/>
      <c r="FND358" s="92"/>
      <c r="FNE358" s="92"/>
      <c r="FNF358" s="92"/>
      <c r="FNG358" s="92"/>
      <c r="FNH358" s="92"/>
      <c r="FNI358" s="92"/>
      <c r="FNJ358" s="92"/>
      <c r="FNK358" s="92"/>
      <c r="FNL358" s="92"/>
      <c r="FNM358" s="92"/>
      <c r="FNN358" s="92"/>
      <c r="FNO358" s="92"/>
      <c r="FNP358" s="92"/>
      <c r="FNQ358" s="92"/>
      <c r="FNR358" s="92"/>
      <c r="FNS358" s="92"/>
      <c r="FNT358" s="92"/>
      <c r="FNU358" s="92"/>
      <c r="FNV358" s="92"/>
      <c r="FNW358" s="92"/>
      <c r="FNX358" s="92"/>
      <c r="FNY358" s="92"/>
      <c r="FNZ358" s="92"/>
      <c r="FOA358" s="92"/>
      <c r="FOB358" s="92"/>
      <c r="FOC358" s="92"/>
      <c r="FOD358" s="92"/>
      <c r="FOE358" s="92"/>
      <c r="FOF358" s="92"/>
      <c r="FOG358" s="92"/>
      <c r="FOH358" s="92"/>
      <c r="FOI358" s="92"/>
      <c r="FOJ358" s="92"/>
      <c r="FOK358" s="92"/>
      <c r="FOL358" s="92"/>
      <c r="FOM358" s="92"/>
      <c r="FON358" s="92"/>
      <c r="FOO358" s="92"/>
      <c r="FOP358" s="92"/>
      <c r="FOQ358" s="92"/>
      <c r="FOR358" s="92"/>
      <c r="FOS358" s="92"/>
      <c r="FOT358" s="92"/>
      <c r="FOU358" s="92"/>
      <c r="FOV358" s="92"/>
      <c r="FOW358" s="92"/>
      <c r="FOX358" s="92"/>
      <c r="FOY358" s="92"/>
      <c r="FOZ358" s="92"/>
      <c r="FPA358" s="92"/>
      <c r="FPB358" s="92"/>
      <c r="FPC358" s="92"/>
      <c r="FPD358" s="92"/>
      <c r="FPE358" s="92"/>
      <c r="FPF358" s="92"/>
      <c r="FPG358" s="92"/>
      <c r="FPH358" s="92"/>
      <c r="FPI358" s="92"/>
      <c r="FPJ358" s="92"/>
      <c r="FPK358" s="92"/>
      <c r="FPL358" s="92"/>
      <c r="FPM358" s="92"/>
      <c r="FPN358" s="92"/>
      <c r="FPO358" s="92"/>
      <c r="FPP358" s="92"/>
      <c r="FPQ358" s="92"/>
      <c r="FPR358" s="92"/>
      <c r="FPS358" s="92"/>
      <c r="FPT358" s="92"/>
      <c r="FPU358" s="92"/>
      <c r="FPV358" s="92"/>
      <c r="FPW358" s="92"/>
      <c r="FPX358" s="92"/>
      <c r="FPY358" s="92"/>
      <c r="FPZ358" s="92"/>
      <c r="FQA358" s="92"/>
      <c r="FQB358" s="92"/>
      <c r="FQC358" s="92"/>
      <c r="FQD358" s="92"/>
      <c r="FQE358" s="92"/>
      <c r="FQF358" s="92"/>
      <c r="FQG358" s="92"/>
      <c r="FQH358" s="92"/>
      <c r="FQI358" s="92"/>
      <c r="FQJ358" s="92"/>
      <c r="FQK358" s="92"/>
      <c r="FQL358" s="92"/>
      <c r="FQM358" s="92"/>
      <c r="FQN358" s="92"/>
      <c r="FQO358" s="92"/>
      <c r="FQP358" s="92"/>
      <c r="FQQ358" s="92"/>
      <c r="FQR358" s="92"/>
      <c r="FQS358" s="92"/>
      <c r="FQT358" s="92"/>
      <c r="FQU358" s="92"/>
      <c r="FQV358" s="92"/>
      <c r="FQW358" s="92"/>
      <c r="FQX358" s="92"/>
      <c r="FQY358" s="92"/>
      <c r="FQZ358" s="92"/>
      <c r="FRA358" s="92"/>
      <c r="FRB358" s="92"/>
      <c r="FRC358" s="92"/>
      <c r="FRD358" s="92"/>
      <c r="FRE358" s="92"/>
      <c r="FRF358" s="92"/>
      <c r="FRG358" s="92"/>
      <c r="FRH358" s="92"/>
      <c r="FRI358" s="92"/>
      <c r="FRJ358" s="92"/>
      <c r="FRK358" s="92"/>
      <c r="FRL358" s="92"/>
      <c r="FRM358" s="92"/>
      <c r="FRN358" s="92"/>
      <c r="FRO358" s="92"/>
      <c r="FRP358" s="92"/>
      <c r="FRQ358" s="92"/>
      <c r="FRR358" s="92"/>
      <c r="FRS358" s="92"/>
      <c r="FRT358" s="92"/>
      <c r="FRU358" s="92"/>
      <c r="FRV358" s="92"/>
      <c r="FRW358" s="92"/>
      <c r="FRX358" s="92"/>
      <c r="FRY358" s="92"/>
      <c r="FRZ358" s="92"/>
      <c r="FSA358" s="92"/>
      <c r="FSB358" s="92"/>
      <c r="FSC358" s="92"/>
      <c r="FSD358" s="92"/>
      <c r="FSE358" s="92"/>
      <c r="FSF358" s="92"/>
      <c r="FSG358" s="92"/>
      <c r="FSH358" s="92"/>
      <c r="FSI358" s="92"/>
      <c r="FSJ358" s="92"/>
      <c r="FSK358" s="92"/>
      <c r="FSL358" s="92"/>
      <c r="FSM358" s="92"/>
      <c r="FSN358" s="92"/>
      <c r="FSO358" s="92"/>
      <c r="FSP358" s="92"/>
      <c r="FSQ358" s="92"/>
      <c r="FSR358" s="92"/>
      <c r="FSS358" s="92"/>
      <c r="FST358" s="92"/>
      <c r="FSU358" s="92"/>
      <c r="FSV358" s="92"/>
      <c r="FSW358" s="92"/>
      <c r="FSX358" s="92"/>
      <c r="FSY358" s="92"/>
      <c r="FSZ358" s="92"/>
      <c r="FTA358" s="92"/>
      <c r="FTB358" s="92"/>
      <c r="FTC358" s="92"/>
      <c r="FTD358" s="92"/>
      <c r="FTE358" s="92"/>
      <c r="FTF358" s="92"/>
      <c r="FTG358" s="92"/>
      <c r="FTH358" s="92"/>
      <c r="FTI358" s="92"/>
      <c r="FTJ358" s="92"/>
      <c r="FTK358" s="92"/>
      <c r="FTL358" s="92"/>
      <c r="FTM358" s="92"/>
      <c r="FTN358" s="92"/>
      <c r="FTO358" s="92"/>
      <c r="FTP358" s="92"/>
      <c r="FTQ358" s="92"/>
      <c r="FTR358" s="92"/>
      <c r="FTS358" s="92"/>
      <c r="FTT358" s="92"/>
      <c r="FTU358" s="92"/>
      <c r="FTV358" s="92"/>
      <c r="FTW358" s="92"/>
      <c r="FTX358" s="92"/>
      <c r="FTY358" s="92"/>
      <c r="FTZ358" s="92"/>
      <c r="FUA358" s="92"/>
      <c r="FUB358" s="92"/>
      <c r="FUC358" s="92"/>
      <c r="FUD358" s="92"/>
      <c r="FUE358" s="92"/>
      <c r="FUF358" s="92"/>
      <c r="FUG358" s="92"/>
      <c r="FUH358" s="92"/>
      <c r="FUI358" s="92"/>
      <c r="FUJ358" s="92"/>
      <c r="FUK358" s="92"/>
      <c r="FUL358" s="92"/>
      <c r="FUM358" s="92"/>
      <c r="FUN358" s="92"/>
      <c r="FUO358" s="92"/>
      <c r="FUP358" s="92"/>
      <c r="FUQ358" s="92"/>
      <c r="FUR358" s="92"/>
      <c r="FUS358" s="92"/>
      <c r="FUT358" s="92"/>
      <c r="FUU358" s="92"/>
      <c r="FUV358" s="92"/>
      <c r="FUW358" s="92"/>
      <c r="FUX358" s="92"/>
      <c r="FUY358" s="92"/>
      <c r="FUZ358" s="92"/>
      <c r="FVA358" s="92"/>
      <c r="FVB358" s="92"/>
      <c r="FVC358" s="92"/>
      <c r="FVD358" s="92"/>
      <c r="FVE358" s="92"/>
      <c r="FVF358" s="92"/>
      <c r="FVG358" s="92"/>
      <c r="FVH358" s="92"/>
      <c r="FVI358" s="92"/>
      <c r="FVJ358" s="92"/>
      <c r="FVK358" s="92"/>
      <c r="FVL358" s="92"/>
      <c r="FVM358" s="92"/>
      <c r="FVN358" s="92"/>
      <c r="FVO358" s="92"/>
      <c r="FVP358" s="92"/>
      <c r="FVQ358" s="92"/>
      <c r="FVR358" s="92"/>
      <c r="FVS358" s="92"/>
      <c r="FVT358" s="92"/>
      <c r="FVU358" s="92"/>
      <c r="FVV358" s="92"/>
      <c r="FVW358" s="92"/>
      <c r="FVX358" s="92"/>
      <c r="FVY358" s="92"/>
      <c r="FVZ358" s="92"/>
      <c r="FWA358" s="92"/>
      <c r="FWB358" s="92"/>
      <c r="FWC358" s="92"/>
      <c r="FWD358" s="92"/>
      <c r="FWE358" s="92"/>
      <c r="FWF358" s="92"/>
      <c r="FWG358" s="92"/>
      <c r="FWH358" s="92"/>
      <c r="FWI358" s="92"/>
      <c r="FWJ358" s="92"/>
      <c r="FWK358" s="92"/>
      <c r="FWL358" s="92"/>
      <c r="FWM358" s="92"/>
      <c r="FWN358" s="92"/>
      <c r="FWO358" s="92"/>
      <c r="FWP358" s="92"/>
      <c r="FWQ358" s="92"/>
      <c r="FWR358" s="92"/>
      <c r="FWS358" s="92"/>
      <c r="FWT358" s="92"/>
      <c r="FWU358" s="92"/>
      <c r="FWV358" s="92"/>
      <c r="FWW358" s="92"/>
      <c r="FWX358" s="92"/>
      <c r="FWY358" s="92"/>
      <c r="FWZ358" s="92"/>
      <c r="FXA358" s="92"/>
      <c r="FXB358" s="92"/>
      <c r="FXC358" s="92"/>
      <c r="FXD358" s="92"/>
      <c r="FXE358" s="92"/>
      <c r="FXF358" s="92"/>
      <c r="FXG358" s="92"/>
      <c r="FXH358" s="92"/>
      <c r="FXI358" s="92"/>
      <c r="FXJ358" s="92"/>
      <c r="FXK358" s="92"/>
      <c r="FXL358" s="92"/>
      <c r="FXM358" s="92"/>
      <c r="FXN358" s="92"/>
      <c r="FXO358" s="92"/>
      <c r="FXP358" s="92"/>
      <c r="FXQ358" s="92"/>
      <c r="FXR358" s="92"/>
      <c r="FXS358" s="92"/>
      <c r="FXT358" s="92"/>
      <c r="FXU358" s="92"/>
      <c r="FXV358" s="92"/>
      <c r="FXW358" s="92"/>
      <c r="FXX358" s="92"/>
      <c r="FXY358" s="92"/>
      <c r="FXZ358" s="92"/>
      <c r="FYA358" s="92"/>
      <c r="FYB358" s="92"/>
      <c r="FYC358" s="92"/>
      <c r="FYD358" s="92"/>
      <c r="FYE358" s="92"/>
      <c r="FYF358" s="92"/>
      <c r="FYG358" s="92"/>
      <c r="FYH358" s="92"/>
      <c r="FYI358" s="92"/>
      <c r="FYJ358" s="92"/>
      <c r="FYK358" s="92"/>
      <c r="FYL358" s="92"/>
      <c r="FYM358" s="92"/>
      <c r="FYN358" s="92"/>
      <c r="FYO358" s="92"/>
      <c r="FYP358" s="92"/>
      <c r="FYQ358" s="92"/>
      <c r="FYR358" s="92"/>
      <c r="FYS358" s="92"/>
      <c r="FYT358" s="92"/>
      <c r="FYU358" s="92"/>
      <c r="FYV358" s="92"/>
      <c r="FYW358" s="92"/>
      <c r="FYX358" s="92"/>
      <c r="FYY358" s="92"/>
      <c r="FYZ358" s="92"/>
      <c r="FZA358" s="92"/>
      <c r="FZB358" s="92"/>
      <c r="FZC358" s="92"/>
      <c r="FZD358" s="92"/>
      <c r="FZE358" s="92"/>
      <c r="FZF358" s="92"/>
      <c r="FZG358" s="92"/>
      <c r="FZH358" s="92"/>
      <c r="FZI358" s="92"/>
      <c r="FZJ358" s="92"/>
      <c r="FZK358" s="92"/>
      <c r="FZL358" s="92"/>
      <c r="FZM358" s="92"/>
      <c r="FZN358" s="92"/>
      <c r="FZO358" s="92"/>
      <c r="FZP358" s="92"/>
      <c r="FZQ358" s="92"/>
      <c r="FZR358" s="92"/>
      <c r="FZS358" s="92"/>
      <c r="FZT358" s="92"/>
      <c r="FZU358" s="92"/>
      <c r="FZV358" s="92"/>
      <c r="FZW358" s="92"/>
      <c r="FZX358" s="92"/>
      <c r="FZY358" s="92"/>
      <c r="FZZ358" s="92"/>
      <c r="GAA358" s="92"/>
      <c r="GAB358" s="92"/>
      <c r="GAC358" s="92"/>
      <c r="GAD358" s="92"/>
      <c r="GAE358" s="92"/>
      <c r="GAF358" s="92"/>
      <c r="GAG358" s="92"/>
      <c r="GAH358" s="92"/>
      <c r="GAI358" s="92"/>
      <c r="GAJ358" s="92"/>
      <c r="GAK358" s="92"/>
      <c r="GAL358" s="92"/>
      <c r="GAM358" s="92"/>
      <c r="GAN358" s="92"/>
      <c r="GAO358" s="92"/>
      <c r="GAP358" s="92"/>
      <c r="GAQ358" s="92"/>
      <c r="GAR358" s="92"/>
      <c r="GAS358" s="92"/>
      <c r="GAT358" s="92"/>
      <c r="GAU358" s="92"/>
      <c r="GAV358" s="92"/>
      <c r="GAW358" s="92"/>
      <c r="GAX358" s="92"/>
      <c r="GAY358" s="92"/>
      <c r="GAZ358" s="92"/>
      <c r="GBA358" s="92"/>
      <c r="GBB358" s="92"/>
      <c r="GBC358" s="92"/>
      <c r="GBD358" s="92"/>
      <c r="GBE358" s="92"/>
      <c r="GBF358" s="92"/>
      <c r="GBG358" s="92"/>
      <c r="GBH358" s="92"/>
      <c r="GBI358" s="92"/>
      <c r="GBJ358" s="92"/>
      <c r="GBK358" s="92"/>
      <c r="GBL358" s="92"/>
      <c r="GBM358" s="92"/>
      <c r="GBN358" s="92"/>
      <c r="GBO358" s="92"/>
      <c r="GBP358" s="92"/>
      <c r="GBQ358" s="92"/>
      <c r="GBR358" s="92"/>
      <c r="GBS358" s="92"/>
      <c r="GBT358" s="92"/>
      <c r="GBU358" s="92"/>
      <c r="GBV358" s="92"/>
      <c r="GBW358" s="92"/>
      <c r="GBX358" s="92"/>
      <c r="GBY358" s="92"/>
      <c r="GBZ358" s="92"/>
      <c r="GCA358" s="92"/>
      <c r="GCB358" s="92"/>
      <c r="GCC358" s="92"/>
      <c r="GCD358" s="92"/>
      <c r="GCE358" s="92"/>
      <c r="GCF358" s="92"/>
      <c r="GCG358" s="92"/>
      <c r="GCH358" s="92"/>
      <c r="GCI358" s="92"/>
      <c r="GCJ358" s="92"/>
      <c r="GCK358" s="92"/>
      <c r="GCL358" s="92"/>
      <c r="GCM358" s="92"/>
      <c r="GCN358" s="92"/>
      <c r="GCO358" s="92"/>
      <c r="GCP358" s="92"/>
      <c r="GCQ358" s="92"/>
      <c r="GCR358" s="92"/>
      <c r="GCS358" s="92"/>
      <c r="GCT358" s="92"/>
      <c r="GCU358" s="92"/>
      <c r="GCV358" s="92"/>
      <c r="GCW358" s="92"/>
      <c r="GCX358" s="92"/>
      <c r="GCY358" s="92"/>
      <c r="GCZ358" s="92"/>
      <c r="GDA358" s="92"/>
      <c r="GDB358" s="92"/>
      <c r="GDC358" s="92"/>
      <c r="GDD358" s="92"/>
      <c r="GDE358" s="92"/>
      <c r="GDF358" s="92"/>
      <c r="GDG358" s="92"/>
      <c r="GDH358" s="92"/>
      <c r="GDI358" s="92"/>
      <c r="GDJ358" s="92"/>
      <c r="GDK358" s="92"/>
      <c r="GDL358" s="92"/>
      <c r="GDM358" s="92"/>
      <c r="GDN358" s="92"/>
      <c r="GDO358" s="92"/>
      <c r="GDP358" s="92"/>
      <c r="GDQ358" s="92"/>
      <c r="GDR358" s="92"/>
      <c r="GDS358" s="92"/>
      <c r="GDT358" s="92"/>
      <c r="GDU358" s="92"/>
      <c r="GDV358" s="92"/>
      <c r="GDW358" s="92"/>
      <c r="GDX358" s="92"/>
      <c r="GDY358" s="92"/>
      <c r="GDZ358" s="92"/>
      <c r="GEA358" s="92"/>
      <c r="GEB358" s="92"/>
      <c r="GEC358" s="92"/>
      <c r="GED358" s="92"/>
      <c r="GEE358" s="92"/>
      <c r="GEF358" s="92"/>
      <c r="GEG358" s="92"/>
      <c r="GEH358" s="92"/>
      <c r="GEI358" s="92"/>
      <c r="GEJ358" s="92"/>
      <c r="GEK358" s="92"/>
      <c r="GEL358" s="92"/>
      <c r="GEM358" s="92"/>
      <c r="GEN358" s="92"/>
      <c r="GEO358" s="92"/>
      <c r="GEP358" s="92"/>
      <c r="GEQ358" s="92"/>
      <c r="GER358" s="92"/>
      <c r="GES358" s="92"/>
      <c r="GET358" s="92"/>
      <c r="GEU358" s="92"/>
      <c r="GEV358" s="92"/>
      <c r="GEW358" s="92"/>
      <c r="GEX358" s="92"/>
      <c r="GEY358" s="92"/>
      <c r="GEZ358" s="92"/>
      <c r="GFA358" s="92"/>
      <c r="GFB358" s="92"/>
      <c r="GFC358" s="92"/>
      <c r="GFD358" s="92"/>
      <c r="GFE358" s="92"/>
      <c r="GFF358" s="92"/>
      <c r="GFG358" s="92"/>
      <c r="GFH358" s="92"/>
      <c r="GFI358" s="92"/>
      <c r="GFJ358" s="92"/>
      <c r="GFK358" s="92"/>
      <c r="GFL358" s="92"/>
      <c r="GFM358" s="92"/>
      <c r="GFN358" s="92"/>
      <c r="GFO358" s="92"/>
      <c r="GFP358" s="92"/>
      <c r="GFQ358" s="92"/>
      <c r="GFR358" s="92"/>
      <c r="GFS358" s="92"/>
      <c r="GFT358" s="92"/>
      <c r="GFU358" s="92"/>
      <c r="GFV358" s="92"/>
      <c r="GFW358" s="92"/>
      <c r="GFX358" s="92"/>
      <c r="GFY358" s="92"/>
      <c r="GFZ358" s="92"/>
      <c r="GGA358" s="92"/>
      <c r="GGB358" s="92"/>
      <c r="GGC358" s="92"/>
      <c r="GGD358" s="92"/>
      <c r="GGE358" s="92"/>
      <c r="GGF358" s="92"/>
      <c r="GGG358" s="92"/>
      <c r="GGH358" s="92"/>
      <c r="GGI358" s="92"/>
      <c r="GGJ358" s="92"/>
      <c r="GGK358" s="92"/>
      <c r="GGL358" s="92"/>
      <c r="GGM358" s="92"/>
      <c r="GGN358" s="92"/>
      <c r="GGO358" s="92"/>
      <c r="GGP358" s="92"/>
      <c r="GGQ358" s="92"/>
      <c r="GGR358" s="92"/>
      <c r="GGS358" s="92"/>
      <c r="GGT358" s="92"/>
      <c r="GGU358" s="92"/>
      <c r="GGV358" s="92"/>
      <c r="GGW358" s="92"/>
      <c r="GGX358" s="92"/>
      <c r="GGY358" s="92"/>
      <c r="GGZ358" s="92"/>
      <c r="GHA358" s="92"/>
      <c r="GHB358" s="92"/>
      <c r="GHC358" s="92"/>
      <c r="GHD358" s="92"/>
      <c r="GHE358" s="92"/>
      <c r="GHF358" s="92"/>
      <c r="GHG358" s="92"/>
      <c r="GHH358" s="92"/>
      <c r="GHI358" s="92"/>
      <c r="GHJ358" s="92"/>
      <c r="GHK358" s="92"/>
      <c r="GHL358" s="92"/>
      <c r="GHM358" s="92"/>
      <c r="GHN358" s="92"/>
      <c r="GHO358" s="92"/>
      <c r="GHP358" s="92"/>
      <c r="GHQ358" s="92"/>
      <c r="GHR358" s="92"/>
      <c r="GHS358" s="92"/>
      <c r="GHT358" s="92"/>
      <c r="GHU358" s="92"/>
      <c r="GHV358" s="92"/>
      <c r="GHW358" s="92"/>
      <c r="GHX358" s="92"/>
      <c r="GHY358" s="92"/>
      <c r="GHZ358" s="92"/>
      <c r="GIA358" s="92"/>
      <c r="GIB358" s="92"/>
      <c r="GIC358" s="92"/>
      <c r="GID358" s="92"/>
      <c r="GIE358" s="92"/>
      <c r="GIF358" s="92"/>
      <c r="GIG358" s="92"/>
      <c r="GIH358" s="92"/>
      <c r="GII358" s="92"/>
      <c r="GIJ358" s="92"/>
      <c r="GIK358" s="92"/>
      <c r="GIL358" s="92"/>
      <c r="GIM358" s="92"/>
      <c r="GIN358" s="92"/>
      <c r="GIO358" s="92"/>
      <c r="GIP358" s="92"/>
      <c r="GIQ358" s="92"/>
      <c r="GIR358" s="92"/>
      <c r="GIS358" s="92"/>
      <c r="GIT358" s="92"/>
      <c r="GIU358" s="92"/>
      <c r="GIV358" s="92"/>
      <c r="GIW358" s="92"/>
      <c r="GIX358" s="92"/>
      <c r="GIY358" s="92"/>
      <c r="GIZ358" s="92"/>
      <c r="GJA358" s="92"/>
      <c r="GJB358" s="92"/>
      <c r="GJC358" s="92"/>
      <c r="GJD358" s="92"/>
      <c r="GJE358" s="92"/>
      <c r="GJF358" s="92"/>
      <c r="GJG358" s="92"/>
      <c r="GJH358" s="92"/>
      <c r="GJI358" s="92"/>
      <c r="GJJ358" s="92"/>
      <c r="GJK358" s="92"/>
      <c r="GJL358" s="92"/>
      <c r="GJM358" s="92"/>
      <c r="GJN358" s="92"/>
      <c r="GJO358" s="92"/>
      <c r="GJP358" s="92"/>
      <c r="GJQ358" s="92"/>
      <c r="GJR358" s="92"/>
      <c r="GJS358" s="92"/>
      <c r="GJT358" s="92"/>
      <c r="GJU358" s="92"/>
      <c r="GJV358" s="92"/>
      <c r="GJW358" s="92"/>
      <c r="GJX358" s="92"/>
      <c r="GJY358" s="92"/>
      <c r="GJZ358" s="92"/>
      <c r="GKA358" s="92"/>
      <c r="GKB358" s="92"/>
      <c r="GKC358" s="92"/>
      <c r="GKD358" s="92"/>
      <c r="GKE358" s="92"/>
      <c r="GKF358" s="92"/>
      <c r="GKG358" s="92"/>
      <c r="GKH358" s="92"/>
      <c r="GKI358" s="92"/>
      <c r="GKJ358" s="92"/>
      <c r="GKK358" s="92"/>
      <c r="GKL358" s="92"/>
      <c r="GKM358" s="92"/>
      <c r="GKN358" s="92"/>
      <c r="GKO358" s="92"/>
      <c r="GKP358" s="92"/>
      <c r="GKQ358" s="92"/>
      <c r="GKR358" s="92"/>
      <c r="GKS358" s="92"/>
      <c r="GKT358" s="92"/>
      <c r="GKU358" s="92"/>
      <c r="GKV358" s="92"/>
      <c r="GKW358" s="92"/>
      <c r="GKX358" s="92"/>
      <c r="GKY358" s="92"/>
      <c r="GKZ358" s="92"/>
      <c r="GLA358" s="92"/>
      <c r="GLB358" s="92"/>
      <c r="GLC358" s="92"/>
      <c r="GLD358" s="92"/>
      <c r="GLE358" s="92"/>
      <c r="GLF358" s="92"/>
      <c r="GLG358" s="92"/>
      <c r="GLH358" s="92"/>
      <c r="GLI358" s="92"/>
      <c r="GLJ358" s="92"/>
      <c r="GLK358" s="92"/>
      <c r="GLL358" s="92"/>
      <c r="GLM358" s="92"/>
      <c r="GLN358" s="92"/>
      <c r="GLO358" s="92"/>
      <c r="GLP358" s="92"/>
      <c r="GLQ358" s="92"/>
      <c r="GLR358" s="92"/>
      <c r="GLS358" s="92"/>
      <c r="GLT358" s="92"/>
      <c r="GLU358" s="92"/>
      <c r="GLV358" s="92"/>
      <c r="GLW358" s="92"/>
      <c r="GLX358" s="92"/>
      <c r="GLY358" s="92"/>
      <c r="GLZ358" s="92"/>
      <c r="GMA358" s="92"/>
      <c r="GMB358" s="92"/>
      <c r="GMC358" s="92"/>
      <c r="GMD358" s="92"/>
      <c r="GME358" s="92"/>
      <c r="GMF358" s="92"/>
      <c r="GMG358" s="92"/>
      <c r="GMH358" s="92"/>
      <c r="GMI358" s="92"/>
      <c r="GMJ358" s="92"/>
      <c r="GMK358" s="92"/>
      <c r="GML358" s="92"/>
      <c r="GMM358" s="92"/>
      <c r="GMN358" s="92"/>
      <c r="GMO358" s="92"/>
      <c r="GMP358" s="92"/>
      <c r="GMQ358" s="92"/>
      <c r="GMR358" s="92"/>
      <c r="GMS358" s="92"/>
      <c r="GMT358" s="92"/>
      <c r="GMU358" s="92"/>
      <c r="GMV358" s="92"/>
      <c r="GMW358" s="92"/>
      <c r="GMX358" s="92"/>
      <c r="GMY358" s="92"/>
      <c r="GMZ358" s="92"/>
      <c r="GNA358" s="92"/>
      <c r="GNB358" s="92"/>
      <c r="GNC358" s="92"/>
      <c r="GND358" s="92"/>
      <c r="GNE358" s="92"/>
      <c r="GNF358" s="92"/>
      <c r="GNG358" s="92"/>
      <c r="GNH358" s="92"/>
      <c r="GNI358" s="92"/>
      <c r="GNJ358" s="92"/>
      <c r="GNK358" s="92"/>
      <c r="GNL358" s="92"/>
      <c r="GNM358" s="92"/>
      <c r="GNN358" s="92"/>
      <c r="GNO358" s="92"/>
      <c r="GNP358" s="92"/>
      <c r="GNQ358" s="92"/>
      <c r="GNR358" s="92"/>
      <c r="GNS358" s="92"/>
      <c r="GNT358" s="92"/>
      <c r="GNU358" s="92"/>
      <c r="GNV358" s="92"/>
      <c r="GNW358" s="92"/>
      <c r="GNX358" s="92"/>
      <c r="GNY358" s="92"/>
      <c r="GNZ358" s="92"/>
      <c r="GOA358" s="92"/>
      <c r="GOB358" s="92"/>
      <c r="GOC358" s="92"/>
      <c r="GOD358" s="92"/>
      <c r="GOE358" s="92"/>
      <c r="GOF358" s="92"/>
      <c r="GOG358" s="92"/>
      <c r="GOH358" s="92"/>
      <c r="GOI358" s="92"/>
      <c r="GOJ358" s="92"/>
      <c r="GOK358" s="92"/>
      <c r="GOL358" s="92"/>
      <c r="GOM358" s="92"/>
      <c r="GON358" s="92"/>
      <c r="GOO358" s="92"/>
      <c r="GOP358" s="92"/>
      <c r="GOQ358" s="92"/>
      <c r="GOR358" s="92"/>
      <c r="GOS358" s="92"/>
      <c r="GOT358" s="92"/>
      <c r="GOU358" s="92"/>
      <c r="GOV358" s="92"/>
      <c r="GOW358" s="92"/>
      <c r="GOX358" s="92"/>
      <c r="GOY358" s="92"/>
      <c r="GOZ358" s="92"/>
      <c r="GPA358" s="92"/>
      <c r="GPB358" s="92"/>
      <c r="GPC358" s="92"/>
      <c r="GPD358" s="92"/>
      <c r="GPE358" s="92"/>
      <c r="GPF358" s="92"/>
      <c r="GPG358" s="92"/>
      <c r="GPH358" s="92"/>
      <c r="GPI358" s="92"/>
      <c r="GPJ358" s="92"/>
      <c r="GPK358" s="92"/>
      <c r="GPL358" s="92"/>
      <c r="GPM358" s="92"/>
      <c r="GPN358" s="92"/>
      <c r="GPO358" s="92"/>
      <c r="GPP358" s="92"/>
      <c r="GPQ358" s="92"/>
      <c r="GPR358" s="92"/>
      <c r="GPS358" s="92"/>
      <c r="GPT358" s="92"/>
      <c r="GPU358" s="92"/>
      <c r="GPV358" s="92"/>
      <c r="GPW358" s="92"/>
      <c r="GPX358" s="92"/>
      <c r="GPY358" s="92"/>
      <c r="GPZ358" s="92"/>
      <c r="GQA358" s="92"/>
      <c r="GQB358" s="92"/>
      <c r="GQC358" s="92"/>
      <c r="GQD358" s="92"/>
      <c r="GQE358" s="92"/>
      <c r="GQF358" s="92"/>
      <c r="GQG358" s="92"/>
      <c r="GQH358" s="92"/>
      <c r="GQI358" s="92"/>
      <c r="GQJ358" s="92"/>
      <c r="GQK358" s="92"/>
      <c r="GQL358" s="92"/>
      <c r="GQM358" s="92"/>
      <c r="GQN358" s="92"/>
      <c r="GQO358" s="92"/>
      <c r="GQP358" s="92"/>
      <c r="GQQ358" s="92"/>
      <c r="GQR358" s="92"/>
      <c r="GQS358" s="92"/>
      <c r="GQT358" s="92"/>
      <c r="GQU358" s="92"/>
      <c r="GQV358" s="92"/>
      <c r="GQW358" s="92"/>
      <c r="GQX358" s="92"/>
      <c r="GQY358" s="92"/>
      <c r="GQZ358" s="92"/>
      <c r="GRA358" s="92"/>
      <c r="GRB358" s="92"/>
      <c r="GRC358" s="92"/>
      <c r="GRD358" s="92"/>
      <c r="GRE358" s="92"/>
      <c r="GRF358" s="92"/>
      <c r="GRG358" s="92"/>
      <c r="GRH358" s="92"/>
      <c r="GRI358" s="92"/>
      <c r="GRJ358" s="92"/>
      <c r="GRK358" s="92"/>
      <c r="GRL358" s="92"/>
      <c r="GRM358" s="92"/>
      <c r="GRN358" s="92"/>
      <c r="GRO358" s="92"/>
      <c r="GRP358" s="92"/>
      <c r="GRQ358" s="92"/>
      <c r="GRR358" s="92"/>
      <c r="GRS358" s="92"/>
      <c r="GRT358" s="92"/>
      <c r="GRU358" s="92"/>
      <c r="GRV358" s="92"/>
      <c r="GRW358" s="92"/>
      <c r="GRX358" s="92"/>
      <c r="GRY358" s="92"/>
      <c r="GRZ358" s="92"/>
      <c r="GSA358" s="92"/>
      <c r="GSB358" s="92"/>
      <c r="GSC358" s="92"/>
      <c r="GSD358" s="92"/>
      <c r="GSE358" s="92"/>
      <c r="GSF358" s="92"/>
      <c r="GSG358" s="92"/>
      <c r="GSH358" s="92"/>
      <c r="GSI358" s="92"/>
      <c r="GSJ358" s="92"/>
      <c r="GSK358" s="92"/>
      <c r="GSL358" s="92"/>
      <c r="GSM358" s="92"/>
      <c r="GSN358" s="92"/>
      <c r="GSO358" s="92"/>
      <c r="GSP358" s="92"/>
      <c r="GSQ358" s="92"/>
      <c r="GSR358" s="92"/>
      <c r="GSS358" s="92"/>
      <c r="GST358" s="92"/>
      <c r="GSU358" s="92"/>
      <c r="GSV358" s="92"/>
      <c r="GSW358" s="92"/>
      <c r="GSX358" s="92"/>
      <c r="GSY358" s="92"/>
      <c r="GSZ358" s="92"/>
      <c r="GTA358" s="92"/>
      <c r="GTB358" s="92"/>
      <c r="GTC358" s="92"/>
      <c r="GTD358" s="92"/>
      <c r="GTE358" s="92"/>
      <c r="GTF358" s="92"/>
      <c r="GTG358" s="92"/>
      <c r="GTH358" s="92"/>
      <c r="GTI358" s="92"/>
      <c r="GTJ358" s="92"/>
      <c r="GTK358" s="92"/>
      <c r="GTL358" s="92"/>
      <c r="GTM358" s="92"/>
      <c r="GTN358" s="92"/>
      <c r="GTO358" s="92"/>
      <c r="GTP358" s="92"/>
      <c r="GTQ358" s="92"/>
      <c r="GTR358" s="92"/>
      <c r="GTS358" s="92"/>
      <c r="GTT358" s="92"/>
      <c r="GTU358" s="92"/>
      <c r="GTV358" s="92"/>
      <c r="GTW358" s="92"/>
      <c r="GTX358" s="92"/>
      <c r="GTY358" s="92"/>
      <c r="GTZ358" s="92"/>
      <c r="GUA358" s="92"/>
      <c r="GUB358" s="92"/>
      <c r="GUC358" s="92"/>
      <c r="GUD358" s="92"/>
      <c r="GUE358" s="92"/>
      <c r="GUF358" s="92"/>
      <c r="GUG358" s="92"/>
      <c r="GUH358" s="92"/>
      <c r="GUI358" s="92"/>
      <c r="GUJ358" s="92"/>
      <c r="GUK358" s="92"/>
      <c r="GUL358" s="92"/>
      <c r="GUM358" s="92"/>
      <c r="GUN358" s="92"/>
      <c r="GUO358" s="92"/>
      <c r="GUP358" s="92"/>
      <c r="GUQ358" s="92"/>
      <c r="GUR358" s="92"/>
      <c r="GUS358" s="92"/>
      <c r="GUT358" s="92"/>
      <c r="GUU358" s="92"/>
      <c r="GUV358" s="92"/>
      <c r="GUW358" s="92"/>
      <c r="GUX358" s="92"/>
      <c r="GUY358" s="92"/>
      <c r="GUZ358" s="92"/>
      <c r="GVA358" s="92"/>
      <c r="GVB358" s="92"/>
      <c r="GVC358" s="92"/>
      <c r="GVD358" s="92"/>
      <c r="GVE358" s="92"/>
      <c r="GVF358" s="92"/>
      <c r="GVG358" s="92"/>
      <c r="GVH358" s="92"/>
      <c r="GVI358" s="92"/>
      <c r="GVJ358" s="92"/>
      <c r="GVK358" s="92"/>
      <c r="GVL358" s="92"/>
      <c r="GVM358" s="92"/>
      <c r="GVN358" s="92"/>
      <c r="GVO358" s="92"/>
      <c r="GVP358" s="92"/>
      <c r="GVQ358" s="92"/>
      <c r="GVR358" s="92"/>
      <c r="GVS358" s="92"/>
      <c r="GVT358" s="92"/>
      <c r="GVU358" s="92"/>
      <c r="GVV358" s="92"/>
      <c r="GVW358" s="92"/>
      <c r="GVX358" s="92"/>
      <c r="GVY358" s="92"/>
      <c r="GVZ358" s="92"/>
      <c r="GWA358" s="92"/>
      <c r="GWB358" s="92"/>
      <c r="GWC358" s="92"/>
      <c r="GWD358" s="92"/>
      <c r="GWE358" s="92"/>
      <c r="GWF358" s="92"/>
      <c r="GWG358" s="92"/>
      <c r="GWH358" s="92"/>
      <c r="GWI358" s="92"/>
      <c r="GWJ358" s="92"/>
      <c r="GWK358" s="92"/>
      <c r="GWL358" s="92"/>
      <c r="GWM358" s="92"/>
      <c r="GWN358" s="92"/>
      <c r="GWO358" s="92"/>
      <c r="GWP358" s="92"/>
      <c r="GWQ358" s="92"/>
      <c r="GWR358" s="92"/>
      <c r="GWS358" s="92"/>
      <c r="GWT358" s="92"/>
      <c r="GWU358" s="92"/>
      <c r="GWV358" s="92"/>
      <c r="GWW358" s="92"/>
      <c r="GWX358" s="92"/>
      <c r="GWY358" s="92"/>
      <c r="GWZ358" s="92"/>
      <c r="GXA358" s="92"/>
      <c r="GXB358" s="92"/>
      <c r="GXC358" s="92"/>
      <c r="GXD358" s="92"/>
      <c r="GXE358" s="92"/>
      <c r="GXF358" s="92"/>
      <c r="GXG358" s="92"/>
      <c r="GXH358" s="92"/>
      <c r="GXI358" s="92"/>
      <c r="GXJ358" s="92"/>
      <c r="GXK358" s="92"/>
      <c r="GXL358" s="92"/>
      <c r="GXM358" s="92"/>
      <c r="GXN358" s="92"/>
      <c r="GXO358" s="92"/>
      <c r="GXP358" s="92"/>
      <c r="GXQ358" s="92"/>
      <c r="GXR358" s="92"/>
      <c r="GXS358" s="92"/>
      <c r="GXT358" s="92"/>
      <c r="GXU358" s="92"/>
      <c r="GXV358" s="92"/>
      <c r="GXW358" s="92"/>
      <c r="GXX358" s="92"/>
      <c r="GXY358" s="92"/>
      <c r="GXZ358" s="92"/>
      <c r="GYA358" s="92"/>
      <c r="GYB358" s="92"/>
      <c r="GYC358" s="92"/>
      <c r="GYD358" s="92"/>
      <c r="GYE358" s="92"/>
      <c r="GYF358" s="92"/>
      <c r="GYG358" s="92"/>
      <c r="GYH358" s="92"/>
      <c r="GYI358" s="92"/>
      <c r="GYJ358" s="92"/>
      <c r="GYK358" s="92"/>
      <c r="GYL358" s="92"/>
      <c r="GYM358" s="92"/>
      <c r="GYN358" s="92"/>
      <c r="GYO358" s="92"/>
      <c r="GYP358" s="92"/>
      <c r="GYQ358" s="92"/>
      <c r="GYR358" s="92"/>
      <c r="GYS358" s="92"/>
      <c r="GYT358" s="92"/>
      <c r="GYU358" s="92"/>
      <c r="GYV358" s="92"/>
      <c r="GYW358" s="92"/>
      <c r="GYX358" s="92"/>
      <c r="GYY358" s="92"/>
      <c r="GYZ358" s="92"/>
      <c r="GZA358" s="92"/>
      <c r="GZB358" s="92"/>
      <c r="GZC358" s="92"/>
      <c r="GZD358" s="92"/>
      <c r="GZE358" s="92"/>
      <c r="GZF358" s="92"/>
      <c r="GZG358" s="92"/>
      <c r="GZH358" s="92"/>
      <c r="GZI358" s="92"/>
      <c r="GZJ358" s="92"/>
      <c r="GZK358" s="92"/>
      <c r="GZL358" s="92"/>
      <c r="GZM358" s="92"/>
      <c r="GZN358" s="92"/>
      <c r="GZO358" s="92"/>
      <c r="GZP358" s="92"/>
      <c r="GZQ358" s="92"/>
      <c r="GZR358" s="92"/>
      <c r="GZS358" s="92"/>
      <c r="GZT358" s="92"/>
      <c r="GZU358" s="92"/>
      <c r="GZV358" s="92"/>
      <c r="GZW358" s="92"/>
      <c r="GZX358" s="92"/>
      <c r="GZY358" s="92"/>
      <c r="GZZ358" s="92"/>
      <c r="HAA358" s="92"/>
      <c r="HAB358" s="92"/>
      <c r="HAC358" s="92"/>
      <c r="HAD358" s="92"/>
      <c r="HAE358" s="92"/>
      <c r="HAF358" s="92"/>
      <c r="HAG358" s="92"/>
      <c r="HAH358" s="92"/>
      <c r="HAI358" s="92"/>
      <c r="HAJ358" s="92"/>
      <c r="HAK358" s="92"/>
      <c r="HAL358" s="92"/>
      <c r="HAM358" s="92"/>
      <c r="HAN358" s="92"/>
      <c r="HAO358" s="92"/>
      <c r="HAP358" s="92"/>
      <c r="HAQ358" s="92"/>
      <c r="HAR358" s="92"/>
      <c r="HAS358" s="92"/>
      <c r="HAT358" s="92"/>
      <c r="HAU358" s="92"/>
      <c r="HAV358" s="92"/>
      <c r="HAW358" s="92"/>
      <c r="HAX358" s="92"/>
      <c r="HAY358" s="92"/>
      <c r="HAZ358" s="92"/>
      <c r="HBA358" s="92"/>
      <c r="HBB358" s="92"/>
      <c r="HBC358" s="92"/>
      <c r="HBD358" s="92"/>
      <c r="HBE358" s="92"/>
      <c r="HBF358" s="92"/>
      <c r="HBG358" s="92"/>
      <c r="HBH358" s="92"/>
      <c r="HBI358" s="92"/>
      <c r="HBJ358" s="92"/>
      <c r="HBK358" s="92"/>
      <c r="HBL358" s="92"/>
      <c r="HBM358" s="92"/>
      <c r="HBN358" s="92"/>
      <c r="HBO358" s="92"/>
      <c r="HBP358" s="92"/>
      <c r="HBQ358" s="92"/>
      <c r="HBR358" s="92"/>
      <c r="HBS358" s="92"/>
      <c r="HBT358" s="92"/>
      <c r="HBU358" s="92"/>
      <c r="HBV358" s="92"/>
      <c r="HBW358" s="92"/>
      <c r="HBX358" s="92"/>
      <c r="HBY358" s="92"/>
      <c r="HBZ358" s="92"/>
      <c r="HCA358" s="92"/>
      <c r="HCB358" s="92"/>
      <c r="HCC358" s="92"/>
      <c r="HCD358" s="92"/>
      <c r="HCE358" s="92"/>
      <c r="HCF358" s="92"/>
      <c r="HCG358" s="92"/>
      <c r="HCH358" s="92"/>
      <c r="HCI358" s="92"/>
      <c r="HCJ358" s="92"/>
      <c r="HCK358" s="92"/>
      <c r="HCL358" s="92"/>
      <c r="HCM358" s="92"/>
      <c r="HCN358" s="92"/>
      <c r="HCO358" s="92"/>
      <c r="HCP358" s="92"/>
      <c r="HCQ358" s="92"/>
      <c r="HCR358" s="92"/>
      <c r="HCS358" s="92"/>
      <c r="HCT358" s="92"/>
      <c r="HCU358" s="92"/>
      <c r="HCV358" s="92"/>
      <c r="HCW358" s="92"/>
      <c r="HCX358" s="92"/>
      <c r="HCY358" s="92"/>
      <c r="HCZ358" s="92"/>
      <c r="HDA358" s="92"/>
      <c r="HDB358" s="92"/>
      <c r="HDC358" s="92"/>
      <c r="HDD358" s="92"/>
      <c r="HDE358" s="92"/>
      <c r="HDF358" s="92"/>
      <c r="HDG358" s="92"/>
      <c r="HDH358" s="92"/>
      <c r="HDI358" s="92"/>
      <c r="HDJ358" s="92"/>
      <c r="HDK358" s="92"/>
      <c r="HDL358" s="92"/>
      <c r="HDM358" s="92"/>
      <c r="HDN358" s="92"/>
      <c r="HDO358" s="92"/>
      <c r="HDP358" s="92"/>
      <c r="HDQ358" s="92"/>
      <c r="HDR358" s="92"/>
      <c r="HDS358" s="92"/>
      <c r="HDT358" s="92"/>
      <c r="HDU358" s="92"/>
      <c r="HDV358" s="92"/>
      <c r="HDW358" s="92"/>
      <c r="HDX358" s="92"/>
      <c r="HDY358" s="92"/>
      <c r="HDZ358" s="92"/>
      <c r="HEA358" s="92"/>
      <c r="HEB358" s="92"/>
      <c r="HEC358" s="92"/>
      <c r="HED358" s="92"/>
      <c r="HEE358" s="92"/>
      <c r="HEF358" s="92"/>
      <c r="HEG358" s="92"/>
      <c r="HEH358" s="92"/>
      <c r="HEI358" s="92"/>
      <c r="HEJ358" s="92"/>
      <c r="HEK358" s="92"/>
      <c r="HEL358" s="92"/>
      <c r="HEM358" s="92"/>
      <c r="HEN358" s="92"/>
      <c r="HEO358" s="92"/>
      <c r="HEP358" s="92"/>
      <c r="HEQ358" s="92"/>
      <c r="HER358" s="92"/>
      <c r="HES358" s="92"/>
      <c r="HET358" s="92"/>
      <c r="HEU358" s="92"/>
      <c r="HEV358" s="92"/>
      <c r="HEW358" s="92"/>
      <c r="HEX358" s="92"/>
      <c r="HEY358" s="92"/>
      <c r="HEZ358" s="92"/>
      <c r="HFA358" s="92"/>
      <c r="HFB358" s="92"/>
      <c r="HFC358" s="92"/>
      <c r="HFD358" s="92"/>
      <c r="HFE358" s="92"/>
      <c r="HFF358" s="92"/>
      <c r="HFG358" s="92"/>
      <c r="HFH358" s="92"/>
      <c r="HFI358" s="92"/>
      <c r="HFJ358" s="92"/>
      <c r="HFK358" s="92"/>
      <c r="HFL358" s="92"/>
      <c r="HFM358" s="92"/>
      <c r="HFN358" s="92"/>
      <c r="HFO358" s="92"/>
      <c r="HFP358" s="92"/>
      <c r="HFQ358" s="92"/>
      <c r="HFR358" s="92"/>
      <c r="HFS358" s="92"/>
      <c r="HFT358" s="92"/>
      <c r="HFU358" s="92"/>
      <c r="HFV358" s="92"/>
      <c r="HFW358" s="92"/>
      <c r="HFX358" s="92"/>
      <c r="HFY358" s="92"/>
      <c r="HFZ358" s="92"/>
      <c r="HGA358" s="92"/>
      <c r="HGB358" s="92"/>
      <c r="HGC358" s="92"/>
      <c r="HGD358" s="92"/>
      <c r="HGE358" s="92"/>
      <c r="HGF358" s="92"/>
      <c r="HGG358" s="92"/>
      <c r="HGH358" s="92"/>
      <c r="HGI358" s="92"/>
      <c r="HGJ358" s="92"/>
      <c r="HGK358" s="92"/>
      <c r="HGL358" s="92"/>
      <c r="HGM358" s="92"/>
      <c r="HGN358" s="92"/>
      <c r="HGO358" s="92"/>
      <c r="HGP358" s="92"/>
      <c r="HGQ358" s="92"/>
      <c r="HGR358" s="92"/>
      <c r="HGS358" s="92"/>
      <c r="HGT358" s="92"/>
      <c r="HGU358" s="92"/>
      <c r="HGV358" s="92"/>
      <c r="HGW358" s="92"/>
      <c r="HGX358" s="92"/>
      <c r="HGY358" s="92"/>
      <c r="HGZ358" s="92"/>
      <c r="HHA358" s="92"/>
      <c r="HHB358" s="92"/>
      <c r="HHC358" s="92"/>
      <c r="HHD358" s="92"/>
      <c r="HHE358" s="92"/>
      <c r="HHF358" s="92"/>
      <c r="HHG358" s="92"/>
      <c r="HHH358" s="92"/>
      <c r="HHI358" s="92"/>
      <c r="HHJ358" s="92"/>
      <c r="HHK358" s="92"/>
      <c r="HHL358" s="92"/>
      <c r="HHM358" s="92"/>
      <c r="HHN358" s="92"/>
      <c r="HHO358" s="92"/>
      <c r="HHP358" s="92"/>
      <c r="HHQ358" s="92"/>
      <c r="HHR358" s="92"/>
      <c r="HHS358" s="92"/>
      <c r="HHT358" s="92"/>
      <c r="HHU358" s="92"/>
      <c r="HHV358" s="92"/>
      <c r="HHW358" s="92"/>
      <c r="HHX358" s="92"/>
      <c r="HHY358" s="92"/>
      <c r="HHZ358" s="92"/>
      <c r="HIA358" s="92"/>
      <c r="HIB358" s="92"/>
      <c r="HIC358" s="92"/>
      <c r="HID358" s="92"/>
      <c r="HIE358" s="92"/>
      <c r="HIF358" s="92"/>
      <c r="HIG358" s="92"/>
      <c r="HIH358" s="92"/>
      <c r="HII358" s="92"/>
      <c r="HIJ358" s="92"/>
      <c r="HIK358" s="92"/>
      <c r="HIL358" s="92"/>
      <c r="HIM358" s="92"/>
      <c r="HIN358" s="92"/>
      <c r="HIO358" s="92"/>
      <c r="HIP358" s="92"/>
      <c r="HIQ358" s="92"/>
      <c r="HIR358" s="92"/>
      <c r="HIS358" s="92"/>
      <c r="HIT358" s="92"/>
      <c r="HIU358" s="92"/>
      <c r="HIV358" s="92"/>
      <c r="HIW358" s="92"/>
      <c r="HIX358" s="92"/>
      <c r="HIY358" s="92"/>
      <c r="HIZ358" s="92"/>
      <c r="HJA358" s="92"/>
      <c r="HJB358" s="92"/>
      <c r="HJC358" s="92"/>
      <c r="HJD358" s="92"/>
      <c r="HJE358" s="92"/>
      <c r="HJF358" s="92"/>
      <c r="HJG358" s="92"/>
      <c r="HJH358" s="92"/>
      <c r="HJI358" s="92"/>
      <c r="HJJ358" s="92"/>
      <c r="HJK358" s="92"/>
      <c r="HJL358" s="92"/>
      <c r="HJM358" s="92"/>
      <c r="HJN358" s="92"/>
      <c r="HJO358" s="92"/>
      <c r="HJP358" s="92"/>
      <c r="HJQ358" s="92"/>
      <c r="HJR358" s="92"/>
      <c r="HJS358" s="92"/>
      <c r="HJT358" s="92"/>
      <c r="HJU358" s="92"/>
      <c r="HJV358" s="92"/>
      <c r="HJW358" s="92"/>
      <c r="HJX358" s="92"/>
      <c r="HJY358" s="92"/>
      <c r="HJZ358" s="92"/>
      <c r="HKA358" s="92"/>
      <c r="HKB358" s="92"/>
      <c r="HKC358" s="92"/>
      <c r="HKD358" s="92"/>
      <c r="HKE358" s="92"/>
      <c r="HKF358" s="92"/>
      <c r="HKG358" s="92"/>
      <c r="HKH358" s="92"/>
      <c r="HKI358" s="92"/>
      <c r="HKJ358" s="92"/>
      <c r="HKK358" s="92"/>
      <c r="HKL358" s="92"/>
      <c r="HKM358" s="92"/>
      <c r="HKN358" s="92"/>
      <c r="HKO358" s="92"/>
      <c r="HKP358" s="92"/>
      <c r="HKQ358" s="92"/>
      <c r="HKR358" s="92"/>
      <c r="HKS358" s="92"/>
      <c r="HKT358" s="92"/>
      <c r="HKU358" s="92"/>
      <c r="HKV358" s="92"/>
      <c r="HKW358" s="92"/>
      <c r="HKX358" s="92"/>
      <c r="HKY358" s="92"/>
      <c r="HKZ358" s="92"/>
      <c r="HLA358" s="92"/>
      <c r="HLB358" s="92"/>
      <c r="HLC358" s="92"/>
      <c r="HLD358" s="92"/>
      <c r="HLE358" s="92"/>
      <c r="HLF358" s="92"/>
      <c r="HLG358" s="92"/>
      <c r="HLH358" s="92"/>
      <c r="HLI358" s="92"/>
      <c r="HLJ358" s="92"/>
      <c r="HLK358" s="92"/>
      <c r="HLL358" s="92"/>
      <c r="HLM358" s="92"/>
      <c r="HLN358" s="92"/>
      <c r="HLO358" s="92"/>
      <c r="HLP358" s="92"/>
      <c r="HLQ358" s="92"/>
      <c r="HLR358" s="92"/>
      <c r="HLS358" s="92"/>
      <c r="HLT358" s="92"/>
      <c r="HLU358" s="92"/>
      <c r="HLV358" s="92"/>
      <c r="HLW358" s="92"/>
      <c r="HLX358" s="92"/>
      <c r="HLY358" s="92"/>
      <c r="HLZ358" s="92"/>
      <c r="HMA358" s="92"/>
      <c r="HMB358" s="92"/>
      <c r="HMC358" s="92"/>
      <c r="HMD358" s="92"/>
      <c r="HME358" s="92"/>
      <c r="HMF358" s="92"/>
      <c r="HMG358" s="92"/>
      <c r="HMH358" s="92"/>
      <c r="HMI358" s="92"/>
      <c r="HMJ358" s="92"/>
      <c r="HMK358" s="92"/>
      <c r="HML358" s="92"/>
      <c r="HMM358" s="92"/>
      <c r="HMN358" s="92"/>
      <c r="HMO358" s="92"/>
      <c r="HMP358" s="92"/>
      <c r="HMQ358" s="92"/>
      <c r="HMR358" s="92"/>
      <c r="HMS358" s="92"/>
      <c r="HMT358" s="92"/>
      <c r="HMU358" s="92"/>
      <c r="HMV358" s="92"/>
      <c r="HMW358" s="92"/>
      <c r="HMX358" s="92"/>
      <c r="HMY358" s="92"/>
      <c r="HMZ358" s="92"/>
      <c r="HNA358" s="92"/>
      <c r="HNB358" s="92"/>
      <c r="HNC358" s="92"/>
      <c r="HND358" s="92"/>
      <c r="HNE358" s="92"/>
      <c r="HNF358" s="92"/>
      <c r="HNG358" s="92"/>
      <c r="HNH358" s="92"/>
      <c r="HNI358" s="92"/>
      <c r="HNJ358" s="92"/>
      <c r="HNK358" s="92"/>
      <c r="HNL358" s="92"/>
      <c r="HNM358" s="92"/>
      <c r="HNN358" s="92"/>
      <c r="HNO358" s="92"/>
      <c r="HNP358" s="92"/>
      <c r="HNQ358" s="92"/>
      <c r="HNR358" s="92"/>
      <c r="HNS358" s="92"/>
      <c r="HNT358" s="92"/>
      <c r="HNU358" s="92"/>
      <c r="HNV358" s="92"/>
      <c r="HNW358" s="92"/>
      <c r="HNX358" s="92"/>
      <c r="HNY358" s="92"/>
      <c r="HNZ358" s="92"/>
      <c r="HOA358" s="92"/>
      <c r="HOB358" s="92"/>
      <c r="HOC358" s="92"/>
      <c r="HOD358" s="92"/>
      <c r="HOE358" s="92"/>
      <c r="HOF358" s="92"/>
      <c r="HOG358" s="92"/>
      <c r="HOH358" s="92"/>
      <c r="HOI358" s="92"/>
      <c r="HOJ358" s="92"/>
      <c r="HOK358" s="92"/>
      <c r="HOL358" s="92"/>
      <c r="HOM358" s="92"/>
      <c r="HON358" s="92"/>
      <c r="HOO358" s="92"/>
      <c r="HOP358" s="92"/>
      <c r="HOQ358" s="92"/>
      <c r="HOR358" s="92"/>
      <c r="HOS358" s="92"/>
      <c r="HOT358" s="92"/>
      <c r="HOU358" s="92"/>
      <c r="HOV358" s="92"/>
      <c r="HOW358" s="92"/>
      <c r="HOX358" s="92"/>
      <c r="HOY358" s="92"/>
      <c r="HOZ358" s="92"/>
      <c r="HPA358" s="92"/>
      <c r="HPB358" s="92"/>
      <c r="HPC358" s="92"/>
      <c r="HPD358" s="92"/>
      <c r="HPE358" s="92"/>
      <c r="HPF358" s="92"/>
      <c r="HPG358" s="92"/>
      <c r="HPH358" s="92"/>
      <c r="HPI358" s="92"/>
      <c r="HPJ358" s="92"/>
      <c r="HPK358" s="92"/>
      <c r="HPL358" s="92"/>
      <c r="HPM358" s="92"/>
      <c r="HPN358" s="92"/>
      <c r="HPO358" s="92"/>
      <c r="HPP358" s="92"/>
      <c r="HPQ358" s="92"/>
      <c r="HPR358" s="92"/>
      <c r="HPS358" s="92"/>
      <c r="HPT358" s="92"/>
      <c r="HPU358" s="92"/>
      <c r="HPV358" s="92"/>
      <c r="HPW358" s="92"/>
      <c r="HPX358" s="92"/>
      <c r="HPY358" s="92"/>
      <c r="HPZ358" s="92"/>
      <c r="HQA358" s="92"/>
      <c r="HQB358" s="92"/>
      <c r="HQC358" s="92"/>
      <c r="HQD358" s="92"/>
      <c r="HQE358" s="92"/>
      <c r="HQF358" s="92"/>
      <c r="HQG358" s="92"/>
      <c r="HQH358" s="92"/>
      <c r="HQI358" s="92"/>
      <c r="HQJ358" s="92"/>
      <c r="HQK358" s="92"/>
      <c r="HQL358" s="92"/>
      <c r="HQM358" s="92"/>
      <c r="HQN358" s="92"/>
      <c r="HQO358" s="92"/>
      <c r="HQP358" s="92"/>
      <c r="HQQ358" s="92"/>
      <c r="HQR358" s="92"/>
      <c r="HQS358" s="92"/>
      <c r="HQT358" s="92"/>
      <c r="HQU358" s="92"/>
      <c r="HQV358" s="92"/>
      <c r="HQW358" s="92"/>
      <c r="HQX358" s="92"/>
      <c r="HQY358" s="92"/>
      <c r="HQZ358" s="92"/>
      <c r="HRA358" s="92"/>
      <c r="HRB358" s="92"/>
      <c r="HRC358" s="92"/>
      <c r="HRD358" s="92"/>
      <c r="HRE358" s="92"/>
      <c r="HRF358" s="92"/>
      <c r="HRG358" s="92"/>
      <c r="HRH358" s="92"/>
      <c r="HRI358" s="92"/>
      <c r="HRJ358" s="92"/>
      <c r="HRK358" s="92"/>
      <c r="HRL358" s="92"/>
      <c r="HRM358" s="92"/>
      <c r="HRN358" s="92"/>
      <c r="HRO358" s="92"/>
      <c r="HRP358" s="92"/>
      <c r="HRQ358" s="92"/>
      <c r="HRR358" s="92"/>
      <c r="HRS358" s="92"/>
      <c r="HRT358" s="92"/>
      <c r="HRU358" s="92"/>
      <c r="HRV358" s="92"/>
      <c r="HRW358" s="92"/>
      <c r="HRX358" s="92"/>
      <c r="HRY358" s="92"/>
      <c r="HRZ358" s="92"/>
      <c r="HSA358" s="92"/>
      <c r="HSB358" s="92"/>
      <c r="HSC358" s="92"/>
      <c r="HSD358" s="92"/>
      <c r="HSE358" s="92"/>
      <c r="HSF358" s="92"/>
      <c r="HSG358" s="92"/>
      <c r="HSH358" s="92"/>
      <c r="HSI358" s="92"/>
      <c r="HSJ358" s="92"/>
      <c r="HSK358" s="92"/>
      <c r="HSL358" s="92"/>
      <c r="HSM358" s="92"/>
      <c r="HSN358" s="92"/>
      <c r="HSO358" s="92"/>
      <c r="HSP358" s="92"/>
      <c r="HSQ358" s="92"/>
      <c r="HSR358" s="92"/>
      <c r="HSS358" s="92"/>
      <c r="HST358" s="92"/>
      <c r="HSU358" s="92"/>
      <c r="HSV358" s="92"/>
      <c r="HSW358" s="92"/>
      <c r="HSX358" s="92"/>
      <c r="HSY358" s="92"/>
      <c r="HSZ358" s="92"/>
      <c r="HTA358" s="92"/>
      <c r="HTB358" s="92"/>
      <c r="HTC358" s="92"/>
      <c r="HTD358" s="92"/>
      <c r="HTE358" s="92"/>
      <c r="HTF358" s="92"/>
      <c r="HTG358" s="92"/>
      <c r="HTH358" s="92"/>
      <c r="HTI358" s="92"/>
      <c r="HTJ358" s="92"/>
      <c r="HTK358" s="92"/>
      <c r="HTL358" s="92"/>
      <c r="HTM358" s="92"/>
      <c r="HTN358" s="92"/>
      <c r="HTO358" s="92"/>
      <c r="HTP358" s="92"/>
      <c r="HTQ358" s="92"/>
      <c r="HTR358" s="92"/>
      <c r="HTS358" s="92"/>
      <c r="HTT358" s="92"/>
      <c r="HTU358" s="92"/>
      <c r="HTV358" s="92"/>
      <c r="HTW358" s="92"/>
      <c r="HTX358" s="92"/>
      <c r="HTY358" s="92"/>
      <c r="HTZ358" s="92"/>
      <c r="HUA358" s="92"/>
      <c r="HUB358" s="92"/>
      <c r="HUC358" s="92"/>
      <c r="HUD358" s="92"/>
      <c r="HUE358" s="92"/>
      <c r="HUF358" s="92"/>
      <c r="HUG358" s="92"/>
      <c r="HUH358" s="92"/>
      <c r="HUI358" s="92"/>
      <c r="HUJ358" s="92"/>
      <c r="HUK358" s="92"/>
      <c r="HUL358" s="92"/>
      <c r="HUM358" s="92"/>
      <c r="HUN358" s="92"/>
      <c r="HUO358" s="92"/>
      <c r="HUP358" s="92"/>
      <c r="HUQ358" s="92"/>
      <c r="HUR358" s="92"/>
      <c r="HUS358" s="92"/>
      <c r="HUT358" s="92"/>
      <c r="HUU358" s="92"/>
      <c r="HUV358" s="92"/>
      <c r="HUW358" s="92"/>
      <c r="HUX358" s="92"/>
      <c r="HUY358" s="92"/>
      <c r="HUZ358" s="92"/>
      <c r="HVA358" s="92"/>
      <c r="HVB358" s="92"/>
      <c r="HVC358" s="92"/>
      <c r="HVD358" s="92"/>
      <c r="HVE358" s="92"/>
      <c r="HVF358" s="92"/>
      <c r="HVG358" s="92"/>
      <c r="HVH358" s="92"/>
      <c r="HVI358" s="92"/>
      <c r="HVJ358" s="92"/>
      <c r="HVK358" s="92"/>
      <c r="HVL358" s="92"/>
      <c r="HVM358" s="92"/>
      <c r="HVN358" s="92"/>
      <c r="HVO358" s="92"/>
      <c r="HVP358" s="92"/>
      <c r="HVQ358" s="92"/>
      <c r="HVR358" s="92"/>
      <c r="HVS358" s="92"/>
      <c r="HVT358" s="92"/>
      <c r="HVU358" s="92"/>
      <c r="HVV358" s="92"/>
      <c r="HVW358" s="92"/>
      <c r="HVX358" s="92"/>
      <c r="HVY358" s="92"/>
      <c r="HVZ358" s="92"/>
      <c r="HWA358" s="92"/>
      <c r="HWB358" s="92"/>
      <c r="HWC358" s="92"/>
      <c r="HWD358" s="92"/>
      <c r="HWE358" s="92"/>
      <c r="HWF358" s="92"/>
      <c r="HWG358" s="92"/>
      <c r="HWH358" s="92"/>
      <c r="HWI358" s="92"/>
      <c r="HWJ358" s="92"/>
      <c r="HWK358" s="92"/>
      <c r="HWL358" s="92"/>
      <c r="HWM358" s="92"/>
      <c r="HWN358" s="92"/>
      <c r="HWO358" s="92"/>
      <c r="HWP358" s="92"/>
      <c r="HWQ358" s="92"/>
      <c r="HWR358" s="92"/>
      <c r="HWS358" s="92"/>
      <c r="HWT358" s="92"/>
      <c r="HWU358" s="92"/>
      <c r="HWV358" s="92"/>
      <c r="HWW358" s="92"/>
      <c r="HWX358" s="92"/>
      <c r="HWY358" s="92"/>
      <c r="HWZ358" s="92"/>
      <c r="HXA358" s="92"/>
      <c r="HXB358" s="92"/>
      <c r="HXC358" s="92"/>
      <c r="HXD358" s="92"/>
      <c r="HXE358" s="92"/>
      <c r="HXF358" s="92"/>
      <c r="HXG358" s="92"/>
      <c r="HXH358" s="92"/>
      <c r="HXI358" s="92"/>
      <c r="HXJ358" s="92"/>
      <c r="HXK358" s="92"/>
      <c r="HXL358" s="92"/>
      <c r="HXM358" s="92"/>
      <c r="HXN358" s="92"/>
      <c r="HXO358" s="92"/>
      <c r="HXP358" s="92"/>
      <c r="HXQ358" s="92"/>
      <c r="HXR358" s="92"/>
      <c r="HXS358" s="92"/>
      <c r="HXT358" s="92"/>
      <c r="HXU358" s="92"/>
      <c r="HXV358" s="92"/>
      <c r="HXW358" s="92"/>
      <c r="HXX358" s="92"/>
      <c r="HXY358" s="92"/>
      <c r="HXZ358" s="92"/>
      <c r="HYA358" s="92"/>
      <c r="HYB358" s="92"/>
      <c r="HYC358" s="92"/>
      <c r="HYD358" s="92"/>
      <c r="HYE358" s="92"/>
      <c r="HYF358" s="92"/>
      <c r="HYG358" s="92"/>
      <c r="HYH358" s="92"/>
      <c r="HYI358" s="92"/>
      <c r="HYJ358" s="92"/>
      <c r="HYK358" s="92"/>
      <c r="HYL358" s="92"/>
      <c r="HYM358" s="92"/>
      <c r="HYN358" s="92"/>
      <c r="HYO358" s="92"/>
      <c r="HYP358" s="92"/>
      <c r="HYQ358" s="92"/>
      <c r="HYR358" s="92"/>
      <c r="HYS358" s="92"/>
      <c r="HYT358" s="92"/>
      <c r="HYU358" s="92"/>
      <c r="HYV358" s="92"/>
      <c r="HYW358" s="92"/>
      <c r="HYX358" s="92"/>
      <c r="HYY358" s="92"/>
      <c r="HYZ358" s="92"/>
      <c r="HZA358" s="92"/>
      <c r="HZB358" s="92"/>
      <c r="HZC358" s="92"/>
      <c r="HZD358" s="92"/>
      <c r="HZE358" s="92"/>
      <c r="HZF358" s="92"/>
      <c r="HZG358" s="92"/>
      <c r="HZH358" s="92"/>
      <c r="HZI358" s="92"/>
      <c r="HZJ358" s="92"/>
      <c r="HZK358" s="92"/>
      <c r="HZL358" s="92"/>
      <c r="HZM358" s="92"/>
      <c r="HZN358" s="92"/>
      <c r="HZO358" s="92"/>
      <c r="HZP358" s="92"/>
      <c r="HZQ358" s="92"/>
      <c r="HZR358" s="92"/>
      <c r="HZS358" s="92"/>
      <c r="HZT358" s="92"/>
      <c r="HZU358" s="92"/>
      <c r="HZV358" s="92"/>
      <c r="HZW358" s="92"/>
      <c r="HZX358" s="92"/>
      <c r="HZY358" s="92"/>
      <c r="HZZ358" s="92"/>
      <c r="IAA358" s="92"/>
      <c r="IAB358" s="92"/>
      <c r="IAC358" s="92"/>
      <c r="IAD358" s="92"/>
      <c r="IAE358" s="92"/>
      <c r="IAF358" s="92"/>
      <c r="IAG358" s="92"/>
      <c r="IAH358" s="92"/>
      <c r="IAI358" s="92"/>
      <c r="IAJ358" s="92"/>
      <c r="IAK358" s="92"/>
      <c r="IAL358" s="92"/>
      <c r="IAM358" s="92"/>
      <c r="IAN358" s="92"/>
      <c r="IAO358" s="92"/>
      <c r="IAP358" s="92"/>
      <c r="IAQ358" s="92"/>
      <c r="IAR358" s="92"/>
      <c r="IAS358" s="92"/>
      <c r="IAT358" s="92"/>
      <c r="IAU358" s="92"/>
      <c r="IAV358" s="92"/>
      <c r="IAW358" s="92"/>
      <c r="IAX358" s="92"/>
      <c r="IAY358" s="92"/>
      <c r="IAZ358" s="92"/>
      <c r="IBA358" s="92"/>
      <c r="IBB358" s="92"/>
      <c r="IBC358" s="92"/>
      <c r="IBD358" s="92"/>
      <c r="IBE358" s="92"/>
      <c r="IBF358" s="92"/>
      <c r="IBG358" s="92"/>
      <c r="IBH358" s="92"/>
      <c r="IBI358" s="92"/>
      <c r="IBJ358" s="92"/>
      <c r="IBK358" s="92"/>
      <c r="IBL358" s="92"/>
      <c r="IBM358" s="92"/>
      <c r="IBN358" s="92"/>
      <c r="IBO358" s="92"/>
      <c r="IBP358" s="92"/>
      <c r="IBQ358" s="92"/>
      <c r="IBR358" s="92"/>
      <c r="IBS358" s="92"/>
      <c r="IBT358" s="92"/>
      <c r="IBU358" s="92"/>
      <c r="IBV358" s="92"/>
      <c r="IBW358" s="92"/>
      <c r="IBX358" s="92"/>
      <c r="IBY358" s="92"/>
      <c r="IBZ358" s="92"/>
      <c r="ICA358" s="92"/>
      <c r="ICB358" s="92"/>
      <c r="ICC358" s="92"/>
      <c r="ICD358" s="92"/>
      <c r="ICE358" s="92"/>
      <c r="ICF358" s="92"/>
      <c r="ICG358" s="92"/>
      <c r="ICH358" s="92"/>
      <c r="ICI358" s="92"/>
      <c r="ICJ358" s="92"/>
      <c r="ICK358" s="92"/>
      <c r="ICL358" s="92"/>
      <c r="ICM358" s="92"/>
      <c r="ICN358" s="92"/>
      <c r="ICO358" s="92"/>
      <c r="ICP358" s="92"/>
      <c r="ICQ358" s="92"/>
      <c r="ICR358" s="92"/>
      <c r="ICS358" s="92"/>
      <c r="ICT358" s="92"/>
      <c r="ICU358" s="92"/>
      <c r="ICV358" s="92"/>
      <c r="ICW358" s="92"/>
      <c r="ICX358" s="92"/>
      <c r="ICY358" s="92"/>
      <c r="ICZ358" s="92"/>
      <c r="IDA358" s="92"/>
      <c r="IDB358" s="92"/>
      <c r="IDC358" s="92"/>
      <c r="IDD358" s="92"/>
      <c r="IDE358" s="92"/>
      <c r="IDF358" s="92"/>
      <c r="IDG358" s="92"/>
      <c r="IDH358" s="92"/>
      <c r="IDI358" s="92"/>
      <c r="IDJ358" s="92"/>
      <c r="IDK358" s="92"/>
      <c r="IDL358" s="92"/>
      <c r="IDM358" s="92"/>
      <c r="IDN358" s="92"/>
      <c r="IDO358" s="92"/>
      <c r="IDP358" s="92"/>
      <c r="IDQ358" s="92"/>
      <c r="IDR358" s="92"/>
      <c r="IDS358" s="92"/>
      <c r="IDT358" s="92"/>
      <c r="IDU358" s="92"/>
      <c r="IDV358" s="92"/>
      <c r="IDW358" s="92"/>
      <c r="IDX358" s="92"/>
      <c r="IDY358" s="92"/>
      <c r="IDZ358" s="92"/>
      <c r="IEA358" s="92"/>
      <c r="IEB358" s="92"/>
      <c r="IEC358" s="92"/>
      <c r="IED358" s="92"/>
      <c r="IEE358" s="92"/>
      <c r="IEF358" s="92"/>
      <c r="IEG358" s="92"/>
      <c r="IEH358" s="92"/>
      <c r="IEI358" s="92"/>
      <c r="IEJ358" s="92"/>
      <c r="IEK358" s="92"/>
      <c r="IEL358" s="92"/>
      <c r="IEM358" s="92"/>
      <c r="IEN358" s="92"/>
      <c r="IEO358" s="92"/>
      <c r="IEP358" s="92"/>
      <c r="IEQ358" s="92"/>
      <c r="IER358" s="92"/>
      <c r="IES358" s="92"/>
      <c r="IET358" s="92"/>
      <c r="IEU358" s="92"/>
      <c r="IEV358" s="92"/>
      <c r="IEW358" s="92"/>
      <c r="IEX358" s="92"/>
      <c r="IEY358" s="92"/>
      <c r="IEZ358" s="92"/>
      <c r="IFA358" s="92"/>
      <c r="IFB358" s="92"/>
      <c r="IFC358" s="92"/>
      <c r="IFD358" s="92"/>
      <c r="IFE358" s="92"/>
      <c r="IFF358" s="92"/>
      <c r="IFG358" s="92"/>
      <c r="IFH358" s="92"/>
      <c r="IFI358" s="92"/>
      <c r="IFJ358" s="92"/>
      <c r="IFK358" s="92"/>
      <c r="IFL358" s="92"/>
      <c r="IFM358" s="92"/>
      <c r="IFN358" s="92"/>
      <c r="IFO358" s="92"/>
      <c r="IFP358" s="92"/>
      <c r="IFQ358" s="92"/>
      <c r="IFR358" s="92"/>
      <c r="IFS358" s="92"/>
      <c r="IFT358" s="92"/>
      <c r="IFU358" s="92"/>
      <c r="IFV358" s="92"/>
      <c r="IFW358" s="92"/>
      <c r="IFX358" s="92"/>
      <c r="IFY358" s="92"/>
      <c r="IFZ358" s="92"/>
      <c r="IGA358" s="92"/>
      <c r="IGB358" s="92"/>
      <c r="IGC358" s="92"/>
      <c r="IGD358" s="92"/>
      <c r="IGE358" s="92"/>
      <c r="IGF358" s="92"/>
      <c r="IGG358" s="92"/>
      <c r="IGH358" s="92"/>
      <c r="IGI358" s="92"/>
      <c r="IGJ358" s="92"/>
      <c r="IGK358" s="92"/>
      <c r="IGL358" s="92"/>
      <c r="IGM358" s="92"/>
      <c r="IGN358" s="92"/>
      <c r="IGO358" s="92"/>
      <c r="IGP358" s="92"/>
      <c r="IGQ358" s="92"/>
      <c r="IGR358" s="92"/>
      <c r="IGS358" s="92"/>
      <c r="IGT358" s="92"/>
      <c r="IGU358" s="92"/>
      <c r="IGV358" s="92"/>
      <c r="IGW358" s="92"/>
      <c r="IGX358" s="92"/>
      <c r="IGY358" s="92"/>
      <c r="IGZ358" s="92"/>
      <c r="IHA358" s="92"/>
      <c r="IHB358" s="92"/>
      <c r="IHC358" s="92"/>
      <c r="IHD358" s="92"/>
      <c r="IHE358" s="92"/>
      <c r="IHF358" s="92"/>
      <c r="IHG358" s="92"/>
      <c r="IHH358" s="92"/>
      <c r="IHI358" s="92"/>
      <c r="IHJ358" s="92"/>
      <c r="IHK358" s="92"/>
      <c r="IHL358" s="92"/>
      <c r="IHM358" s="92"/>
      <c r="IHN358" s="92"/>
      <c r="IHO358" s="92"/>
      <c r="IHP358" s="92"/>
      <c r="IHQ358" s="92"/>
      <c r="IHR358" s="92"/>
      <c r="IHS358" s="92"/>
      <c r="IHT358" s="92"/>
      <c r="IHU358" s="92"/>
      <c r="IHV358" s="92"/>
      <c r="IHW358" s="92"/>
      <c r="IHX358" s="92"/>
      <c r="IHY358" s="92"/>
      <c r="IHZ358" s="92"/>
      <c r="IIA358" s="92"/>
      <c r="IIB358" s="92"/>
      <c r="IIC358" s="92"/>
      <c r="IID358" s="92"/>
      <c r="IIE358" s="92"/>
      <c r="IIF358" s="92"/>
      <c r="IIG358" s="92"/>
      <c r="IIH358" s="92"/>
      <c r="III358" s="92"/>
      <c r="IIJ358" s="92"/>
      <c r="IIK358" s="92"/>
      <c r="IIL358" s="92"/>
      <c r="IIM358" s="92"/>
      <c r="IIN358" s="92"/>
      <c r="IIO358" s="92"/>
      <c r="IIP358" s="92"/>
      <c r="IIQ358" s="92"/>
      <c r="IIR358" s="92"/>
      <c r="IIS358" s="92"/>
      <c r="IIT358" s="92"/>
      <c r="IIU358" s="92"/>
      <c r="IIV358" s="92"/>
      <c r="IIW358" s="92"/>
      <c r="IIX358" s="92"/>
      <c r="IIY358" s="92"/>
      <c r="IIZ358" s="92"/>
      <c r="IJA358" s="92"/>
      <c r="IJB358" s="92"/>
      <c r="IJC358" s="92"/>
      <c r="IJD358" s="92"/>
      <c r="IJE358" s="92"/>
      <c r="IJF358" s="92"/>
      <c r="IJG358" s="92"/>
      <c r="IJH358" s="92"/>
      <c r="IJI358" s="92"/>
      <c r="IJJ358" s="92"/>
      <c r="IJK358" s="92"/>
      <c r="IJL358" s="92"/>
      <c r="IJM358" s="92"/>
      <c r="IJN358" s="92"/>
      <c r="IJO358" s="92"/>
      <c r="IJP358" s="92"/>
      <c r="IJQ358" s="92"/>
      <c r="IJR358" s="92"/>
      <c r="IJS358" s="92"/>
      <c r="IJT358" s="92"/>
      <c r="IJU358" s="92"/>
      <c r="IJV358" s="92"/>
      <c r="IJW358" s="92"/>
      <c r="IJX358" s="92"/>
      <c r="IJY358" s="92"/>
      <c r="IJZ358" s="92"/>
      <c r="IKA358" s="92"/>
      <c r="IKB358" s="92"/>
      <c r="IKC358" s="92"/>
      <c r="IKD358" s="92"/>
      <c r="IKE358" s="92"/>
      <c r="IKF358" s="92"/>
      <c r="IKG358" s="92"/>
      <c r="IKH358" s="92"/>
      <c r="IKI358" s="92"/>
      <c r="IKJ358" s="92"/>
      <c r="IKK358" s="92"/>
      <c r="IKL358" s="92"/>
      <c r="IKM358" s="92"/>
      <c r="IKN358" s="92"/>
      <c r="IKO358" s="92"/>
      <c r="IKP358" s="92"/>
      <c r="IKQ358" s="92"/>
      <c r="IKR358" s="92"/>
      <c r="IKS358" s="92"/>
      <c r="IKT358" s="92"/>
      <c r="IKU358" s="92"/>
      <c r="IKV358" s="92"/>
      <c r="IKW358" s="92"/>
      <c r="IKX358" s="92"/>
      <c r="IKY358" s="92"/>
      <c r="IKZ358" s="92"/>
      <c r="ILA358" s="92"/>
      <c r="ILB358" s="92"/>
      <c r="ILC358" s="92"/>
      <c r="ILD358" s="92"/>
      <c r="ILE358" s="92"/>
      <c r="ILF358" s="92"/>
      <c r="ILG358" s="92"/>
      <c r="ILH358" s="92"/>
      <c r="ILI358" s="92"/>
      <c r="ILJ358" s="92"/>
      <c r="ILK358" s="92"/>
      <c r="ILL358" s="92"/>
      <c r="ILM358" s="92"/>
      <c r="ILN358" s="92"/>
      <c r="ILO358" s="92"/>
      <c r="ILP358" s="92"/>
      <c r="ILQ358" s="92"/>
      <c r="ILR358" s="92"/>
      <c r="ILS358" s="92"/>
      <c r="ILT358" s="92"/>
      <c r="ILU358" s="92"/>
      <c r="ILV358" s="92"/>
      <c r="ILW358" s="92"/>
      <c r="ILX358" s="92"/>
      <c r="ILY358" s="92"/>
      <c r="ILZ358" s="92"/>
      <c r="IMA358" s="92"/>
      <c r="IMB358" s="92"/>
      <c r="IMC358" s="92"/>
      <c r="IMD358" s="92"/>
      <c r="IME358" s="92"/>
      <c r="IMF358" s="92"/>
      <c r="IMG358" s="92"/>
      <c r="IMH358" s="92"/>
      <c r="IMI358" s="92"/>
      <c r="IMJ358" s="92"/>
      <c r="IMK358" s="92"/>
      <c r="IML358" s="92"/>
      <c r="IMM358" s="92"/>
      <c r="IMN358" s="92"/>
      <c r="IMO358" s="92"/>
      <c r="IMP358" s="92"/>
      <c r="IMQ358" s="92"/>
      <c r="IMR358" s="92"/>
      <c r="IMS358" s="92"/>
      <c r="IMT358" s="92"/>
      <c r="IMU358" s="92"/>
      <c r="IMV358" s="92"/>
      <c r="IMW358" s="92"/>
      <c r="IMX358" s="92"/>
      <c r="IMY358" s="92"/>
      <c r="IMZ358" s="92"/>
      <c r="INA358" s="92"/>
      <c r="INB358" s="92"/>
      <c r="INC358" s="92"/>
      <c r="IND358" s="92"/>
      <c r="INE358" s="92"/>
      <c r="INF358" s="92"/>
      <c r="ING358" s="92"/>
      <c r="INH358" s="92"/>
      <c r="INI358" s="92"/>
      <c r="INJ358" s="92"/>
      <c r="INK358" s="92"/>
      <c r="INL358" s="92"/>
      <c r="INM358" s="92"/>
      <c r="INN358" s="92"/>
      <c r="INO358" s="92"/>
      <c r="INP358" s="92"/>
      <c r="INQ358" s="92"/>
      <c r="INR358" s="92"/>
      <c r="INS358" s="92"/>
      <c r="INT358" s="92"/>
      <c r="INU358" s="92"/>
      <c r="INV358" s="92"/>
      <c r="INW358" s="92"/>
      <c r="INX358" s="92"/>
      <c r="INY358" s="92"/>
      <c r="INZ358" s="92"/>
      <c r="IOA358" s="92"/>
      <c r="IOB358" s="92"/>
      <c r="IOC358" s="92"/>
      <c r="IOD358" s="92"/>
      <c r="IOE358" s="92"/>
      <c r="IOF358" s="92"/>
      <c r="IOG358" s="92"/>
      <c r="IOH358" s="92"/>
      <c r="IOI358" s="92"/>
      <c r="IOJ358" s="92"/>
      <c r="IOK358" s="92"/>
      <c r="IOL358" s="92"/>
      <c r="IOM358" s="92"/>
      <c r="ION358" s="92"/>
      <c r="IOO358" s="92"/>
      <c r="IOP358" s="92"/>
      <c r="IOQ358" s="92"/>
      <c r="IOR358" s="92"/>
      <c r="IOS358" s="92"/>
      <c r="IOT358" s="92"/>
      <c r="IOU358" s="92"/>
      <c r="IOV358" s="92"/>
      <c r="IOW358" s="92"/>
      <c r="IOX358" s="92"/>
      <c r="IOY358" s="92"/>
      <c r="IOZ358" s="92"/>
      <c r="IPA358" s="92"/>
      <c r="IPB358" s="92"/>
      <c r="IPC358" s="92"/>
      <c r="IPD358" s="92"/>
      <c r="IPE358" s="92"/>
      <c r="IPF358" s="92"/>
      <c r="IPG358" s="92"/>
      <c r="IPH358" s="92"/>
      <c r="IPI358" s="92"/>
      <c r="IPJ358" s="92"/>
      <c r="IPK358" s="92"/>
      <c r="IPL358" s="92"/>
      <c r="IPM358" s="92"/>
      <c r="IPN358" s="92"/>
      <c r="IPO358" s="92"/>
      <c r="IPP358" s="92"/>
      <c r="IPQ358" s="92"/>
      <c r="IPR358" s="92"/>
      <c r="IPS358" s="92"/>
      <c r="IPT358" s="92"/>
      <c r="IPU358" s="92"/>
      <c r="IPV358" s="92"/>
      <c r="IPW358" s="92"/>
      <c r="IPX358" s="92"/>
      <c r="IPY358" s="92"/>
      <c r="IPZ358" s="92"/>
      <c r="IQA358" s="92"/>
      <c r="IQB358" s="92"/>
      <c r="IQC358" s="92"/>
      <c r="IQD358" s="92"/>
      <c r="IQE358" s="92"/>
      <c r="IQF358" s="92"/>
      <c r="IQG358" s="92"/>
      <c r="IQH358" s="92"/>
      <c r="IQI358" s="92"/>
      <c r="IQJ358" s="92"/>
      <c r="IQK358" s="92"/>
      <c r="IQL358" s="92"/>
      <c r="IQM358" s="92"/>
      <c r="IQN358" s="92"/>
      <c r="IQO358" s="92"/>
      <c r="IQP358" s="92"/>
      <c r="IQQ358" s="92"/>
      <c r="IQR358" s="92"/>
      <c r="IQS358" s="92"/>
      <c r="IQT358" s="92"/>
      <c r="IQU358" s="92"/>
      <c r="IQV358" s="92"/>
      <c r="IQW358" s="92"/>
      <c r="IQX358" s="92"/>
      <c r="IQY358" s="92"/>
      <c r="IQZ358" s="92"/>
      <c r="IRA358" s="92"/>
      <c r="IRB358" s="92"/>
      <c r="IRC358" s="92"/>
      <c r="IRD358" s="92"/>
      <c r="IRE358" s="92"/>
      <c r="IRF358" s="92"/>
      <c r="IRG358" s="92"/>
      <c r="IRH358" s="92"/>
      <c r="IRI358" s="92"/>
      <c r="IRJ358" s="92"/>
      <c r="IRK358" s="92"/>
      <c r="IRL358" s="92"/>
      <c r="IRM358" s="92"/>
      <c r="IRN358" s="92"/>
      <c r="IRO358" s="92"/>
      <c r="IRP358" s="92"/>
      <c r="IRQ358" s="92"/>
      <c r="IRR358" s="92"/>
      <c r="IRS358" s="92"/>
      <c r="IRT358" s="92"/>
      <c r="IRU358" s="92"/>
      <c r="IRV358" s="92"/>
      <c r="IRW358" s="92"/>
      <c r="IRX358" s="92"/>
      <c r="IRY358" s="92"/>
      <c r="IRZ358" s="92"/>
      <c r="ISA358" s="92"/>
      <c r="ISB358" s="92"/>
      <c r="ISC358" s="92"/>
      <c r="ISD358" s="92"/>
      <c r="ISE358" s="92"/>
      <c r="ISF358" s="92"/>
      <c r="ISG358" s="92"/>
      <c r="ISH358" s="92"/>
      <c r="ISI358" s="92"/>
      <c r="ISJ358" s="92"/>
      <c r="ISK358" s="92"/>
      <c r="ISL358" s="92"/>
      <c r="ISM358" s="92"/>
      <c r="ISN358" s="92"/>
      <c r="ISO358" s="92"/>
      <c r="ISP358" s="92"/>
      <c r="ISQ358" s="92"/>
      <c r="ISR358" s="92"/>
      <c r="ISS358" s="92"/>
      <c r="IST358" s="92"/>
      <c r="ISU358" s="92"/>
      <c r="ISV358" s="92"/>
      <c r="ISW358" s="92"/>
      <c r="ISX358" s="92"/>
      <c r="ISY358" s="92"/>
      <c r="ISZ358" s="92"/>
      <c r="ITA358" s="92"/>
      <c r="ITB358" s="92"/>
      <c r="ITC358" s="92"/>
      <c r="ITD358" s="92"/>
      <c r="ITE358" s="92"/>
      <c r="ITF358" s="92"/>
      <c r="ITG358" s="92"/>
      <c r="ITH358" s="92"/>
      <c r="ITI358" s="92"/>
      <c r="ITJ358" s="92"/>
      <c r="ITK358" s="92"/>
      <c r="ITL358" s="92"/>
      <c r="ITM358" s="92"/>
      <c r="ITN358" s="92"/>
      <c r="ITO358" s="92"/>
      <c r="ITP358" s="92"/>
      <c r="ITQ358" s="92"/>
      <c r="ITR358" s="92"/>
      <c r="ITS358" s="92"/>
      <c r="ITT358" s="92"/>
      <c r="ITU358" s="92"/>
      <c r="ITV358" s="92"/>
      <c r="ITW358" s="92"/>
      <c r="ITX358" s="92"/>
      <c r="ITY358" s="92"/>
      <c r="ITZ358" s="92"/>
      <c r="IUA358" s="92"/>
      <c r="IUB358" s="92"/>
      <c r="IUC358" s="92"/>
      <c r="IUD358" s="92"/>
      <c r="IUE358" s="92"/>
      <c r="IUF358" s="92"/>
      <c r="IUG358" s="92"/>
      <c r="IUH358" s="92"/>
      <c r="IUI358" s="92"/>
      <c r="IUJ358" s="92"/>
      <c r="IUK358" s="92"/>
      <c r="IUL358" s="92"/>
      <c r="IUM358" s="92"/>
      <c r="IUN358" s="92"/>
      <c r="IUO358" s="92"/>
      <c r="IUP358" s="92"/>
      <c r="IUQ358" s="92"/>
      <c r="IUR358" s="92"/>
      <c r="IUS358" s="92"/>
      <c r="IUT358" s="92"/>
      <c r="IUU358" s="92"/>
      <c r="IUV358" s="92"/>
      <c r="IUW358" s="92"/>
      <c r="IUX358" s="92"/>
      <c r="IUY358" s="92"/>
      <c r="IUZ358" s="92"/>
      <c r="IVA358" s="92"/>
      <c r="IVB358" s="92"/>
      <c r="IVC358" s="92"/>
      <c r="IVD358" s="92"/>
      <c r="IVE358" s="92"/>
      <c r="IVF358" s="92"/>
      <c r="IVG358" s="92"/>
      <c r="IVH358" s="92"/>
      <c r="IVI358" s="92"/>
      <c r="IVJ358" s="92"/>
      <c r="IVK358" s="92"/>
      <c r="IVL358" s="92"/>
      <c r="IVM358" s="92"/>
      <c r="IVN358" s="92"/>
      <c r="IVO358" s="92"/>
      <c r="IVP358" s="92"/>
      <c r="IVQ358" s="92"/>
      <c r="IVR358" s="92"/>
      <c r="IVS358" s="92"/>
      <c r="IVT358" s="92"/>
      <c r="IVU358" s="92"/>
      <c r="IVV358" s="92"/>
      <c r="IVW358" s="92"/>
      <c r="IVX358" s="92"/>
      <c r="IVY358" s="92"/>
      <c r="IVZ358" s="92"/>
      <c r="IWA358" s="92"/>
      <c r="IWB358" s="92"/>
      <c r="IWC358" s="92"/>
      <c r="IWD358" s="92"/>
      <c r="IWE358" s="92"/>
      <c r="IWF358" s="92"/>
      <c r="IWG358" s="92"/>
      <c r="IWH358" s="92"/>
      <c r="IWI358" s="92"/>
      <c r="IWJ358" s="92"/>
      <c r="IWK358" s="92"/>
      <c r="IWL358" s="92"/>
      <c r="IWM358" s="92"/>
      <c r="IWN358" s="92"/>
      <c r="IWO358" s="92"/>
      <c r="IWP358" s="92"/>
      <c r="IWQ358" s="92"/>
      <c r="IWR358" s="92"/>
      <c r="IWS358" s="92"/>
      <c r="IWT358" s="92"/>
      <c r="IWU358" s="92"/>
      <c r="IWV358" s="92"/>
      <c r="IWW358" s="92"/>
      <c r="IWX358" s="92"/>
      <c r="IWY358" s="92"/>
      <c r="IWZ358" s="92"/>
      <c r="IXA358" s="92"/>
      <c r="IXB358" s="92"/>
      <c r="IXC358" s="92"/>
      <c r="IXD358" s="92"/>
      <c r="IXE358" s="92"/>
      <c r="IXF358" s="92"/>
      <c r="IXG358" s="92"/>
      <c r="IXH358" s="92"/>
      <c r="IXI358" s="92"/>
      <c r="IXJ358" s="92"/>
      <c r="IXK358" s="92"/>
      <c r="IXL358" s="92"/>
      <c r="IXM358" s="92"/>
      <c r="IXN358" s="92"/>
      <c r="IXO358" s="92"/>
      <c r="IXP358" s="92"/>
      <c r="IXQ358" s="92"/>
      <c r="IXR358" s="92"/>
      <c r="IXS358" s="92"/>
      <c r="IXT358" s="92"/>
      <c r="IXU358" s="92"/>
      <c r="IXV358" s="92"/>
      <c r="IXW358" s="92"/>
      <c r="IXX358" s="92"/>
      <c r="IXY358" s="92"/>
      <c r="IXZ358" s="92"/>
      <c r="IYA358" s="92"/>
      <c r="IYB358" s="92"/>
      <c r="IYC358" s="92"/>
      <c r="IYD358" s="92"/>
      <c r="IYE358" s="92"/>
      <c r="IYF358" s="92"/>
      <c r="IYG358" s="92"/>
      <c r="IYH358" s="92"/>
      <c r="IYI358" s="92"/>
      <c r="IYJ358" s="92"/>
      <c r="IYK358" s="92"/>
      <c r="IYL358" s="92"/>
      <c r="IYM358" s="92"/>
      <c r="IYN358" s="92"/>
      <c r="IYO358" s="92"/>
      <c r="IYP358" s="92"/>
      <c r="IYQ358" s="92"/>
      <c r="IYR358" s="92"/>
      <c r="IYS358" s="92"/>
      <c r="IYT358" s="92"/>
      <c r="IYU358" s="92"/>
      <c r="IYV358" s="92"/>
      <c r="IYW358" s="92"/>
      <c r="IYX358" s="92"/>
      <c r="IYY358" s="92"/>
      <c r="IYZ358" s="92"/>
      <c r="IZA358" s="92"/>
      <c r="IZB358" s="92"/>
      <c r="IZC358" s="92"/>
      <c r="IZD358" s="92"/>
      <c r="IZE358" s="92"/>
      <c r="IZF358" s="92"/>
      <c r="IZG358" s="92"/>
      <c r="IZH358" s="92"/>
      <c r="IZI358" s="92"/>
      <c r="IZJ358" s="92"/>
      <c r="IZK358" s="92"/>
      <c r="IZL358" s="92"/>
      <c r="IZM358" s="92"/>
      <c r="IZN358" s="92"/>
      <c r="IZO358" s="92"/>
      <c r="IZP358" s="92"/>
      <c r="IZQ358" s="92"/>
      <c r="IZR358" s="92"/>
      <c r="IZS358" s="92"/>
      <c r="IZT358" s="92"/>
      <c r="IZU358" s="92"/>
      <c r="IZV358" s="92"/>
      <c r="IZW358" s="92"/>
      <c r="IZX358" s="92"/>
      <c r="IZY358" s="92"/>
      <c r="IZZ358" s="92"/>
      <c r="JAA358" s="92"/>
      <c r="JAB358" s="92"/>
      <c r="JAC358" s="92"/>
      <c r="JAD358" s="92"/>
      <c r="JAE358" s="92"/>
      <c r="JAF358" s="92"/>
      <c r="JAG358" s="92"/>
      <c r="JAH358" s="92"/>
      <c r="JAI358" s="92"/>
      <c r="JAJ358" s="92"/>
      <c r="JAK358" s="92"/>
      <c r="JAL358" s="92"/>
      <c r="JAM358" s="92"/>
      <c r="JAN358" s="92"/>
      <c r="JAO358" s="92"/>
      <c r="JAP358" s="92"/>
      <c r="JAQ358" s="92"/>
      <c r="JAR358" s="92"/>
      <c r="JAS358" s="92"/>
      <c r="JAT358" s="92"/>
      <c r="JAU358" s="92"/>
      <c r="JAV358" s="92"/>
      <c r="JAW358" s="92"/>
      <c r="JAX358" s="92"/>
      <c r="JAY358" s="92"/>
      <c r="JAZ358" s="92"/>
      <c r="JBA358" s="92"/>
      <c r="JBB358" s="92"/>
      <c r="JBC358" s="92"/>
      <c r="JBD358" s="92"/>
      <c r="JBE358" s="92"/>
      <c r="JBF358" s="92"/>
      <c r="JBG358" s="92"/>
      <c r="JBH358" s="92"/>
      <c r="JBI358" s="92"/>
      <c r="JBJ358" s="92"/>
      <c r="JBK358" s="92"/>
      <c r="JBL358" s="92"/>
      <c r="JBM358" s="92"/>
      <c r="JBN358" s="92"/>
      <c r="JBO358" s="92"/>
      <c r="JBP358" s="92"/>
      <c r="JBQ358" s="92"/>
      <c r="JBR358" s="92"/>
      <c r="JBS358" s="92"/>
      <c r="JBT358" s="92"/>
      <c r="JBU358" s="92"/>
      <c r="JBV358" s="92"/>
      <c r="JBW358" s="92"/>
      <c r="JBX358" s="92"/>
      <c r="JBY358" s="92"/>
      <c r="JBZ358" s="92"/>
      <c r="JCA358" s="92"/>
      <c r="JCB358" s="92"/>
      <c r="JCC358" s="92"/>
      <c r="JCD358" s="92"/>
      <c r="JCE358" s="92"/>
      <c r="JCF358" s="92"/>
      <c r="JCG358" s="92"/>
      <c r="JCH358" s="92"/>
      <c r="JCI358" s="92"/>
      <c r="JCJ358" s="92"/>
      <c r="JCK358" s="92"/>
      <c r="JCL358" s="92"/>
      <c r="JCM358" s="92"/>
      <c r="JCN358" s="92"/>
      <c r="JCO358" s="92"/>
      <c r="JCP358" s="92"/>
      <c r="JCQ358" s="92"/>
      <c r="JCR358" s="92"/>
      <c r="JCS358" s="92"/>
      <c r="JCT358" s="92"/>
      <c r="JCU358" s="92"/>
      <c r="JCV358" s="92"/>
      <c r="JCW358" s="92"/>
      <c r="JCX358" s="92"/>
      <c r="JCY358" s="92"/>
      <c r="JCZ358" s="92"/>
      <c r="JDA358" s="92"/>
      <c r="JDB358" s="92"/>
      <c r="JDC358" s="92"/>
      <c r="JDD358" s="92"/>
      <c r="JDE358" s="92"/>
      <c r="JDF358" s="92"/>
      <c r="JDG358" s="92"/>
      <c r="JDH358" s="92"/>
      <c r="JDI358" s="92"/>
      <c r="JDJ358" s="92"/>
      <c r="JDK358" s="92"/>
      <c r="JDL358" s="92"/>
      <c r="JDM358" s="92"/>
      <c r="JDN358" s="92"/>
      <c r="JDO358" s="92"/>
      <c r="JDP358" s="92"/>
      <c r="JDQ358" s="92"/>
      <c r="JDR358" s="92"/>
      <c r="JDS358" s="92"/>
      <c r="JDT358" s="92"/>
      <c r="JDU358" s="92"/>
      <c r="JDV358" s="92"/>
      <c r="JDW358" s="92"/>
      <c r="JDX358" s="92"/>
      <c r="JDY358" s="92"/>
      <c r="JDZ358" s="92"/>
      <c r="JEA358" s="92"/>
      <c r="JEB358" s="92"/>
      <c r="JEC358" s="92"/>
      <c r="JED358" s="92"/>
      <c r="JEE358" s="92"/>
      <c r="JEF358" s="92"/>
      <c r="JEG358" s="92"/>
      <c r="JEH358" s="92"/>
      <c r="JEI358" s="92"/>
      <c r="JEJ358" s="92"/>
      <c r="JEK358" s="92"/>
      <c r="JEL358" s="92"/>
      <c r="JEM358" s="92"/>
      <c r="JEN358" s="92"/>
      <c r="JEO358" s="92"/>
      <c r="JEP358" s="92"/>
      <c r="JEQ358" s="92"/>
      <c r="JER358" s="92"/>
      <c r="JES358" s="92"/>
      <c r="JET358" s="92"/>
      <c r="JEU358" s="92"/>
      <c r="JEV358" s="92"/>
      <c r="JEW358" s="92"/>
      <c r="JEX358" s="92"/>
      <c r="JEY358" s="92"/>
      <c r="JEZ358" s="92"/>
      <c r="JFA358" s="92"/>
      <c r="JFB358" s="92"/>
      <c r="JFC358" s="92"/>
      <c r="JFD358" s="92"/>
      <c r="JFE358" s="92"/>
      <c r="JFF358" s="92"/>
      <c r="JFG358" s="92"/>
      <c r="JFH358" s="92"/>
      <c r="JFI358" s="92"/>
      <c r="JFJ358" s="92"/>
      <c r="JFK358" s="92"/>
      <c r="JFL358" s="92"/>
      <c r="JFM358" s="92"/>
      <c r="JFN358" s="92"/>
      <c r="JFO358" s="92"/>
      <c r="JFP358" s="92"/>
      <c r="JFQ358" s="92"/>
      <c r="JFR358" s="92"/>
      <c r="JFS358" s="92"/>
      <c r="JFT358" s="92"/>
      <c r="JFU358" s="92"/>
      <c r="JFV358" s="92"/>
      <c r="JFW358" s="92"/>
      <c r="JFX358" s="92"/>
      <c r="JFY358" s="92"/>
      <c r="JFZ358" s="92"/>
      <c r="JGA358" s="92"/>
      <c r="JGB358" s="92"/>
      <c r="JGC358" s="92"/>
      <c r="JGD358" s="92"/>
      <c r="JGE358" s="92"/>
      <c r="JGF358" s="92"/>
      <c r="JGG358" s="92"/>
      <c r="JGH358" s="92"/>
      <c r="JGI358" s="92"/>
      <c r="JGJ358" s="92"/>
      <c r="JGK358" s="92"/>
      <c r="JGL358" s="92"/>
      <c r="JGM358" s="92"/>
      <c r="JGN358" s="92"/>
      <c r="JGO358" s="92"/>
      <c r="JGP358" s="92"/>
      <c r="JGQ358" s="92"/>
      <c r="JGR358" s="92"/>
      <c r="JGS358" s="92"/>
      <c r="JGT358" s="92"/>
      <c r="JGU358" s="92"/>
      <c r="JGV358" s="92"/>
      <c r="JGW358" s="92"/>
      <c r="JGX358" s="92"/>
      <c r="JGY358" s="92"/>
      <c r="JGZ358" s="92"/>
      <c r="JHA358" s="92"/>
      <c r="JHB358" s="92"/>
      <c r="JHC358" s="92"/>
      <c r="JHD358" s="92"/>
      <c r="JHE358" s="92"/>
      <c r="JHF358" s="92"/>
      <c r="JHG358" s="92"/>
      <c r="JHH358" s="92"/>
      <c r="JHI358" s="92"/>
      <c r="JHJ358" s="92"/>
      <c r="JHK358" s="92"/>
      <c r="JHL358" s="92"/>
      <c r="JHM358" s="92"/>
      <c r="JHN358" s="92"/>
      <c r="JHO358" s="92"/>
      <c r="JHP358" s="92"/>
      <c r="JHQ358" s="92"/>
      <c r="JHR358" s="92"/>
      <c r="JHS358" s="92"/>
      <c r="JHT358" s="92"/>
      <c r="JHU358" s="92"/>
      <c r="JHV358" s="92"/>
      <c r="JHW358" s="92"/>
      <c r="JHX358" s="92"/>
      <c r="JHY358" s="92"/>
      <c r="JHZ358" s="92"/>
      <c r="JIA358" s="92"/>
      <c r="JIB358" s="92"/>
      <c r="JIC358" s="92"/>
      <c r="JID358" s="92"/>
      <c r="JIE358" s="92"/>
      <c r="JIF358" s="92"/>
      <c r="JIG358" s="92"/>
      <c r="JIH358" s="92"/>
      <c r="JII358" s="92"/>
      <c r="JIJ358" s="92"/>
      <c r="JIK358" s="92"/>
      <c r="JIL358" s="92"/>
      <c r="JIM358" s="92"/>
      <c r="JIN358" s="92"/>
      <c r="JIO358" s="92"/>
      <c r="JIP358" s="92"/>
      <c r="JIQ358" s="92"/>
      <c r="JIR358" s="92"/>
      <c r="JIS358" s="92"/>
      <c r="JIT358" s="92"/>
      <c r="JIU358" s="92"/>
      <c r="JIV358" s="92"/>
      <c r="JIW358" s="92"/>
      <c r="JIX358" s="92"/>
      <c r="JIY358" s="92"/>
      <c r="JIZ358" s="92"/>
      <c r="JJA358" s="92"/>
      <c r="JJB358" s="92"/>
      <c r="JJC358" s="92"/>
      <c r="JJD358" s="92"/>
      <c r="JJE358" s="92"/>
      <c r="JJF358" s="92"/>
      <c r="JJG358" s="92"/>
      <c r="JJH358" s="92"/>
      <c r="JJI358" s="92"/>
      <c r="JJJ358" s="92"/>
      <c r="JJK358" s="92"/>
      <c r="JJL358" s="92"/>
      <c r="JJM358" s="92"/>
      <c r="JJN358" s="92"/>
      <c r="JJO358" s="92"/>
      <c r="JJP358" s="92"/>
      <c r="JJQ358" s="92"/>
      <c r="JJR358" s="92"/>
      <c r="JJS358" s="92"/>
      <c r="JJT358" s="92"/>
      <c r="JJU358" s="92"/>
      <c r="JJV358" s="92"/>
      <c r="JJW358" s="92"/>
      <c r="JJX358" s="92"/>
      <c r="JJY358" s="92"/>
      <c r="JJZ358" s="92"/>
      <c r="JKA358" s="92"/>
      <c r="JKB358" s="92"/>
      <c r="JKC358" s="92"/>
      <c r="JKD358" s="92"/>
      <c r="JKE358" s="92"/>
      <c r="JKF358" s="92"/>
      <c r="JKG358" s="92"/>
      <c r="JKH358" s="92"/>
      <c r="JKI358" s="92"/>
      <c r="JKJ358" s="92"/>
      <c r="JKK358" s="92"/>
      <c r="JKL358" s="92"/>
      <c r="JKM358" s="92"/>
      <c r="JKN358" s="92"/>
      <c r="JKO358" s="92"/>
      <c r="JKP358" s="92"/>
      <c r="JKQ358" s="92"/>
      <c r="JKR358" s="92"/>
      <c r="JKS358" s="92"/>
      <c r="JKT358" s="92"/>
      <c r="JKU358" s="92"/>
      <c r="JKV358" s="92"/>
      <c r="JKW358" s="92"/>
      <c r="JKX358" s="92"/>
      <c r="JKY358" s="92"/>
      <c r="JKZ358" s="92"/>
      <c r="JLA358" s="92"/>
      <c r="JLB358" s="92"/>
      <c r="JLC358" s="92"/>
      <c r="JLD358" s="92"/>
      <c r="JLE358" s="92"/>
      <c r="JLF358" s="92"/>
      <c r="JLG358" s="92"/>
      <c r="JLH358" s="92"/>
      <c r="JLI358" s="92"/>
      <c r="JLJ358" s="92"/>
      <c r="JLK358" s="92"/>
      <c r="JLL358" s="92"/>
      <c r="JLM358" s="92"/>
      <c r="JLN358" s="92"/>
      <c r="JLO358" s="92"/>
      <c r="JLP358" s="92"/>
      <c r="JLQ358" s="92"/>
      <c r="JLR358" s="92"/>
      <c r="JLS358" s="92"/>
      <c r="JLT358" s="92"/>
      <c r="JLU358" s="92"/>
      <c r="JLV358" s="92"/>
      <c r="JLW358" s="92"/>
      <c r="JLX358" s="92"/>
      <c r="JLY358" s="92"/>
      <c r="JLZ358" s="92"/>
      <c r="JMA358" s="92"/>
      <c r="JMB358" s="92"/>
      <c r="JMC358" s="92"/>
      <c r="JMD358" s="92"/>
      <c r="JME358" s="92"/>
      <c r="JMF358" s="92"/>
      <c r="JMG358" s="92"/>
      <c r="JMH358" s="92"/>
      <c r="JMI358" s="92"/>
      <c r="JMJ358" s="92"/>
      <c r="JMK358" s="92"/>
      <c r="JML358" s="92"/>
      <c r="JMM358" s="92"/>
      <c r="JMN358" s="92"/>
      <c r="JMO358" s="92"/>
      <c r="JMP358" s="92"/>
      <c r="JMQ358" s="92"/>
      <c r="JMR358" s="92"/>
      <c r="JMS358" s="92"/>
      <c r="JMT358" s="92"/>
      <c r="JMU358" s="92"/>
      <c r="JMV358" s="92"/>
      <c r="JMW358" s="92"/>
      <c r="JMX358" s="92"/>
      <c r="JMY358" s="92"/>
      <c r="JMZ358" s="92"/>
      <c r="JNA358" s="92"/>
      <c r="JNB358" s="92"/>
      <c r="JNC358" s="92"/>
      <c r="JND358" s="92"/>
      <c r="JNE358" s="92"/>
      <c r="JNF358" s="92"/>
      <c r="JNG358" s="92"/>
      <c r="JNH358" s="92"/>
      <c r="JNI358" s="92"/>
      <c r="JNJ358" s="92"/>
      <c r="JNK358" s="92"/>
      <c r="JNL358" s="92"/>
      <c r="JNM358" s="92"/>
      <c r="JNN358" s="92"/>
      <c r="JNO358" s="92"/>
      <c r="JNP358" s="92"/>
      <c r="JNQ358" s="92"/>
      <c r="JNR358" s="92"/>
      <c r="JNS358" s="92"/>
      <c r="JNT358" s="92"/>
      <c r="JNU358" s="92"/>
      <c r="JNV358" s="92"/>
      <c r="JNW358" s="92"/>
      <c r="JNX358" s="92"/>
      <c r="JNY358" s="92"/>
      <c r="JNZ358" s="92"/>
      <c r="JOA358" s="92"/>
      <c r="JOB358" s="92"/>
      <c r="JOC358" s="92"/>
      <c r="JOD358" s="92"/>
      <c r="JOE358" s="92"/>
      <c r="JOF358" s="92"/>
      <c r="JOG358" s="92"/>
      <c r="JOH358" s="92"/>
      <c r="JOI358" s="92"/>
      <c r="JOJ358" s="92"/>
      <c r="JOK358" s="92"/>
      <c r="JOL358" s="92"/>
      <c r="JOM358" s="92"/>
      <c r="JON358" s="92"/>
      <c r="JOO358" s="92"/>
      <c r="JOP358" s="92"/>
      <c r="JOQ358" s="92"/>
      <c r="JOR358" s="92"/>
      <c r="JOS358" s="92"/>
      <c r="JOT358" s="92"/>
      <c r="JOU358" s="92"/>
      <c r="JOV358" s="92"/>
      <c r="JOW358" s="92"/>
      <c r="JOX358" s="92"/>
      <c r="JOY358" s="92"/>
      <c r="JOZ358" s="92"/>
      <c r="JPA358" s="92"/>
      <c r="JPB358" s="92"/>
      <c r="JPC358" s="92"/>
      <c r="JPD358" s="92"/>
      <c r="JPE358" s="92"/>
      <c r="JPF358" s="92"/>
      <c r="JPG358" s="92"/>
      <c r="JPH358" s="92"/>
      <c r="JPI358" s="92"/>
      <c r="JPJ358" s="92"/>
      <c r="JPK358" s="92"/>
      <c r="JPL358" s="92"/>
      <c r="JPM358" s="92"/>
      <c r="JPN358" s="92"/>
      <c r="JPO358" s="92"/>
      <c r="JPP358" s="92"/>
      <c r="JPQ358" s="92"/>
      <c r="JPR358" s="92"/>
      <c r="JPS358" s="92"/>
      <c r="JPT358" s="92"/>
      <c r="JPU358" s="92"/>
      <c r="JPV358" s="92"/>
      <c r="JPW358" s="92"/>
      <c r="JPX358" s="92"/>
      <c r="JPY358" s="92"/>
      <c r="JPZ358" s="92"/>
      <c r="JQA358" s="92"/>
      <c r="JQB358" s="92"/>
      <c r="JQC358" s="92"/>
      <c r="JQD358" s="92"/>
      <c r="JQE358" s="92"/>
      <c r="JQF358" s="92"/>
      <c r="JQG358" s="92"/>
      <c r="JQH358" s="92"/>
      <c r="JQI358" s="92"/>
      <c r="JQJ358" s="92"/>
      <c r="JQK358" s="92"/>
      <c r="JQL358" s="92"/>
      <c r="JQM358" s="92"/>
      <c r="JQN358" s="92"/>
      <c r="JQO358" s="92"/>
      <c r="JQP358" s="92"/>
      <c r="JQQ358" s="92"/>
      <c r="JQR358" s="92"/>
      <c r="JQS358" s="92"/>
      <c r="JQT358" s="92"/>
      <c r="JQU358" s="92"/>
      <c r="JQV358" s="92"/>
      <c r="JQW358" s="92"/>
      <c r="JQX358" s="92"/>
      <c r="JQY358" s="92"/>
      <c r="JQZ358" s="92"/>
      <c r="JRA358" s="92"/>
      <c r="JRB358" s="92"/>
      <c r="JRC358" s="92"/>
      <c r="JRD358" s="92"/>
      <c r="JRE358" s="92"/>
      <c r="JRF358" s="92"/>
      <c r="JRG358" s="92"/>
      <c r="JRH358" s="92"/>
      <c r="JRI358" s="92"/>
      <c r="JRJ358" s="92"/>
      <c r="JRK358" s="92"/>
      <c r="JRL358" s="92"/>
      <c r="JRM358" s="92"/>
      <c r="JRN358" s="92"/>
      <c r="JRO358" s="92"/>
      <c r="JRP358" s="92"/>
      <c r="JRQ358" s="92"/>
      <c r="JRR358" s="92"/>
      <c r="JRS358" s="92"/>
      <c r="JRT358" s="92"/>
      <c r="JRU358" s="92"/>
      <c r="JRV358" s="92"/>
      <c r="JRW358" s="92"/>
      <c r="JRX358" s="92"/>
      <c r="JRY358" s="92"/>
      <c r="JRZ358" s="92"/>
      <c r="JSA358" s="92"/>
      <c r="JSB358" s="92"/>
      <c r="JSC358" s="92"/>
      <c r="JSD358" s="92"/>
      <c r="JSE358" s="92"/>
      <c r="JSF358" s="92"/>
      <c r="JSG358" s="92"/>
      <c r="JSH358" s="92"/>
      <c r="JSI358" s="92"/>
      <c r="JSJ358" s="92"/>
      <c r="JSK358" s="92"/>
      <c r="JSL358" s="92"/>
      <c r="JSM358" s="92"/>
      <c r="JSN358" s="92"/>
      <c r="JSO358" s="92"/>
      <c r="JSP358" s="92"/>
      <c r="JSQ358" s="92"/>
      <c r="JSR358" s="92"/>
      <c r="JSS358" s="92"/>
      <c r="JST358" s="92"/>
      <c r="JSU358" s="92"/>
      <c r="JSV358" s="92"/>
      <c r="JSW358" s="92"/>
      <c r="JSX358" s="92"/>
      <c r="JSY358" s="92"/>
      <c r="JSZ358" s="92"/>
      <c r="JTA358" s="92"/>
      <c r="JTB358" s="92"/>
      <c r="JTC358" s="92"/>
      <c r="JTD358" s="92"/>
      <c r="JTE358" s="92"/>
      <c r="JTF358" s="92"/>
      <c r="JTG358" s="92"/>
      <c r="JTH358" s="92"/>
      <c r="JTI358" s="92"/>
      <c r="JTJ358" s="92"/>
      <c r="JTK358" s="92"/>
      <c r="JTL358" s="92"/>
      <c r="JTM358" s="92"/>
      <c r="JTN358" s="92"/>
      <c r="JTO358" s="92"/>
      <c r="JTP358" s="92"/>
      <c r="JTQ358" s="92"/>
      <c r="JTR358" s="92"/>
      <c r="JTS358" s="92"/>
      <c r="JTT358" s="92"/>
      <c r="JTU358" s="92"/>
      <c r="JTV358" s="92"/>
      <c r="JTW358" s="92"/>
      <c r="JTX358" s="92"/>
      <c r="JTY358" s="92"/>
      <c r="JTZ358" s="92"/>
      <c r="JUA358" s="92"/>
      <c r="JUB358" s="92"/>
      <c r="JUC358" s="92"/>
      <c r="JUD358" s="92"/>
      <c r="JUE358" s="92"/>
      <c r="JUF358" s="92"/>
      <c r="JUG358" s="92"/>
      <c r="JUH358" s="92"/>
      <c r="JUI358" s="92"/>
      <c r="JUJ358" s="92"/>
      <c r="JUK358" s="92"/>
      <c r="JUL358" s="92"/>
      <c r="JUM358" s="92"/>
      <c r="JUN358" s="92"/>
      <c r="JUO358" s="92"/>
      <c r="JUP358" s="92"/>
      <c r="JUQ358" s="92"/>
      <c r="JUR358" s="92"/>
      <c r="JUS358" s="92"/>
      <c r="JUT358" s="92"/>
      <c r="JUU358" s="92"/>
      <c r="JUV358" s="92"/>
      <c r="JUW358" s="92"/>
      <c r="JUX358" s="92"/>
      <c r="JUY358" s="92"/>
      <c r="JUZ358" s="92"/>
      <c r="JVA358" s="92"/>
      <c r="JVB358" s="92"/>
      <c r="JVC358" s="92"/>
      <c r="JVD358" s="92"/>
      <c r="JVE358" s="92"/>
      <c r="JVF358" s="92"/>
      <c r="JVG358" s="92"/>
      <c r="JVH358" s="92"/>
      <c r="JVI358" s="92"/>
      <c r="JVJ358" s="92"/>
      <c r="JVK358" s="92"/>
      <c r="JVL358" s="92"/>
      <c r="JVM358" s="92"/>
      <c r="JVN358" s="92"/>
      <c r="JVO358" s="92"/>
      <c r="JVP358" s="92"/>
      <c r="JVQ358" s="92"/>
      <c r="JVR358" s="92"/>
      <c r="JVS358" s="92"/>
      <c r="JVT358" s="92"/>
      <c r="JVU358" s="92"/>
      <c r="JVV358" s="92"/>
      <c r="JVW358" s="92"/>
      <c r="JVX358" s="92"/>
      <c r="JVY358" s="92"/>
      <c r="JVZ358" s="92"/>
      <c r="JWA358" s="92"/>
      <c r="JWB358" s="92"/>
      <c r="JWC358" s="92"/>
      <c r="JWD358" s="92"/>
      <c r="JWE358" s="92"/>
      <c r="JWF358" s="92"/>
      <c r="JWG358" s="92"/>
      <c r="JWH358" s="92"/>
      <c r="JWI358" s="92"/>
      <c r="JWJ358" s="92"/>
      <c r="JWK358" s="92"/>
      <c r="JWL358" s="92"/>
      <c r="JWM358" s="92"/>
      <c r="JWN358" s="92"/>
      <c r="JWO358" s="92"/>
      <c r="JWP358" s="92"/>
      <c r="JWQ358" s="92"/>
      <c r="JWR358" s="92"/>
      <c r="JWS358" s="92"/>
      <c r="JWT358" s="92"/>
      <c r="JWU358" s="92"/>
      <c r="JWV358" s="92"/>
      <c r="JWW358" s="92"/>
      <c r="JWX358" s="92"/>
      <c r="JWY358" s="92"/>
      <c r="JWZ358" s="92"/>
      <c r="JXA358" s="92"/>
      <c r="JXB358" s="92"/>
      <c r="JXC358" s="92"/>
      <c r="JXD358" s="92"/>
      <c r="JXE358" s="92"/>
      <c r="JXF358" s="92"/>
      <c r="JXG358" s="92"/>
      <c r="JXH358" s="92"/>
      <c r="JXI358" s="92"/>
      <c r="JXJ358" s="92"/>
      <c r="JXK358" s="92"/>
      <c r="JXL358" s="92"/>
      <c r="JXM358" s="92"/>
      <c r="JXN358" s="92"/>
      <c r="JXO358" s="92"/>
      <c r="JXP358" s="92"/>
      <c r="JXQ358" s="92"/>
      <c r="JXR358" s="92"/>
      <c r="JXS358" s="92"/>
      <c r="JXT358" s="92"/>
      <c r="JXU358" s="92"/>
      <c r="JXV358" s="92"/>
      <c r="JXW358" s="92"/>
      <c r="JXX358" s="92"/>
      <c r="JXY358" s="92"/>
      <c r="JXZ358" s="92"/>
      <c r="JYA358" s="92"/>
      <c r="JYB358" s="92"/>
      <c r="JYC358" s="92"/>
      <c r="JYD358" s="92"/>
      <c r="JYE358" s="92"/>
      <c r="JYF358" s="92"/>
      <c r="JYG358" s="92"/>
      <c r="JYH358" s="92"/>
      <c r="JYI358" s="92"/>
      <c r="JYJ358" s="92"/>
      <c r="JYK358" s="92"/>
      <c r="JYL358" s="92"/>
      <c r="JYM358" s="92"/>
      <c r="JYN358" s="92"/>
      <c r="JYO358" s="92"/>
      <c r="JYP358" s="92"/>
      <c r="JYQ358" s="92"/>
      <c r="JYR358" s="92"/>
      <c r="JYS358" s="92"/>
      <c r="JYT358" s="92"/>
      <c r="JYU358" s="92"/>
      <c r="JYV358" s="92"/>
      <c r="JYW358" s="92"/>
      <c r="JYX358" s="92"/>
      <c r="JYY358" s="92"/>
      <c r="JYZ358" s="92"/>
      <c r="JZA358" s="92"/>
      <c r="JZB358" s="92"/>
      <c r="JZC358" s="92"/>
      <c r="JZD358" s="92"/>
      <c r="JZE358" s="92"/>
      <c r="JZF358" s="92"/>
      <c r="JZG358" s="92"/>
      <c r="JZH358" s="92"/>
      <c r="JZI358" s="92"/>
      <c r="JZJ358" s="92"/>
      <c r="JZK358" s="92"/>
      <c r="JZL358" s="92"/>
      <c r="JZM358" s="92"/>
      <c r="JZN358" s="92"/>
      <c r="JZO358" s="92"/>
      <c r="JZP358" s="92"/>
      <c r="JZQ358" s="92"/>
      <c r="JZR358" s="92"/>
      <c r="JZS358" s="92"/>
      <c r="JZT358" s="92"/>
      <c r="JZU358" s="92"/>
      <c r="JZV358" s="92"/>
      <c r="JZW358" s="92"/>
      <c r="JZX358" s="92"/>
      <c r="JZY358" s="92"/>
      <c r="JZZ358" s="92"/>
      <c r="KAA358" s="92"/>
      <c r="KAB358" s="92"/>
      <c r="KAC358" s="92"/>
      <c r="KAD358" s="92"/>
      <c r="KAE358" s="92"/>
      <c r="KAF358" s="92"/>
      <c r="KAG358" s="92"/>
      <c r="KAH358" s="92"/>
      <c r="KAI358" s="92"/>
      <c r="KAJ358" s="92"/>
      <c r="KAK358" s="92"/>
      <c r="KAL358" s="92"/>
      <c r="KAM358" s="92"/>
      <c r="KAN358" s="92"/>
      <c r="KAO358" s="92"/>
      <c r="KAP358" s="92"/>
      <c r="KAQ358" s="92"/>
      <c r="KAR358" s="92"/>
      <c r="KAS358" s="92"/>
      <c r="KAT358" s="92"/>
      <c r="KAU358" s="92"/>
      <c r="KAV358" s="92"/>
      <c r="KAW358" s="92"/>
      <c r="KAX358" s="92"/>
      <c r="KAY358" s="92"/>
      <c r="KAZ358" s="92"/>
      <c r="KBA358" s="92"/>
      <c r="KBB358" s="92"/>
      <c r="KBC358" s="92"/>
      <c r="KBD358" s="92"/>
      <c r="KBE358" s="92"/>
      <c r="KBF358" s="92"/>
      <c r="KBG358" s="92"/>
      <c r="KBH358" s="92"/>
      <c r="KBI358" s="92"/>
      <c r="KBJ358" s="92"/>
      <c r="KBK358" s="92"/>
      <c r="KBL358" s="92"/>
      <c r="KBM358" s="92"/>
      <c r="KBN358" s="92"/>
      <c r="KBO358" s="92"/>
      <c r="KBP358" s="92"/>
      <c r="KBQ358" s="92"/>
      <c r="KBR358" s="92"/>
      <c r="KBS358" s="92"/>
      <c r="KBT358" s="92"/>
      <c r="KBU358" s="92"/>
      <c r="KBV358" s="92"/>
      <c r="KBW358" s="92"/>
      <c r="KBX358" s="92"/>
      <c r="KBY358" s="92"/>
      <c r="KBZ358" s="92"/>
      <c r="KCA358" s="92"/>
      <c r="KCB358" s="92"/>
      <c r="KCC358" s="92"/>
      <c r="KCD358" s="92"/>
      <c r="KCE358" s="92"/>
      <c r="KCF358" s="92"/>
      <c r="KCG358" s="92"/>
      <c r="KCH358" s="92"/>
      <c r="KCI358" s="92"/>
      <c r="KCJ358" s="92"/>
      <c r="KCK358" s="92"/>
      <c r="KCL358" s="92"/>
      <c r="KCM358" s="92"/>
      <c r="KCN358" s="92"/>
      <c r="KCO358" s="92"/>
      <c r="KCP358" s="92"/>
      <c r="KCQ358" s="92"/>
      <c r="KCR358" s="92"/>
      <c r="KCS358" s="92"/>
      <c r="KCT358" s="92"/>
      <c r="KCU358" s="92"/>
      <c r="KCV358" s="92"/>
      <c r="KCW358" s="92"/>
      <c r="KCX358" s="92"/>
      <c r="KCY358" s="92"/>
      <c r="KCZ358" s="92"/>
      <c r="KDA358" s="92"/>
      <c r="KDB358" s="92"/>
      <c r="KDC358" s="92"/>
      <c r="KDD358" s="92"/>
      <c r="KDE358" s="92"/>
      <c r="KDF358" s="92"/>
      <c r="KDG358" s="92"/>
      <c r="KDH358" s="92"/>
      <c r="KDI358" s="92"/>
      <c r="KDJ358" s="92"/>
      <c r="KDK358" s="92"/>
      <c r="KDL358" s="92"/>
      <c r="KDM358" s="92"/>
      <c r="KDN358" s="92"/>
      <c r="KDO358" s="92"/>
      <c r="KDP358" s="92"/>
      <c r="KDQ358" s="92"/>
      <c r="KDR358" s="92"/>
      <c r="KDS358" s="92"/>
      <c r="KDT358" s="92"/>
      <c r="KDU358" s="92"/>
      <c r="KDV358" s="92"/>
      <c r="KDW358" s="92"/>
      <c r="KDX358" s="92"/>
      <c r="KDY358" s="92"/>
      <c r="KDZ358" s="92"/>
      <c r="KEA358" s="92"/>
      <c r="KEB358" s="92"/>
      <c r="KEC358" s="92"/>
      <c r="KED358" s="92"/>
      <c r="KEE358" s="92"/>
      <c r="KEF358" s="92"/>
      <c r="KEG358" s="92"/>
      <c r="KEH358" s="92"/>
      <c r="KEI358" s="92"/>
      <c r="KEJ358" s="92"/>
      <c r="KEK358" s="92"/>
      <c r="KEL358" s="92"/>
      <c r="KEM358" s="92"/>
      <c r="KEN358" s="92"/>
      <c r="KEO358" s="92"/>
      <c r="KEP358" s="92"/>
      <c r="KEQ358" s="92"/>
      <c r="KER358" s="92"/>
      <c r="KES358" s="92"/>
      <c r="KET358" s="92"/>
      <c r="KEU358" s="92"/>
      <c r="KEV358" s="92"/>
      <c r="KEW358" s="92"/>
      <c r="KEX358" s="92"/>
      <c r="KEY358" s="92"/>
      <c r="KEZ358" s="92"/>
      <c r="KFA358" s="92"/>
      <c r="KFB358" s="92"/>
      <c r="KFC358" s="92"/>
      <c r="KFD358" s="92"/>
      <c r="KFE358" s="92"/>
      <c r="KFF358" s="92"/>
      <c r="KFG358" s="92"/>
      <c r="KFH358" s="92"/>
      <c r="KFI358" s="92"/>
      <c r="KFJ358" s="92"/>
      <c r="KFK358" s="92"/>
      <c r="KFL358" s="92"/>
      <c r="KFM358" s="92"/>
      <c r="KFN358" s="92"/>
      <c r="KFO358" s="92"/>
      <c r="KFP358" s="92"/>
      <c r="KFQ358" s="92"/>
      <c r="KFR358" s="92"/>
      <c r="KFS358" s="92"/>
      <c r="KFT358" s="92"/>
      <c r="KFU358" s="92"/>
      <c r="KFV358" s="92"/>
      <c r="KFW358" s="92"/>
      <c r="KFX358" s="92"/>
      <c r="KFY358" s="92"/>
      <c r="KFZ358" s="92"/>
      <c r="KGA358" s="92"/>
      <c r="KGB358" s="92"/>
      <c r="KGC358" s="92"/>
      <c r="KGD358" s="92"/>
      <c r="KGE358" s="92"/>
      <c r="KGF358" s="92"/>
      <c r="KGG358" s="92"/>
      <c r="KGH358" s="92"/>
      <c r="KGI358" s="92"/>
      <c r="KGJ358" s="92"/>
      <c r="KGK358" s="92"/>
      <c r="KGL358" s="92"/>
      <c r="KGM358" s="92"/>
      <c r="KGN358" s="92"/>
      <c r="KGO358" s="92"/>
      <c r="KGP358" s="92"/>
      <c r="KGQ358" s="92"/>
      <c r="KGR358" s="92"/>
      <c r="KGS358" s="92"/>
      <c r="KGT358" s="92"/>
      <c r="KGU358" s="92"/>
      <c r="KGV358" s="92"/>
      <c r="KGW358" s="92"/>
      <c r="KGX358" s="92"/>
      <c r="KGY358" s="92"/>
      <c r="KGZ358" s="92"/>
      <c r="KHA358" s="92"/>
      <c r="KHB358" s="92"/>
      <c r="KHC358" s="92"/>
      <c r="KHD358" s="92"/>
      <c r="KHE358" s="92"/>
      <c r="KHF358" s="92"/>
      <c r="KHG358" s="92"/>
      <c r="KHH358" s="92"/>
      <c r="KHI358" s="92"/>
      <c r="KHJ358" s="92"/>
      <c r="KHK358" s="92"/>
      <c r="KHL358" s="92"/>
      <c r="KHM358" s="92"/>
      <c r="KHN358" s="92"/>
      <c r="KHO358" s="92"/>
      <c r="KHP358" s="92"/>
      <c r="KHQ358" s="92"/>
      <c r="KHR358" s="92"/>
      <c r="KHS358" s="92"/>
      <c r="KHT358" s="92"/>
      <c r="KHU358" s="92"/>
      <c r="KHV358" s="92"/>
      <c r="KHW358" s="92"/>
      <c r="KHX358" s="92"/>
      <c r="KHY358" s="92"/>
      <c r="KHZ358" s="92"/>
      <c r="KIA358" s="92"/>
      <c r="KIB358" s="92"/>
      <c r="KIC358" s="92"/>
      <c r="KID358" s="92"/>
      <c r="KIE358" s="92"/>
      <c r="KIF358" s="92"/>
      <c r="KIG358" s="92"/>
      <c r="KIH358" s="92"/>
      <c r="KII358" s="92"/>
      <c r="KIJ358" s="92"/>
      <c r="KIK358" s="92"/>
      <c r="KIL358" s="92"/>
      <c r="KIM358" s="92"/>
      <c r="KIN358" s="92"/>
      <c r="KIO358" s="92"/>
      <c r="KIP358" s="92"/>
      <c r="KIQ358" s="92"/>
      <c r="KIR358" s="92"/>
      <c r="KIS358" s="92"/>
      <c r="KIT358" s="92"/>
      <c r="KIU358" s="92"/>
      <c r="KIV358" s="92"/>
      <c r="KIW358" s="92"/>
      <c r="KIX358" s="92"/>
      <c r="KIY358" s="92"/>
      <c r="KIZ358" s="92"/>
      <c r="KJA358" s="92"/>
      <c r="KJB358" s="92"/>
      <c r="KJC358" s="92"/>
      <c r="KJD358" s="92"/>
      <c r="KJE358" s="92"/>
      <c r="KJF358" s="92"/>
      <c r="KJG358" s="92"/>
      <c r="KJH358" s="92"/>
      <c r="KJI358" s="92"/>
      <c r="KJJ358" s="92"/>
      <c r="KJK358" s="92"/>
      <c r="KJL358" s="92"/>
      <c r="KJM358" s="92"/>
      <c r="KJN358" s="92"/>
      <c r="KJO358" s="92"/>
      <c r="KJP358" s="92"/>
      <c r="KJQ358" s="92"/>
      <c r="KJR358" s="92"/>
      <c r="KJS358" s="92"/>
      <c r="KJT358" s="92"/>
      <c r="KJU358" s="92"/>
      <c r="KJV358" s="92"/>
      <c r="KJW358" s="92"/>
      <c r="KJX358" s="92"/>
      <c r="KJY358" s="92"/>
      <c r="KJZ358" s="92"/>
      <c r="KKA358" s="92"/>
      <c r="KKB358" s="92"/>
      <c r="KKC358" s="92"/>
      <c r="KKD358" s="92"/>
      <c r="KKE358" s="92"/>
      <c r="KKF358" s="92"/>
      <c r="KKG358" s="92"/>
      <c r="KKH358" s="92"/>
      <c r="KKI358" s="92"/>
      <c r="KKJ358" s="92"/>
      <c r="KKK358" s="92"/>
      <c r="KKL358" s="92"/>
      <c r="KKM358" s="92"/>
      <c r="KKN358" s="92"/>
      <c r="KKO358" s="92"/>
      <c r="KKP358" s="92"/>
      <c r="KKQ358" s="92"/>
      <c r="KKR358" s="92"/>
      <c r="KKS358" s="92"/>
      <c r="KKT358" s="92"/>
      <c r="KKU358" s="92"/>
      <c r="KKV358" s="92"/>
      <c r="KKW358" s="92"/>
      <c r="KKX358" s="92"/>
      <c r="KKY358" s="92"/>
      <c r="KKZ358" s="92"/>
      <c r="KLA358" s="92"/>
      <c r="KLB358" s="92"/>
      <c r="KLC358" s="92"/>
      <c r="KLD358" s="92"/>
      <c r="KLE358" s="92"/>
      <c r="KLF358" s="92"/>
      <c r="KLG358" s="92"/>
      <c r="KLH358" s="92"/>
      <c r="KLI358" s="92"/>
      <c r="KLJ358" s="92"/>
      <c r="KLK358" s="92"/>
      <c r="KLL358" s="92"/>
      <c r="KLM358" s="92"/>
      <c r="KLN358" s="92"/>
      <c r="KLO358" s="92"/>
      <c r="KLP358" s="92"/>
      <c r="KLQ358" s="92"/>
      <c r="KLR358" s="92"/>
      <c r="KLS358" s="92"/>
      <c r="KLT358" s="92"/>
      <c r="KLU358" s="92"/>
      <c r="KLV358" s="92"/>
      <c r="KLW358" s="92"/>
      <c r="KLX358" s="92"/>
      <c r="KLY358" s="92"/>
      <c r="KLZ358" s="92"/>
      <c r="KMA358" s="92"/>
      <c r="KMB358" s="92"/>
      <c r="KMC358" s="92"/>
      <c r="KMD358" s="92"/>
      <c r="KME358" s="92"/>
      <c r="KMF358" s="92"/>
      <c r="KMG358" s="92"/>
      <c r="KMH358" s="92"/>
      <c r="KMI358" s="92"/>
      <c r="KMJ358" s="92"/>
      <c r="KMK358" s="92"/>
      <c r="KML358" s="92"/>
      <c r="KMM358" s="92"/>
      <c r="KMN358" s="92"/>
      <c r="KMO358" s="92"/>
      <c r="KMP358" s="92"/>
      <c r="KMQ358" s="92"/>
      <c r="KMR358" s="92"/>
      <c r="KMS358" s="92"/>
      <c r="KMT358" s="92"/>
      <c r="KMU358" s="92"/>
      <c r="KMV358" s="92"/>
      <c r="KMW358" s="92"/>
      <c r="KMX358" s="92"/>
      <c r="KMY358" s="92"/>
      <c r="KMZ358" s="92"/>
      <c r="KNA358" s="92"/>
      <c r="KNB358" s="92"/>
      <c r="KNC358" s="92"/>
      <c r="KND358" s="92"/>
      <c r="KNE358" s="92"/>
      <c r="KNF358" s="92"/>
      <c r="KNG358" s="92"/>
      <c r="KNH358" s="92"/>
      <c r="KNI358" s="92"/>
      <c r="KNJ358" s="92"/>
      <c r="KNK358" s="92"/>
      <c r="KNL358" s="92"/>
      <c r="KNM358" s="92"/>
      <c r="KNN358" s="92"/>
      <c r="KNO358" s="92"/>
      <c r="KNP358" s="92"/>
      <c r="KNQ358" s="92"/>
      <c r="KNR358" s="92"/>
      <c r="KNS358" s="92"/>
      <c r="KNT358" s="92"/>
      <c r="KNU358" s="92"/>
      <c r="KNV358" s="92"/>
      <c r="KNW358" s="92"/>
      <c r="KNX358" s="92"/>
      <c r="KNY358" s="92"/>
      <c r="KNZ358" s="92"/>
      <c r="KOA358" s="92"/>
      <c r="KOB358" s="92"/>
      <c r="KOC358" s="92"/>
      <c r="KOD358" s="92"/>
      <c r="KOE358" s="92"/>
      <c r="KOF358" s="92"/>
      <c r="KOG358" s="92"/>
      <c r="KOH358" s="92"/>
      <c r="KOI358" s="92"/>
      <c r="KOJ358" s="92"/>
      <c r="KOK358" s="92"/>
      <c r="KOL358" s="92"/>
      <c r="KOM358" s="92"/>
      <c r="KON358" s="92"/>
      <c r="KOO358" s="92"/>
      <c r="KOP358" s="92"/>
      <c r="KOQ358" s="92"/>
      <c r="KOR358" s="92"/>
      <c r="KOS358" s="92"/>
      <c r="KOT358" s="92"/>
      <c r="KOU358" s="92"/>
      <c r="KOV358" s="92"/>
      <c r="KOW358" s="92"/>
      <c r="KOX358" s="92"/>
      <c r="KOY358" s="92"/>
      <c r="KOZ358" s="92"/>
      <c r="KPA358" s="92"/>
      <c r="KPB358" s="92"/>
      <c r="KPC358" s="92"/>
      <c r="KPD358" s="92"/>
      <c r="KPE358" s="92"/>
      <c r="KPF358" s="92"/>
      <c r="KPG358" s="92"/>
      <c r="KPH358" s="92"/>
      <c r="KPI358" s="92"/>
      <c r="KPJ358" s="92"/>
      <c r="KPK358" s="92"/>
      <c r="KPL358" s="92"/>
      <c r="KPM358" s="92"/>
      <c r="KPN358" s="92"/>
      <c r="KPO358" s="92"/>
      <c r="KPP358" s="92"/>
      <c r="KPQ358" s="92"/>
      <c r="KPR358" s="92"/>
      <c r="KPS358" s="92"/>
      <c r="KPT358" s="92"/>
      <c r="KPU358" s="92"/>
      <c r="KPV358" s="92"/>
      <c r="KPW358" s="92"/>
      <c r="KPX358" s="92"/>
      <c r="KPY358" s="92"/>
      <c r="KPZ358" s="92"/>
      <c r="KQA358" s="92"/>
      <c r="KQB358" s="92"/>
      <c r="KQC358" s="92"/>
      <c r="KQD358" s="92"/>
      <c r="KQE358" s="92"/>
      <c r="KQF358" s="92"/>
      <c r="KQG358" s="92"/>
      <c r="KQH358" s="92"/>
      <c r="KQI358" s="92"/>
      <c r="KQJ358" s="92"/>
      <c r="KQK358" s="92"/>
      <c r="KQL358" s="92"/>
      <c r="KQM358" s="92"/>
      <c r="KQN358" s="92"/>
      <c r="KQO358" s="92"/>
      <c r="KQP358" s="92"/>
      <c r="KQQ358" s="92"/>
      <c r="KQR358" s="92"/>
      <c r="KQS358" s="92"/>
      <c r="KQT358" s="92"/>
      <c r="KQU358" s="92"/>
      <c r="KQV358" s="92"/>
      <c r="KQW358" s="92"/>
      <c r="KQX358" s="92"/>
      <c r="KQY358" s="92"/>
      <c r="KQZ358" s="92"/>
      <c r="KRA358" s="92"/>
      <c r="KRB358" s="92"/>
      <c r="KRC358" s="92"/>
      <c r="KRD358" s="92"/>
      <c r="KRE358" s="92"/>
      <c r="KRF358" s="92"/>
      <c r="KRG358" s="92"/>
      <c r="KRH358" s="92"/>
      <c r="KRI358" s="92"/>
      <c r="KRJ358" s="92"/>
      <c r="KRK358" s="92"/>
      <c r="KRL358" s="92"/>
      <c r="KRM358" s="92"/>
      <c r="KRN358" s="92"/>
      <c r="KRO358" s="92"/>
      <c r="KRP358" s="92"/>
      <c r="KRQ358" s="92"/>
      <c r="KRR358" s="92"/>
      <c r="KRS358" s="92"/>
      <c r="KRT358" s="92"/>
      <c r="KRU358" s="92"/>
      <c r="KRV358" s="92"/>
      <c r="KRW358" s="92"/>
      <c r="KRX358" s="92"/>
      <c r="KRY358" s="92"/>
      <c r="KRZ358" s="92"/>
      <c r="KSA358" s="92"/>
      <c r="KSB358" s="92"/>
      <c r="KSC358" s="92"/>
      <c r="KSD358" s="92"/>
      <c r="KSE358" s="92"/>
      <c r="KSF358" s="92"/>
      <c r="KSG358" s="92"/>
      <c r="KSH358" s="92"/>
      <c r="KSI358" s="92"/>
      <c r="KSJ358" s="92"/>
      <c r="KSK358" s="92"/>
      <c r="KSL358" s="92"/>
      <c r="KSM358" s="92"/>
      <c r="KSN358" s="92"/>
      <c r="KSO358" s="92"/>
      <c r="KSP358" s="92"/>
      <c r="KSQ358" s="92"/>
      <c r="KSR358" s="92"/>
      <c r="KSS358" s="92"/>
      <c r="KST358" s="92"/>
      <c r="KSU358" s="92"/>
      <c r="KSV358" s="92"/>
      <c r="KSW358" s="92"/>
      <c r="KSX358" s="92"/>
      <c r="KSY358" s="92"/>
      <c r="KSZ358" s="92"/>
      <c r="KTA358" s="92"/>
      <c r="KTB358" s="92"/>
      <c r="KTC358" s="92"/>
      <c r="KTD358" s="92"/>
      <c r="KTE358" s="92"/>
      <c r="KTF358" s="92"/>
      <c r="KTG358" s="92"/>
      <c r="KTH358" s="92"/>
      <c r="KTI358" s="92"/>
      <c r="KTJ358" s="92"/>
      <c r="KTK358" s="92"/>
      <c r="KTL358" s="92"/>
      <c r="KTM358" s="92"/>
      <c r="KTN358" s="92"/>
      <c r="KTO358" s="92"/>
      <c r="KTP358" s="92"/>
      <c r="KTQ358" s="92"/>
      <c r="KTR358" s="92"/>
      <c r="KTS358" s="92"/>
      <c r="KTT358" s="92"/>
      <c r="KTU358" s="92"/>
      <c r="KTV358" s="92"/>
      <c r="KTW358" s="92"/>
      <c r="KTX358" s="92"/>
      <c r="KTY358" s="92"/>
      <c r="KTZ358" s="92"/>
      <c r="KUA358" s="92"/>
      <c r="KUB358" s="92"/>
      <c r="KUC358" s="92"/>
      <c r="KUD358" s="92"/>
      <c r="KUE358" s="92"/>
      <c r="KUF358" s="92"/>
      <c r="KUG358" s="92"/>
      <c r="KUH358" s="92"/>
      <c r="KUI358" s="92"/>
      <c r="KUJ358" s="92"/>
      <c r="KUK358" s="92"/>
      <c r="KUL358" s="92"/>
      <c r="KUM358" s="92"/>
      <c r="KUN358" s="92"/>
      <c r="KUO358" s="92"/>
      <c r="KUP358" s="92"/>
      <c r="KUQ358" s="92"/>
      <c r="KUR358" s="92"/>
      <c r="KUS358" s="92"/>
      <c r="KUT358" s="92"/>
      <c r="KUU358" s="92"/>
      <c r="KUV358" s="92"/>
      <c r="KUW358" s="92"/>
      <c r="KUX358" s="92"/>
      <c r="KUY358" s="92"/>
      <c r="KUZ358" s="92"/>
      <c r="KVA358" s="92"/>
      <c r="KVB358" s="92"/>
      <c r="KVC358" s="92"/>
      <c r="KVD358" s="92"/>
      <c r="KVE358" s="92"/>
      <c r="KVF358" s="92"/>
      <c r="KVG358" s="92"/>
      <c r="KVH358" s="92"/>
      <c r="KVI358" s="92"/>
      <c r="KVJ358" s="92"/>
      <c r="KVK358" s="92"/>
      <c r="KVL358" s="92"/>
      <c r="KVM358" s="92"/>
      <c r="KVN358" s="92"/>
      <c r="KVO358" s="92"/>
      <c r="KVP358" s="92"/>
      <c r="KVQ358" s="92"/>
      <c r="KVR358" s="92"/>
      <c r="KVS358" s="92"/>
      <c r="KVT358" s="92"/>
      <c r="KVU358" s="92"/>
      <c r="KVV358" s="92"/>
      <c r="KVW358" s="92"/>
      <c r="KVX358" s="92"/>
      <c r="KVY358" s="92"/>
      <c r="KVZ358" s="92"/>
      <c r="KWA358" s="92"/>
      <c r="KWB358" s="92"/>
      <c r="KWC358" s="92"/>
      <c r="KWD358" s="92"/>
      <c r="KWE358" s="92"/>
      <c r="KWF358" s="92"/>
      <c r="KWG358" s="92"/>
      <c r="KWH358" s="92"/>
      <c r="KWI358" s="92"/>
      <c r="KWJ358" s="92"/>
      <c r="KWK358" s="92"/>
      <c r="KWL358" s="92"/>
      <c r="KWM358" s="92"/>
      <c r="KWN358" s="92"/>
      <c r="KWO358" s="92"/>
      <c r="KWP358" s="92"/>
      <c r="KWQ358" s="92"/>
      <c r="KWR358" s="92"/>
      <c r="KWS358" s="92"/>
      <c r="KWT358" s="92"/>
      <c r="KWU358" s="92"/>
      <c r="KWV358" s="92"/>
      <c r="KWW358" s="92"/>
      <c r="KWX358" s="92"/>
      <c r="KWY358" s="92"/>
      <c r="KWZ358" s="92"/>
      <c r="KXA358" s="92"/>
      <c r="KXB358" s="92"/>
      <c r="KXC358" s="92"/>
      <c r="KXD358" s="92"/>
      <c r="KXE358" s="92"/>
      <c r="KXF358" s="92"/>
      <c r="KXG358" s="92"/>
      <c r="KXH358" s="92"/>
      <c r="KXI358" s="92"/>
      <c r="KXJ358" s="92"/>
      <c r="KXK358" s="92"/>
      <c r="KXL358" s="92"/>
      <c r="KXM358" s="92"/>
      <c r="KXN358" s="92"/>
      <c r="KXO358" s="92"/>
      <c r="KXP358" s="92"/>
      <c r="KXQ358" s="92"/>
      <c r="KXR358" s="92"/>
      <c r="KXS358" s="92"/>
      <c r="KXT358" s="92"/>
      <c r="KXU358" s="92"/>
      <c r="KXV358" s="92"/>
      <c r="KXW358" s="92"/>
      <c r="KXX358" s="92"/>
      <c r="KXY358" s="92"/>
      <c r="KXZ358" s="92"/>
      <c r="KYA358" s="92"/>
      <c r="KYB358" s="92"/>
      <c r="KYC358" s="92"/>
      <c r="KYD358" s="92"/>
      <c r="KYE358" s="92"/>
      <c r="KYF358" s="92"/>
      <c r="KYG358" s="92"/>
      <c r="KYH358" s="92"/>
      <c r="KYI358" s="92"/>
      <c r="KYJ358" s="92"/>
      <c r="KYK358" s="92"/>
      <c r="KYL358" s="92"/>
      <c r="KYM358" s="92"/>
      <c r="KYN358" s="92"/>
      <c r="KYO358" s="92"/>
      <c r="KYP358" s="92"/>
      <c r="KYQ358" s="92"/>
      <c r="KYR358" s="92"/>
      <c r="KYS358" s="92"/>
      <c r="KYT358" s="92"/>
      <c r="KYU358" s="92"/>
      <c r="KYV358" s="92"/>
      <c r="KYW358" s="92"/>
      <c r="KYX358" s="92"/>
      <c r="KYY358" s="92"/>
      <c r="KYZ358" s="92"/>
      <c r="KZA358" s="92"/>
      <c r="KZB358" s="92"/>
      <c r="KZC358" s="92"/>
      <c r="KZD358" s="92"/>
      <c r="KZE358" s="92"/>
      <c r="KZF358" s="92"/>
      <c r="KZG358" s="92"/>
      <c r="KZH358" s="92"/>
      <c r="KZI358" s="92"/>
      <c r="KZJ358" s="92"/>
      <c r="KZK358" s="92"/>
      <c r="KZL358" s="92"/>
      <c r="KZM358" s="92"/>
      <c r="KZN358" s="92"/>
      <c r="KZO358" s="92"/>
      <c r="KZP358" s="92"/>
      <c r="KZQ358" s="92"/>
      <c r="KZR358" s="92"/>
      <c r="KZS358" s="92"/>
      <c r="KZT358" s="92"/>
      <c r="KZU358" s="92"/>
      <c r="KZV358" s="92"/>
      <c r="KZW358" s="92"/>
      <c r="KZX358" s="92"/>
      <c r="KZY358" s="92"/>
      <c r="KZZ358" s="92"/>
      <c r="LAA358" s="92"/>
      <c r="LAB358" s="92"/>
      <c r="LAC358" s="92"/>
      <c r="LAD358" s="92"/>
      <c r="LAE358" s="92"/>
      <c r="LAF358" s="92"/>
      <c r="LAG358" s="92"/>
      <c r="LAH358" s="92"/>
      <c r="LAI358" s="92"/>
      <c r="LAJ358" s="92"/>
      <c r="LAK358" s="92"/>
      <c r="LAL358" s="92"/>
      <c r="LAM358" s="92"/>
      <c r="LAN358" s="92"/>
      <c r="LAO358" s="92"/>
      <c r="LAP358" s="92"/>
      <c r="LAQ358" s="92"/>
      <c r="LAR358" s="92"/>
      <c r="LAS358" s="92"/>
      <c r="LAT358" s="92"/>
      <c r="LAU358" s="92"/>
      <c r="LAV358" s="92"/>
      <c r="LAW358" s="92"/>
      <c r="LAX358" s="92"/>
      <c r="LAY358" s="92"/>
      <c r="LAZ358" s="92"/>
      <c r="LBA358" s="92"/>
      <c r="LBB358" s="92"/>
      <c r="LBC358" s="92"/>
      <c r="LBD358" s="92"/>
      <c r="LBE358" s="92"/>
      <c r="LBF358" s="92"/>
      <c r="LBG358" s="92"/>
      <c r="LBH358" s="92"/>
      <c r="LBI358" s="92"/>
      <c r="LBJ358" s="92"/>
      <c r="LBK358" s="92"/>
      <c r="LBL358" s="92"/>
      <c r="LBM358" s="92"/>
      <c r="LBN358" s="92"/>
      <c r="LBO358" s="92"/>
      <c r="LBP358" s="92"/>
      <c r="LBQ358" s="92"/>
      <c r="LBR358" s="92"/>
      <c r="LBS358" s="92"/>
      <c r="LBT358" s="92"/>
      <c r="LBU358" s="92"/>
      <c r="LBV358" s="92"/>
      <c r="LBW358" s="92"/>
      <c r="LBX358" s="92"/>
      <c r="LBY358" s="92"/>
      <c r="LBZ358" s="92"/>
      <c r="LCA358" s="92"/>
      <c r="LCB358" s="92"/>
      <c r="LCC358" s="92"/>
      <c r="LCD358" s="92"/>
      <c r="LCE358" s="92"/>
      <c r="LCF358" s="92"/>
      <c r="LCG358" s="92"/>
      <c r="LCH358" s="92"/>
      <c r="LCI358" s="92"/>
      <c r="LCJ358" s="92"/>
      <c r="LCK358" s="92"/>
      <c r="LCL358" s="92"/>
      <c r="LCM358" s="92"/>
      <c r="LCN358" s="92"/>
      <c r="LCO358" s="92"/>
      <c r="LCP358" s="92"/>
      <c r="LCQ358" s="92"/>
      <c r="LCR358" s="92"/>
      <c r="LCS358" s="92"/>
      <c r="LCT358" s="92"/>
      <c r="LCU358" s="92"/>
      <c r="LCV358" s="92"/>
      <c r="LCW358" s="92"/>
      <c r="LCX358" s="92"/>
      <c r="LCY358" s="92"/>
      <c r="LCZ358" s="92"/>
      <c r="LDA358" s="92"/>
      <c r="LDB358" s="92"/>
      <c r="LDC358" s="92"/>
      <c r="LDD358" s="92"/>
      <c r="LDE358" s="92"/>
      <c r="LDF358" s="92"/>
      <c r="LDG358" s="92"/>
      <c r="LDH358" s="92"/>
      <c r="LDI358" s="92"/>
      <c r="LDJ358" s="92"/>
      <c r="LDK358" s="92"/>
      <c r="LDL358" s="92"/>
      <c r="LDM358" s="92"/>
      <c r="LDN358" s="92"/>
      <c r="LDO358" s="92"/>
      <c r="LDP358" s="92"/>
      <c r="LDQ358" s="92"/>
      <c r="LDR358" s="92"/>
      <c r="LDS358" s="92"/>
      <c r="LDT358" s="92"/>
      <c r="LDU358" s="92"/>
      <c r="LDV358" s="92"/>
      <c r="LDW358" s="92"/>
      <c r="LDX358" s="92"/>
      <c r="LDY358" s="92"/>
      <c r="LDZ358" s="92"/>
      <c r="LEA358" s="92"/>
      <c r="LEB358" s="92"/>
      <c r="LEC358" s="92"/>
      <c r="LED358" s="92"/>
      <c r="LEE358" s="92"/>
      <c r="LEF358" s="92"/>
      <c r="LEG358" s="92"/>
      <c r="LEH358" s="92"/>
      <c r="LEI358" s="92"/>
      <c r="LEJ358" s="92"/>
      <c r="LEK358" s="92"/>
      <c r="LEL358" s="92"/>
      <c r="LEM358" s="92"/>
      <c r="LEN358" s="92"/>
      <c r="LEO358" s="92"/>
      <c r="LEP358" s="92"/>
      <c r="LEQ358" s="92"/>
      <c r="LER358" s="92"/>
      <c r="LES358" s="92"/>
      <c r="LET358" s="92"/>
      <c r="LEU358" s="92"/>
      <c r="LEV358" s="92"/>
      <c r="LEW358" s="92"/>
      <c r="LEX358" s="92"/>
      <c r="LEY358" s="92"/>
      <c r="LEZ358" s="92"/>
      <c r="LFA358" s="92"/>
      <c r="LFB358" s="92"/>
      <c r="LFC358" s="92"/>
      <c r="LFD358" s="92"/>
      <c r="LFE358" s="92"/>
      <c r="LFF358" s="92"/>
      <c r="LFG358" s="92"/>
      <c r="LFH358" s="92"/>
      <c r="LFI358" s="92"/>
      <c r="LFJ358" s="92"/>
      <c r="LFK358" s="92"/>
      <c r="LFL358" s="92"/>
      <c r="LFM358" s="92"/>
      <c r="LFN358" s="92"/>
      <c r="LFO358" s="92"/>
      <c r="LFP358" s="92"/>
      <c r="LFQ358" s="92"/>
      <c r="LFR358" s="92"/>
      <c r="LFS358" s="92"/>
      <c r="LFT358" s="92"/>
      <c r="LFU358" s="92"/>
      <c r="LFV358" s="92"/>
      <c r="LFW358" s="92"/>
      <c r="LFX358" s="92"/>
      <c r="LFY358" s="92"/>
      <c r="LFZ358" s="92"/>
      <c r="LGA358" s="92"/>
      <c r="LGB358" s="92"/>
      <c r="LGC358" s="92"/>
      <c r="LGD358" s="92"/>
      <c r="LGE358" s="92"/>
      <c r="LGF358" s="92"/>
      <c r="LGG358" s="92"/>
      <c r="LGH358" s="92"/>
      <c r="LGI358" s="92"/>
      <c r="LGJ358" s="92"/>
      <c r="LGK358" s="92"/>
      <c r="LGL358" s="92"/>
      <c r="LGM358" s="92"/>
      <c r="LGN358" s="92"/>
      <c r="LGO358" s="92"/>
      <c r="LGP358" s="92"/>
      <c r="LGQ358" s="92"/>
      <c r="LGR358" s="92"/>
      <c r="LGS358" s="92"/>
      <c r="LGT358" s="92"/>
      <c r="LGU358" s="92"/>
      <c r="LGV358" s="92"/>
      <c r="LGW358" s="92"/>
      <c r="LGX358" s="92"/>
      <c r="LGY358" s="92"/>
      <c r="LGZ358" s="92"/>
      <c r="LHA358" s="92"/>
      <c r="LHB358" s="92"/>
      <c r="LHC358" s="92"/>
      <c r="LHD358" s="92"/>
      <c r="LHE358" s="92"/>
      <c r="LHF358" s="92"/>
      <c r="LHG358" s="92"/>
      <c r="LHH358" s="92"/>
      <c r="LHI358" s="92"/>
      <c r="LHJ358" s="92"/>
      <c r="LHK358" s="92"/>
      <c r="LHL358" s="92"/>
      <c r="LHM358" s="92"/>
      <c r="LHN358" s="92"/>
      <c r="LHO358" s="92"/>
      <c r="LHP358" s="92"/>
      <c r="LHQ358" s="92"/>
      <c r="LHR358" s="92"/>
      <c r="LHS358" s="92"/>
      <c r="LHT358" s="92"/>
      <c r="LHU358" s="92"/>
      <c r="LHV358" s="92"/>
      <c r="LHW358" s="92"/>
      <c r="LHX358" s="92"/>
      <c r="LHY358" s="92"/>
      <c r="LHZ358" s="92"/>
      <c r="LIA358" s="92"/>
      <c r="LIB358" s="92"/>
      <c r="LIC358" s="92"/>
      <c r="LID358" s="92"/>
      <c r="LIE358" s="92"/>
      <c r="LIF358" s="92"/>
      <c r="LIG358" s="92"/>
      <c r="LIH358" s="92"/>
      <c r="LII358" s="92"/>
      <c r="LIJ358" s="92"/>
      <c r="LIK358" s="92"/>
      <c r="LIL358" s="92"/>
      <c r="LIM358" s="92"/>
      <c r="LIN358" s="92"/>
      <c r="LIO358" s="92"/>
      <c r="LIP358" s="92"/>
      <c r="LIQ358" s="92"/>
      <c r="LIR358" s="92"/>
      <c r="LIS358" s="92"/>
      <c r="LIT358" s="92"/>
      <c r="LIU358" s="92"/>
      <c r="LIV358" s="92"/>
      <c r="LIW358" s="92"/>
      <c r="LIX358" s="92"/>
      <c r="LIY358" s="92"/>
      <c r="LIZ358" s="92"/>
      <c r="LJA358" s="92"/>
      <c r="LJB358" s="92"/>
      <c r="LJC358" s="92"/>
      <c r="LJD358" s="92"/>
      <c r="LJE358" s="92"/>
      <c r="LJF358" s="92"/>
      <c r="LJG358" s="92"/>
      <c r="LJH358" s="92"/>
      <c r="LJI358" s="92"/>
      <c r="LJJ358" s="92"/>
      <c r="LJK358" s="92"/>
      <c r="LJL358" s="92"/>
      <c r="LJM358" s="92"/>
      <c r="LJN358" s="92"/>
      <c r="LJO358" s="92"/>
      <c r="LJP358" s="92"/>
      <c r="LJQ358" s="92"/>
      <c r="LJR358" s="92"/>
      <c r="LJS358" s="92"/>
      <c r="LJT358" s="92"/>
      <c r="LJU358" s="92"/>
      <c r="LJV358" s="92"/>
      <c r="LJW358" s="92"/>
      <c r="LJX358" s="92"/>
      <c r="LJY358" s="92"/>
      <c r="LJZ358" s="92"/>
      <c r="LKA358" s="92"/>
      <c r="LKB358" s="92"/>
      <c r="LKC358" s="92"/>
      <c r="LKD358" s="92"/>
      <c r="LKE358" s="92"/>
      <c r="LKF358" s="92"/>
      <c r="LKG358" s="92"/>
      <c r="LKH358" s="92"/>
      <c r="LKI358" s="92"/>
      <c r="LKJ358" s="92"/>
      <c r="LKK358" s="92"/>
      <c r="LKL358" s="92"/>
      <c r="LKM358" s="92"/>
      <c r="LKN358" s="92"/>
      <c r="LKO358" s="92"/>
      <c r="LKP358" s="92"/>
      <c r="LKQ358" s="92"/>
      <c r="LKR358" s="92"/>
      <c r="LKS358" s="92"/>
      <c r="LKT358" s="92"/>
      <c r="LKU358" s="92"/>
      <c r="LKV358" s="92"/>
      <c r="LKW358" s="92"/>
      <c r="LKX358" s="92"/>
      <c r="LKY358" s="92"/>
      <c r="LKZ358" s="92"/>
      <c r="LLA358" s="92"/>
      <c r="LLB358" s="92"/>
      <c r="LLC358" s="92"/>
      <c r="LLD358" s="92"/>
      <c r="LLE358" s="92"/>
      <c r="LLF358" s="92"/>
      <c r="LLG358" s="92"/>
      <c r="LLH358" s="92"/>
      <c r="LLI358" s="92"/>
      <c r="LLJ358" s="92"/>
      <c r="LLK358" s="92"/>
      <c r="LLL358" s="92"/>
      <c r="LLM358" s="92"/>
      <c r="LLN358" s="92"/>
      <c r="LLO358" s="92"/>
      <c r="LLP358" s="92"/>
      <c r="LLQ358" s="92"/>
      <c r="LLR358" s="92"/>
      <c r="LLS358" s="92"/>
      <c r="LLT358" s="92"/>
      <c r="LLU358" s="92"/>
      <c r="LLV358" s="92"/>
      <c r="LLW358" s="92"/>
      <c r="LLX358" s="92"/>
      <c r="LLY358" s="92"/>
      <c r="LLZ358" s="92"/>
      <c r="LMA358" s="92"/>
      <c r="LMB358" s="92"/>
      <c r="LMC358" s="92"/>
      <c r="LMD358" s="92"/>
      <c r="LME358" s="92"/>
      <c r="LMF358" s="92"/>
      <c r="LMG358" s="92"/>
      <c r="LMH358" s="92"/>
      <c r="LMI358" s="92"/>
      <c r="LMJ358" s="92"/>
      <c r="LMK358" s="92"/>
      <c r="LML358" s="92"/>
      <c r="LMM358" s="92"/>
      <c r="LMN358" s="92"/>
      <c r="LMO358" s="92"/>
      <c r="LMP358" s="92"/>
      <c r="LMQ358" s="92"/>
      <c r="LMR358" s="92"/>
      <c r="LMS358" s="92"/>
      <c r="LMT358" s="92"/>
      <c r="LMU358" s="92"/>
      <c r="LMV358" s="92"/>
      <c r="LMW358" s="92"/>
      <c r="LMX358" s="92"/>
      <c r="LMY358" s="92"/>
      <c r="LMZ358" s="92"/>
      <c r="LNA358" s="92"/>
      <c r="LNB358" s="92"/>
      <c r="LNC358" s="92"/>
      <c r="LND358" s="92"/>
      <c r="LNE358" s="92"/>
      <c r="LNF358" s="92"/>
      <c r="LNG358" s="92"/>
      <c r="LNH358" s="92"/>
      <c r="LNI358" s="92"/>
      <c r="LNJ358" s="92"/>
      <c r="LNK358" s="92"/>
      <c r="LNL358" s="92"/>
      <c r="LNM358" s="92"/>
      <c r="LNN358" s="92"/>
      <c r="LNO358" s="92"/>
      <c r="LNP358" s="92"/>
      <c r="LNQ358" s="92"/>
      <c r="LNR358" s="92"/>
      <c r="LNS358" s="92"/>
      <c r="LNT358" s="92"/>
      <c r="LNU358" s="92"/>
      <c r="LNV358" s="92"/>
      <c r="LNW358" s="92"/>
      <c r="LNX358" s="92"/>
      <c r="LNY358" s="92"/>
      <c r="LNZ358" s="92"/>
      <c r="LOA358" s="92"/>
      <c r="LOB358" s="92"/>
      <c r="LOC358" s="92"/>
      <c r="LOD358" s="92"/>
      <c r="LOE358" s="92"/>
      <c r="LOF358" s="92"/>
      <c r="LOG358" s="92"/>
      <c r="LOH358" s="92"/>
      <c r="LOI358" s="92"/>
      <c r="LOJ358" s="92"/>
      <c r="LOK358" s="92"/>
      <c r="LOL358" s="92"/>
      <c r="LOM358" s="92"/>
      <c r="LON358" s="92"/>
      <c r="LOO358" s="92"/>
      <c r="LOP358" s="92"/>
      <c r="LOQ358" s="92"/>
      <c r="LOR358" s="92"/>
      <c r="LOS358" s="92"/>
      <c r="LOT358" s="92"/>
      <c r="LOU358" s="92"/>
      <c r="LOV358" s="92"/>
      <c r="LOW358" s="92"/>
      <c r="LOX358" s="92"/>
      <c r="LOY358" s="92"/>
      <c r="LOZ358" s="92"/>
      <c r="LPA358" s="92"/>
      <c r="LPB358" s="92"/>
      <c r="LPC358" s="92"/>
      <c r="LPD358" s="92"/>
      <c r="LPE358" s="92"/>
      <c r="LPF358" s="92"/>
      <c r="LPG358" s="92"/>
      <c r="LPH358" s="92"/>
      <c r="LPI358" s="92"/>
      <c r="LPJ358" s="92"/>
      <c r="LPK358" s="92"/>
      <c r="LPL358" s="92"/>
      <c r="LPM358" s="92"/>
      <c r="LPN358" s="92"/>
      <c r="LPO358" s="92"/>
      <c r="LPP358" s="92"/>
      <c r="LPQ358" s="92"/>
      <c r="LPR358" s="92"/>
      <c r="LPS358" s="92"/>
      <c r="LPT358" s="92"/>
      <c r="LPU358" s="92"/>
      <c r="LPV358" s="92"/>
      <c r="LPW358" s="92"/>
      <c r="LPX358" s="92"/>
      <c r="LPY358" s="92"/>
      <c r="LPZ358" s="92"/>
      <c r="LQA358" s="92"/>
      <c r="LQB358" s="92"/>
      <c r="LQC358" s="92"/>
      <c r="LQD358" s="92"/>
      <c r="LQE358" s="92"/>
      <c r="LQF358" s="92"/>
      <c r="LQG358" s="92"/>
      <c r="LQH358" s="92"/>
      <c r="LQI358" s="92"/>
      <c r="LQJ358" s="92"/>
      <c r="LQK358" s="92"/>
      <c r="LQL358" s="92"/>
      <c r="LQM358" s="92"/>
      <c r="LQN358" s="92"/>
      <c r="LQO358" s="92"/>
      <c r="LQP358" s="92"/>
      <c r="LQQ358" s="92"/>
      <c r="LQR358" s="92"/>
      <c r="LQS358" s="92"/>
      <c r="LQT358" s="92"/>
      <c r="LQU358" s="92"/>
      <c r="LQV358" s="92"/>
      <c r="LQW358" s="92"/>
      <c r="LQX358" s="92"/>
      <c r="LQY358" s="92"/>
      <c r="LQZ358" s="92"/>
      <c r="LRA358" s="92"/>
      <c r="LRB358" s="92"/>
      <c r="LRC358" s="92"/>
      <c r="LRD358" s="92"/>
      <c r="LRE358" s="92"/>
      <c r="LRF358" s="92"/>
      <c r="LRG358" s="92"/>
      <c r="LRH358" s="92"/>
      <c r="LRI358" s="92"/>
      <c r="LRJ358" s="92"/>
      <c r="LRK358" s="92"/>
      <c r="LRL358" s="92"/>
      <c r="LRM358" s="92"/>
      <c r="LRN358" s="92"/>
      <c r="LRO358" s="92"/>
      <c r="LRP358" s="92"/>
      <c r="LRQ358" s="92"/>
      <c r="LRR358" s="92"/>
      <c r="LRS358" s="92"/>
      <c r="LRT358" s="92"/>
      <c r="LRU358" s="92"/>
      <c r="LRV358" s="92"/>
      <c r="LRW358" s="92"/>
      <c r="LRX358" s="92"/>
      <c r="LRY358" s="92"/>
      <c r="LRZ358" s="92"/>
      <c r="LSA358" s="92"/>
      <c r="LSB358" s="92"/>
      <c r="LSC358" s="92"/>
      <c r="LSD358" s="92"/>
      <c r="LSE358" s="92"/>
      <c r="LSF358" s="92"/>
      <c r="LSG358" s="92"/>
      <c r="LSH358" s="92"/>
      <c r="LSI358" s="92"/>
      <c r="LSJ358" s="92"/>
      <c r="LSK358" s="92"/>
      <c r="LSL358" s="92"/>
      <c r="LSM358" s="92"/>
      <c r="LSN358" s="92"/>
      <c r="LSO358" s="92"/>
      <c r="LSP358" s="92"/>
      <c r="LSQ358" s="92"/>
      <c r="LSR358" s="92"/>
      <c r="LSS358" s="92"/>
      <c r="LST358" s="92"/>
      <c r="LSU358" s="92"/>
      <c r="LSV358" s="92"/>
      <c r="LSW358" s="92"/>
      <c r="LSX358" s="92"/>
      <c r="LSY358" s="92"/>
      <c r="LSZ358" s="92"/>
      <c r="LTA358" s="92"/>
      <c r="LTB358" s="92"/>
      <c r="LTC358" s="92"/>
      <c r="LTD358" s="92"/>
      <c r="LTE358" s="92"/>
      <c r="LTF358" s="92"/>
      <c r="LTG358" s="92"/>
      <c r="LTH358" s="92"/>
      <c r="LTI358" s="92"/>
      <c r="LTJ358" s="92"/>
      <c r="LTK358" s="92"/>
      <c r="LTL358" s="92"/>
      <c r="LTM358" s="92"/>
      <c r="LTN358" s="92"/>
      <c r="LTO358" s="92"/>
      <c r="LTP358" s="92"/>
      <c r="LTQ358" s="92"/>
      <c r="LTR358" s="92"/>
      <c r="LTS358" s="92"/>
      <c r="LTT358" s="92"/>
      <c r="LTU358" s="92"/>
      <c r="LTV358" s="92"/>
      <c r="LTW358" s="92"/>
      <c r="LTX358" s="92"/>
      <c r="LTY358" s="92"/>
      <c r="LTZ358" s="92"/>
      <c r="LUA358" s="92"/>
      <c r="LUB358" s="92"/>
      <c r="LUC358" s="92"/>
      <c r="LUD358" s="92"/>
      <c r="LUE358" s="92"/>
      <c r="LUF358" s="92"/>
      <c r="LUG358" s="92"/>
      <c r="LUH358" s="92"/>
      <c r="LUI358" s="92"/>
      <c r="LUJ358" s="92"/>
      <c r="LUK358" s="92"/>
      <c r="LUL358" s="92"/>
      <c r="LUM358" s="92"/>
      <c r="LUN358" s="92"/>
      <c r="LUO358" s="92"/>
      <c r="LUP358" s="92"/>
      <c r="LUQ358" s="92"/>
      <c r="LUR358" s="92"/>
      <c r="LUS358" s="92"/>
      <c r="LUT358" s="92"/>
      <c r="LUU358" s="92"/>
      <c r="LUV358" s="92"/>
      <c r="LUW358" s="92"/>
      <c r="LUX358" s="92"/>
      <c r="LUY358" s="92"/>
      <c r="LUZ358" s="92"/>
      <c r="LVA358" s="92"/>
      <c r="LVB358" s="92"/>
      <c r="LVC358" s="92"/>
      <c r="LVD358" s="92"/>
      <c r="LVE358" s="92"/>
      <c r="LVF358" s="92"/>
      <c r="LVG358" s="92"/>
      <c r="LVH358" s="92"/>
      <c r="LVI358" s="92"/>
      <c r="LVJ358" s="92"/>
      <c r="LVK358" s="92"/>
      <c r="LVL358" s="92"/>
      <c r="LVM358" s="92"/>
      <c r="LVN358" s="92"/>
      <c r="LVO358" s="92"/>
      <c r="LVP358" s="92"/>
      <c r="LVQ358" s="92"/>
      <c r="LVR358" s="92"/>
      <c r="LVS358" s="92"/>
      <c r="LVT358" s="92"/>
      <c r="LVU358" s="92"/>
      <c r="LVV358" s="92"/>
      <c r="LVW358" s="92"/>
      <c r="LVX358" s="92"/>
      <c r="LVY358" s="92"/>
      <c r="LVZ358" s="92"/>
      <c r="LWA358" s="92"/>
      <c r="LWB358" s="92"/>
      <c r="LWC358" s="92"/>
      <c r="LWD358" s="92"/>
      <c r="LWE358" s="92"/>
      <c r="LWF358" s="92"/>
      <c r="LWG358" s="92"/>
      <c r="LWH358" s="92"/>
      <c r="LWI358" s="92"/>
      <c r="LWJ358" s="92"/>
      <c r="LWK358" s="92"/>
      <c r="LWL358" s="92"/>
      <c r="LWM358" s="92"/>
      <c r="LWN358" s="92"/>
      <c r="LWO358" s="92"/>
      <c r="LWP358" s="92"/>
      <c r="LWQ358" s="92"/>
      <c r="LWR358" s="92"/>
      <c r="LWS358" s="92"/>
      <c r="LWT358" s="92"/>
      <c r="LWU358" s="92"/>
      <c r="LWV358" s="92"/>
      <c r="LWW358" s="92"/>
      <c r="LWX358" s="92"/>
      <c r="LWY358" s="92"/>
      <c r="LWZ358" s="92"/>
      <c r="LXA358" s="92"/>
      <c r="LXB358" s="92"/>
      <c r="LXC358" s="92"/>
      <c r="LXD358" s="92"/>
      <c r="LXE358" s="92"/>
      <c r="LXF358" s="92"/>
      <c r="LXG358" s="92"/>
      <c r="LXH358" s="92"/>
      <c r="LXI358" s="92"/>
      <c r="LXJ358" s="92"/>
      <c r="LXK358" s="92"/>
      <c r="LXL358" s="92"/>
      <c r="LXM358" s="92"/>
      <c r="LXN358" s="92"/>
      <c r="LXO358" s="92"/>
      <c r="LXP358" s="92"/>
      <c r="LXQ358" s="92"/>
      <c r="LXR358" s="92"/>
      <c r="LXS358" s="92"/>
      <c r="LXT358" s="92"/>
      <c r="LXU358" s="92"/>
      <c r="LXV358" s="92"/>
      <c r="LXW358" s="92"/>
      <c r="LXX358" s="92"/>
      <c r="LXY358" s="92"/>
      <c r="LXZ358" s="92"/>
      <c r="LYA358" s="92"/>
      <c r="LYB358" s="92"/>
      <c r="LYC358" s="92"/>
      <c r="LYD358" s="92"/>
      <c r="LYE358" s="92"/>
      <c r="LYF358" s="92"/>
      <c r="LYG358" s="92"/>
      <c r="LYH358" s="92"/>
      <c r="LYI358" s="92"/>
      <c r="LYJ358" s="92"/>
      <c r="LYK358" s="92"/>
      <c r="LYL358" s="92"/>
      <c r="LYM358" s="92"/>
      <c r="LYN358" s="92"/>
      <c r="LYO358" s="92"/>
      <c r="LYP358" s="92"/>
      <c r="LYQ358" s="92"/>
      <c r="LYR358" s="92"/>
      <c r="LYS358" s="92"/>
      <c r="LYT358" s="92"/>
      <c r="LYU358" s="92"/>
      <c r="LYV358" s="92"/>
      <c r="LYW358" s="92"/>
      <c r="LYX358" s="92"/>
      <c r="LYY358" s="92"/>
      <c r="LYZ358" s="92"/>
      <c r="LZA358" s="92"/>
      <c r="LZB358" s="92"/>
      <c r="LZC358" s="92"/>
      <c r="LZD358" s="92"/>
      <c r="LZE358" s="92"/>
      <c r="LZF358" s="92"/>
      <c r="LZG358" s="92"/>
      <c r="LZH358" s="92"/>
      <c r="LZI358" s="92"/>
      <c r="LZJ358" s="92"/>
      <c r="LZK358" s="92"/>
      <c r="LZL358" s="92"/>
      <c r="LZM358" s="92"/>
      <c r="LZN358" s="92"/>
      <c r="LZO358" s="92"/>
      <c r="LZP358" s="92"/>
      <c r="LZQ358" s="92"/>
      <c r="LZR358" s="92"/>
      <c r="LZS358" s="92"/>
      <c r="LZT358" s="92"/>
      <c r="LZU358" s="92"/>
      <c r="LZV358" s="92"/>
      <c r="LZW358" s="92"/>
      <c r="LZX358" s="92"/>
      <c r="LZY358" s="92"/>
      <c r="LZZ358" s="92"/>
      <c r="MAA358" s="92"/>
      <c r="MAB358" s="92"/>
      <c r="MAC358" s="92"/>
      <c r="MAD358" s="92"/>
      <c r="MAE358" s="92"/>
      <c r="MAF358" s="92"/>
      <c r="MAG358" s="92"/>
      <c r="MAH358" s="92"/>
      <c r="MAI358" s="92"/>
      <c r="MAJ358" s="92"/>
      <c r="MAK358" s="92"/>
      <c r="MAL358" s="92"/>
      <c r="MAM358" s="92"/>
      <c r="MAN358" s="92"/>
      <c r="MAO358" s="92"/>
      <c r="MAP358" s="92"/>
      <c r="MAQ358" s="92"/>
      <c r="MAR358" s="92"/>
      <c r="MAS358" s="92"/>
      <c r="MAT358" s="92"/>
      <c r="MAU358" s="92"/>
      <c r="MAV358" s="92"/>
      <c r="MAW358" s="92"/>
      <c r="MAX358" s="92"/>
      <c r="MAY358" s="92"/>
      <c r="MAZ358" s="92"/>
      <c r="MBA358" s="92"/>
      <c r="MBB358" s="92"/>
      <c r="MBC358" s="92"/>
      <c r="MBD358" s="92"/>
      <c r="MBE358" s="92"/>
      <c r="MBF358" s="92"/>
      <c r="MBG358" s="92"/>
      <c r="MBH358" s="92"/>
      <c r="MBI358" s="92"/>
      <c r="MBJ358" s="92"/>
      <c r="MBK358" s="92"/>
      <c r="MBL358" s="92"/>
      <c r="MBM358" s="92"/>
      <c r="MBN358" s="92"/>
      <c r="MBO358" s="92"/>
      <c r="MBP358" s="92"/>
      <c r="MBQ358" s="92"/>
      <c r="MBR358" s="92"/>
      <c r="MBS358" s="92"/>
      <c r="MBT358" s="92"/>
      <c r="MBU358" s="92"/>
      <c r="MBV358" s="92"/>
      <c r="MBW358" s="92"/>
      <c r="MBX358" s="92"/>
      <c r="MBY358" s="92"/>
      <c r="MBZ358" s="92"/>
      <c r="MCA358" s="92"/>
      <c r="MCB358" s="92"/>
      <c r="MCC358" s="92"/>
      <c r="MCD358" s="92"/>
      <c r="MCE358" s="92"/>
      <c r="MCF358" s="92"/>
      <c r="MCG358" s="92"/>
      <c r="MCH358" s="92"/>
      <c r="MCI358" s="92"/>
      <c r="MCJ358" s="92"/>
      <c r="MCK358" s="92"/>
      <c r="MCL358" s="92"/>
      <c r="MCM358" s="92"/>
      <c r="MCN358" s="92"/>
      <c r="MCO358" s="92"/>
      <c r="MCP358" s="92"/>
      <c r="MCQ358" s="92"/>
      <c r="MCR358" s="92"/>
      <c r="MCS358" s="92"/>
      <c r="MCT358" s="92"/>
      <c r="MCU358" s="92"/>
      <c r="MCV358" s="92"/>
      <c r="MCW358" s="92"/>
      <c r="MCX358" s="92"/>
      <c r="MCY358" s="92"/>
      <c r="MCZ358" s="92"/>
      <c r="MDA358" s="92"/>
      <c r="MDB358" s="92"/>
      <c r="MDC358" s="92"/>
      <c r="MDD358" s="92"/>
      <c r="MDE358" s="92"/>
      <c r="MDF358" s="92"/>
      <c r="MDG358" s="92"/>
      <c r="MDH358" s="92"/>
      <c r="MDI358" s="92"/>
      <c r="MDJ358" s="92"/>
      <c r="MDK358" s="92"/>
      <c r="MDL358" s="92"/>
      <c r="MDM358" s="92"/>
      <c r="MDN358" s="92"/>
      <c r="MDO358" s="92"/>
      <c r="MDP358" s="92"/>
      <c r="MDQ358" s="92"/>
      <c r="MDR358" s="92"/>
      <c r="MDS358" s="92"/>
      <c r="MDT358" s="92"/>
      <c r="MDU358" s="92"/>
      <c r="MDV358" s="92"/>
      <c r="MDW358" s="92"/>
      <c r="MDX358" s="92"/>
      <c r="MDY358" s="92"/>
      <c r="MDZ358" s="92"/>
      <c r="MEA358" s="92"/>
      <c r="MEB358" s="92"/>
      <c r="MEC358" s="92"/>
      <c r="MED358" s="92"/>
      <c r="MEE358" s="92"/>
      <c r="MEF358" s="92"/>
      <c r="MEG358" s="92"/>
      <c r="MEH358" s="92"/>
      <c r="MEI358" s="92"/>
      <c r="MEJ358" s="92"/>
      <c r="MEK358" s="92"/>
      <c r="MEL358" s="92"/>
      <c r="MEM358" s="92"/>
      <c r="MEN358" s="92"/>
      <c r="MEO358" s="92"/>
      <c r="MEP358" s="92"/>
      <c r="MEQ358" s="92"/>
      <c r="MER358" s="92"/>
      <c r="MES358" s="92"/>
      <c r="MET358" s="92"/>
      <c r="MEU358" s="92"/>
      <c r="MEV358" s="92"/>
      <c r="MEW358" s="92"/>
      <c r="MEX358" s="92"/>
      <c r="MEY358" s="92"/>
      <c r="MEZ358" s="92"/>
      <c r="MFA358" s="92"/>
      <c r="MFB358" s="92"/>
      <c r="MFC358" s="92"/>
      <c r="MFD358" s="92"/>
      <c r="MFE358" s="92"/>
      <c r="MFF358" s="92"/>
      <c r="MFG358" s="92"/>
      <c r="MFH358" s="92"/>
      <c r="MFI358" s="92"/>
      <c r="MFJ358" s="92"/>
      <c r="MFK358" s="92"/>
      <c r="MFL358" s="92"/>
      <c r="MFM358" s="92"/>
      <c r="MFN358" s="92"/>
      <c r="MFO358" s="92"/>
      <c r="MFP358" s="92"/>
      <c r="MFQ358" s="92"/>
      <c r="MFR358" s="92"/>
      <c r="MFS358" s="92"/>
      <c r="MFT358" s="92"/>
      <c r="MFU358" s="92"/>
      <c r="MFV358" s="92"/>
      <c r="MFW358" s="92"/>
      <c r="MFX358" s="92"/>
      <c r="MFY358" s="92"/>
      <c r="MFZ358" s="92"/>
      <c r="MGA358" s="92"/>
      <c r="MGB358" s="92"/>
      <c r="MGC358" s="92"/>
      <c r="MGD358" s="92"/>
      <c r="MGE358" s="92"/>
      <c r="MGF358" s="92"/>
      <c r="MGG358" s="92"/>
      <c r="MGH358" s="92"/>
      <c r="MGI358" s="92"/>
      <c r="MGJ358" s="92"/>
      <c r="MGK358" s="92"/>
      <c r="MGL358" s="92"/>
      <c r="MGM358" s="92"/>
      <c r="MGN358" s="92"/>
      <c r="MGO358" s="92"/>
      <c r="MGP358" s="92"/>
      <c r="MGQ358" s="92"/>
      <c r="MGR358" s="92"/>
      <c r="MGS358" s="92"/>
      <c r="MGT358" s="92"/>
      <c r="MGU358" s="92"/>
      <c r="MGV358" s="92"/>
      <c r="MGW358" s="92"/>
      <c r="MGX358" s="92"/>
      <c r="MGY358" s="92"/>
      <c r="MGZ358" s="92"/>
      <c r="MHA358" s="92"/>
      <c r="MHB358" s="92"/>
      <c r="MHC358" s="92"/>
      <c r="MHD358" s="92"/>
      <c r="MHE358" s="92"/>
      <c r="MHF358" s="92"/>
      <c r="MHG358" s="92"/>
      <c r="MHH358" s="92"/>
      <c r="MHI358" s="92"/>
      <c r="MHJ358" s="92"/>
      <c r="MHK358" s="92"/>
      <c r="MHL358" s="92"/>
      <c r="MHM358" s="92"/>
      <c r="MHN358" s="92"/>
      <c r="MHO358" s="92"/>
      <c r="MHP358" s="92"/>
      <c r="MHQ358" s="92"/>
      <c r="MHR358" s="92"/>
      <c r="MHS358" s="92"/>
      <c r="MHT358" s="92"/>
      <c r="MHU358" s="92"/>
      <c r="MHV358" s="92"/>
      <c r="MHW358" s="92"/>
      <c r="MHX358" s="92"/>
      <c r="MHY358" s="92"/>
      <c r="MHZ358" s="92"/>
      <c r="MIA358" s="92"/>
      <c r="MIB358" s="92"/>
      <c r="MIC358" s="92"/>
      <c r="MID358" s="92"/>
      <c r="MIE358" s="92"/>
      <c r="MIF358" s="92"/>
      <c r="MIG358" s="92"/>
      <c r="MIH358" s="92"/>
      <c r="MII358" s="92"/>
      <c r="MIJ358" s="92"/>
      <c r="MIK358" s="92"/>
      <c r="MIL358" s="92"/>
      <c r="MIM358" s="92"/>
      <c r="MIN358" s="92"/>
      <c r="MIO358" s="92"/>
      <c r="MIP358" s="92"/>
      <c r="MIQ358" s="92"/>
      <c r="MIR358" s="92"/>
      <c r="MIS358" s="92"/>
      <c r="MIT358" s="92"/>
      <c r="MIU358" s="92"/>
      <c r="MIV358" s="92"/>
      <c r="MIW358" s="92"/>
      <c r="MIX358" s="92"/>
      <c r="MIY358" s="92"/>
      <c r="MIZ358" s="92"/>
      <c r="MJA358" s="92"/>
      <c r="MJB358" s="92"/>
      <c r="MJC358" s="92"/>
      <c r="MJD358" s="92"/>
      <c r="MJE358" s="92"/>
      <c r="MJF358" s="92"/>
      <c r="MJG358" s="92"/>
      <c r="MJH358" s="92"/>
      <c r="MJI358" s="92"/>
      <c r="MJJ358" s="92"/>
      <c r="MJK358" s="92"/>
      <c r="MJL358" s="92"/>
      <c r="MJM358" s="92"/>
      <c r="MJN358" s="92"/>
      <c r="MJO358" s="92"/>
      <c r="MJP358" s="92"/>
      <c r="MJQ358" s="92"/>
      <c r="MJR358" s="92"/>
      <c r="MJS358" s="92"/>
      <c r="MJT358" s="92"/>
      <c r="MJU358" s="92"/>
      <c r="MJV358" s="92"/>
      <c r="MJW358" s="92"/>
      <c r="MJX358" s="92"/>
      <c r="MJY358" s="92"/>
      <c r="MJZ358" s="92"/>
      <c r="MKA358" s="92"/>
      <c r="MKB358" s="92"/>
      <c r="MKC358" s="92"/>
      <c r="MKD358" s="92"/>
      <c r="MKE358" s="92"/>
      <c r="MKF358" s="92"/>
      <c r="MKG358" s="92"/>
      <c r="MKH358" s="92"/>
      <c r="MKI358" s="92"/>
      <c r="MKJ358" s="92"/>
      <c r="MKK358" s="92"/>
      <c r="MKL358" s="92"/>
      <c r="MKM358" s="92"/>
      <c r="MKN358" s="92"/>
      <c r="MKO358" s="92"/>
      <c r="MKP358" s="92"/>
      <c r="MKQ358" s="92"/>
      <c r="MKR358" s="92"/>
      <c r="MKS358" s="92"/>
      <c r="MKT358" s="92"/>
      <c r="MKU358" s="92"/>
      <c r="MKV358" s="92"/>
      <c r="MKW358" s="92"/>
      <c r="MKX358" s="92"/>
      <c r="MKY358" s="92"/>
      <c r="MKZ358" s="92"/>
      <c r="MLA358" s="92"/>
      <c r="MLB358" s="92"/>
      <c r="MLC358" s="92"/>
      <c r="MLD358" s="92"/>
      <c r="MLE358" s="92"/>
      <c r="MLF358" s="92"/>
      <c r="MLG358" s="92"/>
      <c r="MLH358" s="92"/>
      <c r="MLI358" s="92"/>
      <c r="MLJ358" s="92"/>
      <c r="MLK358" s="92"/>
      <c r="MLL358" s="92"/>
      <c r="MLM358" s="92"/>
      <c r="MLN358" s="92"/>
      <c r="MLO358" s="92"/>
      <c r="MLP358" s="92"/>
      <c r="MLQ358" s="92"/>
      <c r="MLR358" s="92"/>
      <c r="MLS358" s="92"/>
      <c r="MLT358" s="92"/>
      <c r="MLU358" s="92"/>
      <c r="MLV358" s="92"/>
      <c r="MLW358" s="92"/>
      <c r="MLX358" s="92"/>
      <c r="MLY358" s="92"/>
      <c r="MLZ358" s="92"/>
      <c r="MMA358" s="92"/>
      <c r="MMB358" s="92"/>
      <c r="MMC358" s="92"/>
      <c r="MMD358" s="92"/>
      <c r="MME358" s="92"/>
      <c r="MMF358" s="92"/>
      <c r="MMG358" s="92"/>
      <c r="MMH358" s="92"/>
      <c r="MMI358" s="92"/>
      <c r="MMJ358" s="92"/>
      <c r="MMK358" s="92"/>
      <c r="MML358" s="92"/>
      <c r="MMM358" s="92"/>
      <c r="MMN358" s="92"/>
      <c r="MMO358" s="92"/>
      <c r="MMP358" s="92"/>
      <c r="MMQ358" s="92"/>
      <c r="MMR358" s="92"/>
      <c r="MMS358" s="92"/>
      <c r="MMT358" s="92"/>
      <c r="MMU358" s="92"/>
      <c r="MMV358" s="92"/>
      <c r="MMW358" s="92"/>
      <c r="MMX358" s="92"/>
      <c r="MMY358" s="92"/>
      <c r="MMZ358" s="92"/>
      <c r="MNA358" s="92"/>
      <c r="MNB358" s="92"/>
      <c r="MNC358" s="92"/>
      <c r="MND358" s="92"/>
      <c r="MNE358" s="92"/>
      <c r="MNF358" s="92"/>
      <c r="MNG358" s="92"/>
      <c r="MNH358" s="92"/>
      <c r="MNI358" s="92"/>
      <c r="MNJ358" s="92"/>
      <c r="MNK358" s="92"/>
      <c r="MNL358" s="92"/>
      <c r="MNM358" s="92"/>
      <c r="MNN358" s="92"/>
      <c r="MNO358" s="92"/>
      <c r="MNP358" s="92"/>
      <c r="MNQ358" s="92"/>
      <c r="MNR358" s="92"/>
      <c r="MNS358" s="92"/>
      <c r="MNT358" s="92"/>
      <c r="MNU358" s="92"/>
      <c r="MNV358" s="92"/>
      <c r="MNW358" s="92"/>
      <c r="MNX358" s="92"/>
      <c r="MNY358" s="92"/>
      <c r="MNZ358" s="92"/>
      <c r="MOA358" s="92"/>
      <c r="MOB358" s="92"/>
      <c r="MOC358" s="92"/>
      <c r="MOD358" s="92"/>
      <c r="MOE358" s="92"/>
      <c r="MOF358" s="92"/>
      <c r="MOG358" s="92"/>
      <c r="MOH358" s="92"/>
      <c r="MOI358" s="92"/>
      <c r="MOJ358" s="92"/>
      <c r="MOK358" s="92"/>
      <c r="MOL358" s="92"/>
      <c r="MOM358" s="92"/>
      <c r="MON358" s="92"/>
      <c r="MOO358" s="92"/>
      <c r="MOP358" s="92"/>
      <c r="MOQ358" s="92"/>
      <c r="MOR358" s="92"/>
      <c r="MOS358" s="92"/>
      <c r="MOT358" s="92"/>
      <c r="MOU358" s="92"/>
      <c r="MOV358" s="92"/>
      <c r="MOW358" s="92"/>
      <c r="MOX358" s="92"/>
      <c r="MOY358" s="92"/>
      <c r="MOZ358" s="92"/>
      <c r="MPA358" s="92"/>
      <c r="MPB358" s="92"/>
      <c r="MPC358" s="92"/>
      <c r="MPD358" s="92"/>
      <c r="MPE358" s="92"/>
      <c r="MPF358" s="92"/>
      <c r="MPG358" s="92"/>
      <c r="MPH358" s="92"/>
      <c r="MPI358" s="92"/>
      <c r="MPJ358" s="92"/>
      <c r="MPK358" s="92"/>
      <c r="MPL358" s="92"/>
      <c r="MPM358" s="92"/>
      <c r="MPN358" s="92"/>
      <c r="MPO358" s="92"/>
      <c r="MPP358" s="92"/>
      <c r="MPQ358" s="92"/>
      <c r="MPR358" s="92"/>
      <c r="MPS358" s="92"/>
      <c r="MPT358" s="92"/>
      <c r="MPU358" s="92"/>
      <c r="MPV358" s="92"/>
      <c r="MPW358" s="92"/>
      <c r="MPX358" s="92"/>
      <c r="MPY358" s="92"/>
      <c r="MPZ358" s="92"/>
      <c r="MQA358" s="92"/>
      <c r="MQB358" s="92"/>
      <c r="MQC358" s="92"/>
      <c r="MQD358" s="92"/>
      <c r="MQE358" s="92"/>
      <c r="MQF358" s="92"/>
      <c r="MQG358" s="92"/>
      <c r="MQH358" s="92"/>
      <c r="MQI358" s="92"/>
      <c r="MQJ358" s="92"/>
      <c r="MQK358" s="92"/>
      <c r="MQL358" s="92"/>
      <c r="MQM358" s="92"/>
      <c r="MQN358" s="92"/>
      <c r="MQO358" s="92"/>
      <c r="MQP358" s="92"/>
      <c r="MQQ358" s="92"/>
      <c r="MQR358" s="92"/>
      <c r="MQS358" s="92"/>
      <c r="MQT358" s="92"/>
      <c r="MQU358" s="92"/>
      <c r="MQV358" s="92"/>
      <c r="MQW358" s="92"/>
      <c r="MQX358" s="92"/>
      <c r="MQY358" s="92"/>
      <c r="MQZ358" s="92"/>
      <c r="MRA358" s="92"/>
      <c r="MRB358" s="92"/>
      <c r="MRC358" s="92"/>
      <c r="MRD358" s="92"/>
      <c r="MRE358" s="92"/>
      <c r="MRF358" s="92"/>
      <c r="MRG358" s="92"/>
      <c r="MRH358" s="92"/>
      <c r="MRI358" s="92"/>
      <c r="MRJ358" s="92"/>
      <c r="MRK358" s="92"/>
      <c r="MRL358" s="92"/>
      <c r="MRM358" s="92"/>
      <c r="MRN358" s="92"/>
      <c r="MRO358" s="92"/>
      <c r="MRP358" s="92"/>
      <c r="MRQ358" s="92"/>
      <c r="MRR358" s="92"/>
      <c r="MRS358" s="92"/>
      <c r="MRT358" s="92"/>
      <c r="MRU358" s="92"/>
      <c r="MRV358" s="92"/>
      <c r="MRW358" s="92"/>
      <c r="MRX358" s="92"/>
      <c r="MRY358" s="92"/>
      <c r="MRZ358" s="92"/>
      <c r="MSA358" s="92"/>
      <c r="MSB358" s="92"/>
      <c r="MSC358" s="92"/>
      <c r="MSD358" s="92"/>
      <c r="MSE358" s="92"/>
      <c r="MSF358" s="92"/>
      <c r="MSG358" s="92"/>
      <c r="MSH358" s="92"/>
      <c r="MSI358" s="92"/>
      <c r="MSJ358" s="92"/>
      <c r="MSK358" s="92"/>
      <c r="MSL358" s="92"/>
      <c r="MSM358" s="92"/>
      <c r="MSN358" s="92"/>
      <c r="MSO358" s="92"/>
      <c r="MSP358" s="92"/>
      <c r="MSQ358" s="92"/>
      <c r="MSR358" s="92"/>
      <c r="MSS358" s="92"/>
      <c r="MST358" s="92"/>
      <c r="MSU358" s="92"/>
      <c r="MSV358" s="92"/>
      <c r="MSW358" s="92"/>
      <c r="MSX358" s="92"/>
      <c r="MSY358" s="92"/>
      <c r="MSZ358" s="92"/>
      <c r="MTA358" s="92"/>
      <c r="MTB358" s="92"/>
      <c r="MTC358" s="92"/>
      <c r="MTD358" s="92"/>
      <c r="MTE358" s="92"/>
      <c r="MTF358" s="92"/>
      <c r="MTG358" s="92"/>
      <c r="MTH358" s="92"/>
      <c r="MTI358" s="92"/>
      <c r="MTJ358" s="92"/>
      <c r="MTK358" s="92"/>
      <c r="MTL358" s="92"/>
      <c r="MTM358" s="92"/>
      <c r="MTN358" s="92"/>
      <c r="MTO358" s="92"/>
      <c r="MTP358" s="92"/>
      <c r="MTQ358" s="92"/>
      <c r="MTR358" s="92"/>
      <c r="MTS358" s="92"/>
      <c r="MTT358" s="92"/>
      <c r="MTU358" s="92"/>
      <c r="MTV358" s="92"/>
      <c r="MTW358" s="92"/>
      <c r="MTX358" s="92"/>
      <c r="MTY358" s="92"/>
      <c r="MTZ358" s="92"/>
      <c r="MUA358" s="92"/>
      <c r="MUB358" s="92"/>
      <c r="MUC358" s="92"/>
      <c r="MUD358" s="92"/>
      <c r="MUE358" s="92"/>
      <c r="MUF358" s="92"/>
      <c r="MUG358" s="92"/>
      <c r="MUH358" s="92"/>
      <c r="MUI358" s="92"/>
      <c r="MUJ358" s="92"/>
      <c r="MUK358" s="92"/>
      <c r="MUL358" s="92"/>
      <c r="MUM358" s="92"/>
      <c r="MUN358" s="92"/>
      <c r="MUO358" s="92"/>
      <c r="MUP358" s="92"/>
      <c r="MUQ358" s="92"/>
      <c r="MUR358" s="92"/>
      <c r="MUS358" s="92"/>
      <c r="MUT358" s="92"/>
      <c r="MUU358" s="92"/>
      <c r="MUV358" s="92"/>
      <c r="MUW358" s="92"/>
      <c r="MUX358" s="92"/>
      <c r="MUY358" s="92"/>
      <c r="MUZ358" s="92"/>
      <c r="MVA358" s="92"/>
      <c r="MVB358" s="92"/>
      <c r="MVC358" s="92"/>
      <c r="MVD358" s="92"/>
      <c r="MVE358" s="92"/>
      <c r="MVF358" s="92"/>
      <c r="MVG358" s="92"/>
      <c r="MVH358" s="92"/>
      <c r="MVI358" s="92"/>
      <c r="MVJ358" s="92"/>
      <c r="MVK358" s="92"/>
      <c r="MVL358" s="92"/>
      <c r="MVM358" s="92"/>
      <c r="MVN358" s="92"/>
      <c r="MVO358" s="92"/>
      <c r="MVP358" s="92"/>
      <c r="MVQ358" s="92"/>
      <c r="MVR358" s="92"/>
      <c r="MVS358" s="92"/>
      <c r="MVT358" s="92"/>
      <c r="MVU358" s="92"/>
      <c r="MVV358" s="92"/>
      <c r="MVW358" s="92"/>
      <c r="MVX358" s="92"/>
      <c r="MVY358" s="92"/>
      <c r="MVZ358" s="92"/>
      <c r="MWA358" s="92"/>
      <c r="MWB358" s="92"/>
      <c r="MWC358" s="92"/>
      <c r="MWD358" s="92"/>
      <c r="MWE358" s="92"/>
      <c r="MWF358" s="92"/>
      <c r="MWG358" s="92"/>
      <c r="MWH358" s="92"/>
      <c r="MWI358" s="92"/>
      <c r="MWJ358" s="92"/>
      <c r="MWK358" s="92"/>
      <c r="MWL358" s="92"/>
      <c r="MWM358" s="92"/>
      <c r="MWN358" s="92"/>
      <c r="MWO358" s="92"/>
      <c r="MWP358" s="92"/>
      <c r="MWQ358" s="92"/>
      <c r="MWR358" s="92"/>
      <c r="MWS358" s="92"/>
      <c r="MWT358" s="92"/>
      <c r="MWU358" s="92"/>
      <c r="MWV358" s="92"/>
      <c r="MWW358" s="92"/>
      <c r="MWX358" s="92"/>
      <c r="MWY358" s="92"/>
      <c r="MWZ358" s="92"/>
      <c r="MXA358" s="92"/>
      <c r="MXB358" s="92"/>
      <c r="MXC358" s="92"/>
      <c r="MXD358" s="92"/>
      <c r="MXE358" s="92"/>
      <c r="MXF358" s="92"/>
      <c r="MXG358" s="92"/>
      <c r="MXH358" s="92"/>
      <c r="MXI358" s="92"/>
      <c r="MXJ358" s="92"/>
      <c r="MXK358" s="92"/>
      <c r="MXL358" s="92"/>
      <c r="MXM358" s="92"/>
      <c r="MXN358" s="92"/>
      <c r="MXO358" s="92"/>
      <c r="MXP358" s="92"/>
      <c r="MXQ358" s="92"/>
      <c r="MXR358" s="92"/>
      <c r="MXS358" s="92"/>
      <c r="MXT358" s="92"/>
      <c r="MXU358" s="92"/>
      <c r="MXV358" s="92"/>
      <c r="MXW358" s="92"/>
      <c r="MXX358" s="92"/>
      <c r="MXY358" s="92"/>
      <c r="MXZ358" s="92"/>
      <c r="MYA358" s="92"/>
      <c r="MYB358" s="92"/>
      <c r="MYC358" s="92"/>
      <c r="MYD358" s="92"/>
      <c r="MYE358" s="92"/>
      <c r="MYF358" s="92"/>
      <c r="MYG358" s="92"/>
      <c r="MYH358" s="92"/>
      <c r="MYI358" s="92"/>
      <c r="MYJ358" s="92"/>
      <c r="MYK358" s="92"/>
      <c r="MYL358" s="92"/>
      <c r="MYM358" s="92"/>
      <c r="MYN358" s="92"/>
      <c r="MYO358" s="92"/>
      <c r="MYP358" s="92"/>
      <c r="MYQ358" s="92"/>
      <c r="MYR358" s="92"/>
      <c r="MYS358" s="92"/>
      <c r="MYT358" s="92"/>
      <c r="MYU358" s="92"/>
      <c r="MYV358" s="92"/>
      <c r="MYW358" s="92"/>
      <c r="MYX358" s="92"/>
      <c r="MYY358" s="92"/>
      <c r="MYZ358" s="92"/>
      <c r="MZA358" s="92"/>
      <c r="MZB358" s="92"/>
      <c r="MZC358" s="92"/>
      <c r="MZD358" s="92"/>
      <c r="MZE358" s="92"/>
      <c r="MZF358" s="92"/>
      <c r="MZG358" s="92"/>
      <c r="MZH358" s="92"/>
      <c r="MZI358" s="92"/>
      <c r="MZJ358" s="92"/>
      <c r="MZK358" s="92"/>
      <c r="MZL358" s="92"/>
      <c r="MZM358" s="92"/>
      <c r="MZN358" s="92"/>
      <c r="MZO358" s="92"/>
      <c r="MZP358" s="92"/>
      <c r="MZQ358" s="92"/>
      <c r="MZR358" s="92"/>
      <c r="MZS358" s="92"/>
      <c r="MZT358" s="92"/>
      <c r="MZU358" s="92"/>
      <c r="MZV358" s="92"/>
      <c r="MZW358" s="92"/>
      <c r="MZX358" s="92"/>
      <c r="MZY358" s="92"/>
      <c r="MZZ358" s="92"/>
      <c r="NAA358" s="92"/>
      <c r="NAB358" s="92"/>
      <c r="NAC358" s="92"/>
      <c r="NAD358" s="92"/>
      <c r="NAE358" s="92"/>
      <c r="NAF358" s="92"/>
      <c r="NAG358" s="92"/>
      <c r="NAH358" s="92"/>
      <c r="NAI358" s="92"/>
      <c r="NAJ358" s="92"/>
      <c r="NAK358" s="92"/>
      <c r="NAL358" s="92"/>
      <c r="NAM358" s="92"/>
      <c r="NAN358" s="92"/>
      <c r="NAO358" s="92"/>
      <c r="NAP358" s="92"/>
      <c r="NAQ358" s="92"/>
      <c r="NAR358" s="92"/>
      <c r="NAS358" s="92"/>
      <c r="NAT358" s="92"/>
      <c r="NAU358" s="92"/>
      <c r="NAV358" s="92"/>
      <c r="NAW358" s="92"/>
      <c r="NAX358" s="92"/>
      <c r="NAY358" s="92"/>
      <c r="NAZ358" s="92"/>
      <c r="NBA358" s="92"/>
      <c r="NBB358" s="92"/>
      <c r="NBC358" s="92"/>
      <c r="NBD358" s="92"/>
      <c r="NBE358" s="92"/>
      <c r="NBF358" s="92"/>
      <c r="NBG358" s="92"/>
      <c r="NBH358" s="92"/>
      <c r="NBI358" s="92"/>
      <c r="NBJ358" s="92"/>
      <c r="NBK358" s="92"/>
      <c r="NBL358" s="92"/>
      <c r="NBM358" s="92"/>
      <c r="NBN358" s="92"/>
      <c r="NBO358" s="92"/>
      <c r="NBP358" s="92"/>
      <c r="NBQ358" s="92"/>
      <c r="NBR358" s="92"/>
      <c r="NBS358" s="92"/>
      <c r="NBT358" s="92"/>
      <c r="NBU358" s="92"/>
      <c r="NBV358" s="92"/>
      <c r="NBW358" s="92"/>
      <c r="NBX358" s="92"/>
      <c r="NBY358" s="92"/>
      <c r="NBZ358" s="92"/>
      <c r="NCA358" s="92"/>
      <c r="NCB358" s="92"/>
      <c r="NCC358" s="92"/>
      <c r="NCD358" s="92"/>
      <c r="NCE358" s="92"/>
      <c r="NCF358" s="92"/>
      <c r="NCG358" s="92"/>
      <c r="NCH358" s="92"/>
      <c r="NCI358" s="92"/>
      <c r="NCJ358" s="92"/>
      <c r="NCK358" s="92"/>
      <c r="NCL358" s="92"/>
      <c r="NCM358" s="92"/>
      <c r="NCN358" s="92"/>
      <c r="NCO358" s="92"/>
      <c r="NCP358" s="92"/>
      <c r="NCQ358" s="92"/>
      <c r="NCR358" s="92"/>
      <c r="NCS358" s="92"/>
      <c r="NCT358" s="92"/>
      <c r="NCU358" s="92"/>
      <c r="NCV358" s="92"/>
      <c r="NCW358" s="92"/>
      <c r="NCX358" s="92"/>
      <c r="NCY358" s="92"/>
      <c r="NCZ358" s="92"/>
      <c r="NDA358" s="92"/>
      <c r="NDB358" s="92"/>
      <c r="NDC358" s="92"/>
      <c r="NDD358" s="92"/>
      <c r="NDE358" s="92"/>
      <c r="NDF358" s="92"/>
      <c r="NDG358" s="92"/>
      <c r="NDH358" s="92"/>
      <c r="NDI358" s="92"/>
      <c r="NDJ358" s="92"/>
      <c r="NDK358" s="92"/>
      <c r="NDL358" s="92"/>
      <c r="NDM358" s="92"/>
      <c r="NDN358" s="92"/>
      <c r="NDO358" s="92"/>
      <c r="NDP358" s="92"/>
      <c r="NDQ358" s="92"/>
      <c r="NDR358" s="92"/>
      <c r="NDS358" s="92"/>
      <c r="NDT358" s="92"/>
      <c r="NDU358" s="92"/>
      <c r="NDV358" s="92"/>
      <c r="NDW358" s="92"/>
      <c r="NDX358" s="92"/>
      <c r="NDY358" s="92"/>
      <c r="NDZ358" s="92"/>
      <c r="NEA358" s="92"/>
      <c r="NEB358" s="92"/>
      <c r="NEC358" s="92"/>
      <c r="NED358" s="92"/>
      <c r="NEE358" s="92"/>
      <c r="NEF358" s="92"/>
      <c r="NEG358" s="92"/>
      <c r="NEH358" s="92"/>
      <c r="NEI358" s="92"/>
      <c r="NEJ358" s="92"/>
      <c r="NEK358" s="92"/>
      <c r="NEL358" s="92"/>
      <c r="NEM358" s="92"/>
      <c r="NEN358" s="92"/>
      <c r="NEO358" s="92"/>
      <c r="NEP358" s="92"/>
      <c r="NEQ358" s="92"/>
      <c r="NER358" s="92"/>
      <c r="NES358" s="92"/>
      <c r="NET358" s="92"/>
      <c r="NEU358" s="92"/>
      <c r="NEV358" s="92"/>
      <c r="NEW358" s="92"/>
      <c r="NEX358" s="92"/>
      <c r="NEY358" s="92"/>
      <c r="NEZ358" s="92"/>
      <c r="NFA358" s="92"/>
      <c r="NFB358" s="92"/>
      <c r="NFC358" s="92"/>
      <c r="NFD358" s="92"/>
      <c r="NFE358" s="92"/>
      <c r="NFF358" s="92"/>
      <c r="NFG358" s="92"/>
      <c r="NFH358" s="92"/>
      <c r="NFI358" s="92"/>
      <c r="NFJ358" s="92"/>
      <c r="NFK358" s="92"/>
      <c r="NFL358" s="92"/>
      <c r="NFM358" s="92"/>
      <c r="NFN358" s="92"/>
      <c r="NFO358" s="92"/>
      <c r="NFP358" s="92"/>
      <c r="NFQ358" s="92"/>
      <c r="NFR358" s="92"/>
      <c r="NFS358" s="92"/>
      <c r="NFT358" s="92"/>
      <c r="NFU358" s="92"/>
      <c r="NFV358" s="92"/>
      <c r="NFW358" s="92"/>
      <c r="NFX358" s="92"/>
      <c r="NFY358" s="92"/>
      <c r="NFZ358" s="92"/>
      <c r="NGA358" s="92"/>
      <c r="NGB358" s="92"/>
      <c r="NGC358" s="92"/>
      <c r="NGD358" s="92"/>
      <c r="NGE358" s="92"/>
      <c r="NGF358" s="92"/>
      <c r="NGG358" s="92"/>
      <c r="NGH358" s="92"/>
      <c r="NGI358" s="92"/>
      <c r="NGJ358" s="92"/>
      <c r="NGK358" s="92"/>
      <c r="NGL358" s="92"/>
      <c r="NGM358" s="92"/>
      <c r="NGN358" s="92"/>
      <c r="NGO358" s="92"/>
      <c r="NGP358" s="92"/>
      <c r="NGQ358" s="92"/>
      <c r="NGR358" s="92"/>
      <c r="NGS358" s="92"/>
      <c r="NGT358" s="92"/>
      <c r="NGU358" s="92"/>
      <c r="NGV358" s="92"/>
      <c r="NGW358" s="92"/>
      <c r="NGX358" s="92"/>
      <c r="NGY358" s="92"/>
      <c r="NGZ358" s="92"/>
      <c r="NHA358" s="92"/>
      <c r="NHB358" s="92"/>
      <c r="NHC358" s="92"/>
      <c r="NHD358" s="92"/>
      <c r="NHE358" s="92"/>
      <c r="NHF358" s="92"/>
      <c r="NHG358" s="92"/>
      <c r="NHH358" s="92"/>
      <c r="NHI358" s="92"/>
      <c r="NHJ358" s="92"/>
      <c r="NHK358" s="92"/>
      <c r="NHL358" s="92"/>
      <c r="NHM358" s="92"/>
      <c r="NHN358" s="92"/>
      <c r="NHO358" s="92"/>
      <c r="NHP358" s="92"/>
      <c r="NHQ358" s="92"/>
      <c r="NHR358" s="92"/>
      <c r="NHS358" s="92"/>
      <c r="NHT358" s="92"/>
      <c r="NHU358" s="92"/>
      <c r="NHV358" s="92"/>
      <c r="NHW358" s="92"/>
      <c r="NHX358" s="92"/>
      <c r="NHY358" s="92"/>
      <c r="NHZ358" s="92"/>
      <c r="NIA358" s="92"/>
      <c r="NIB358" s="92"/>
      <c r="NIC358" s="92"/>
      <c r="NID358" s="92"/>
      <c r="NIE358" s="92"/>
      <c r="NIF358" s="92"/>
      <c r="NIG358" s="92"/>
      <c r="NIH358" s="92"/>
      <c r="NII358" s="92"/>
      <c r="NIJ358" s="92"/>
      <c r="NIK358" s="92"/>
      <c r="NIL358" s="92"/>
      <c r="NIM358" s="92"/>
      <c r="NIN358" s="92"/>
      <c r="NIO358" s="92"/>
      <c r="NIP358" s="92"/>
      <c r="NIQ358" s="92"/>
      <c r="NIR358" s="92"/>
      <c r="NIS358" s="92"/>
      <c r="NIT358" s="92"/>
      <c r="NIU358" s="92"/>
      <c r="NIV358" s="92"/>
      <c r="NIW358" s="92"/>
      <c r="NIX358" s="92"/>
      <c r="NIY358" s="92"/>
      <c r="NIZ358" s="92"/>
      <c r="NJA358" s="92"/>
      <c r="NJB358" s="92"/>
      <c r="NJC358" s="92"/>
      <c r="NJD358" s="92"/>
      <c r="NJE358" s="92"/>
      <c r="NJF358" s="92"/>
      <c r="NJG358" s="92"/>
      <c r="NJH358" s="92"/>
      <c r="NJI358" s="92"/>
      <c r="NJJ358" s="92"/>
      <c r="NJK358" s="92"/>
      <c r="NJL358" s="92"/>
      <c r="NJM358" s="92"/>
      <c r="NJN358" s="92"/>
      <c r="NJO358" s="92"/>
      <c r="NJP358" s="92"/>
      <c r="NJQ358" s="92"/>
      <c r="NJR358" s="92"/>
      <c r="NJS358" s="92"/>
      <c r="NJT358" s="92"/>
      <c r="NJU358" s="92"/>
      <c r="NJV358" s="92"/>
      <c r="NJW358" s="92"/>
      <c r="NJX358" s="92"/>
      <c r="NJY358" s="92"/>
      <c r="NJZ358" s="92"/>
      <c r="NKA358" s="92"/>
      <c r="NKB358" s="92"/>
      <c r="NKC358" s="92"/>
      <c r="NKD358" s="92"/>
      <c r="NKE358" s="92"/>
      <c r="NKF358" s="92"/>
      <c r="NKG358" s="92"/>
      <c r="NKH358" s="92"/>
      <c r="NKI358" s="92"/>
      <c r="NKJ358" s="92"/>
      <c r="NKK358" s="92"/>
      <c r="NKL358" s="92"/>
      <c r="NKM358" s="92"/>
      <c r="NKN358" s="92"/>
      <c r="NKO358" s="92"/>
      <c r="NKP358" s="92"/>
      <c r="NKQ358" s="92"/>
      <c r="NKR358" s="92"/>
      <c r="NKS358" s="92"/>
      <c r="NKT358" s="92"/>
      <c r="NKU358" s="92"/>
      <c r="NKV358" s="92"/>
      <c r="NKW358" s="92"/>
      <c r="NKX358" s="92"/>
      <c r="NKY358" s="92"/>
      <c r="NKZ358" s="92"/>
      <c r="NLA358" s="92"/>
      <c r="NLB358" s="92"/>
      <c r="NLC358" s="92"/>
      <c r="NLD358" s="92"/>
      <c r="NLE358" s="92"/>
      <c r="NLF358" s="92"/>
      <c r="NLG358" s="92"/>
      <c r="NLH358" s="92"/>
      <c r="NLI358" s="92"/>
      <c r="NLJ358" s="92"/>
      <c r="NLK358" s="92"/>
      <c r="NLL358" s="92"/>
      <c r="NLM358" s="92"/>
      <c r="NLN358" s="92"/>
      <c r="NLO358" s="92"/>
      <c r="NLP358" s="92"/>
      <c r="NLQ358" s="92"/>
      <c r="NLR358" s="92"/>
      <c r="NLS358" s="92"/>
      <c r="NLT358" s="92"/>
      <c r="NLU358" s="92"/>
      <c r="NLV358" s="92"/>
      <c r="NLW358" s="92"/>
      <c r="NLX358" s="92"/>
      <c r="NLY358" s="92"/>
      <c r="NLZ358" s="92"/>
      <c r="NMA358" s="92"/>
      <c r="NMB358" s="92"/>
      <c r="NMC358" s="92"/>
      <c r="NMD358" s="92"/>
      <c r="NME358" s="92"/>
      <c r="NMF358" s="92"/>
      <c r="NMG358" s="92"/>
      <c r="NMH358" s="92"/>
      <c r="NMI358" s="92"/>
      <c r="NMJ358" s="92"/>
      <c r="NMK358" s="92"/>
      <c r="NML358" s="92"/>
      <c r="NMM358" s="92"/>
      <c r="NMN358" s="92"/>
      <c r="NMO358" s="92"/>
      <c r="NMP358" s="92"/>
      <c r="NMQ358" s="92"/>
      <c r="NMR358" s="92"/>
      <c r="NMS358" s="92"/>
      <c r="NMT358" s="92"/>
      <c r="NMU358" s="92"/>
      <c r="NMV358" s="92"/>
      <c r="NMW358" s="92"/>
      <c r="NMX358" s="92"/>
      <c r="NMY358" s="92"/>
      <c r="NMZ358" s="92"/>
      <c r="NNA358" s="92"/>
      <c r="NNB358" s="92"/>
      <c r="NNC358" s="92"/>
      <c r="NND358" s="92"/>
      <c r="NNE358" s="92"/>
      <c r="NNF358" s="92"/>
      <c r="NNG358" s="92"/>
      <c r="NNH358" s="92"/>
      <c r="NNI358" s="92"/>
      <c r="NNJ358" s="92"/>
      <c r="NNK358" s="92"/>
      <c r="NNL358" s="92"/>
      <c r="NNM358" s="92"/>
      <c r="NNN358" s="92"/>
      <c r="NNO358" s="92"/>
      <c r="NNP358" s="92"/>
      <c r="NNQ358" s="92"/>
      <c r="NNR358" s="92"/>
      <c r="NNS358" s="92"/>
      <c r="NNT358" s="92"/>
      <c r="NNU358" s="92"/>
      <c r="NNV358" s="92"/>
      <c r="NNW358" s="92"/>
      <c r="NNX358" s="92"/>
      <c r="NNY358" s="92"/>
      <c r="NNZ358" s="92"/>
      <c r="NOA358" s="92"/>
      <c r="NOB358" s="92"/>
      <c r="NOC358" s="92"/>
      <c r="NOD358" s="92"/>
      <c r="NOE358" s="92"/>
      <c r="NOF358" s="92"/>
      <c r="NOG358" s="92"/>
      <c r="NOH358" s="92"/>
      <c r="NOI358" s="92"/>
      <c r="NOJ358" s="92"/>
      <c r="NOK358" s="92"/>
      <c r="NOL358" s="92"/>
      <c r="NOM358" s="92"/>
      <c r="NON358" s="92"/>
      <c r="NOO358" s="92"/>
      <c r="NOP358" s="92"/>
      <c r="NOQ358" s="92"/>
      <c r="NOR358" s="92"/>
      <c r="NOS358" s="92"/>
      <c r="NOT358" s="92"/>
      <c r="NOU358" s="92"/>
      <c r="NOV358" s="92"/>
      <c r="NOW358" s="92"/>
      <c r="NOX358" s="92"/>
      <c r="NOY358" s="92"/>
      <c r="NOZ358" s="92"/>
      <c r="NPA358" s="92"/>
      <c r="NPB358" s="92"/>
      <c r="NPC358" s="92"/>
      <c r="NPD358" s="92"/>
      <c r="NPE358" s="92"/>
      <c r="NPF358" s="92"/>
      <c r="NPG358" s="92"/>
      <c r="NPH358" s="92"/>
      <c r="NPI358" s="92"/>
      <c r="NPJ358" s="92"/>
      <c r="NPK358" s="92"/>
      <c r="NPL358" s="92"/>
      <c r="NPM358" s="92"/>
      <c r="NPN358" s="92"/>
      <c r="NPO358" s="92"/>
      <c r="NPP358" s="92"/>
      <c r="NPQ358" s="92"/>
      <c r="NPR358" s="92"/>
      <c r="NPS358" s="92"/>
      <c r="NPT358" s="92"/>
      <c r="NPU358" s="92"/>
      <c r="NPV358" s="92"/>
      <c r="NPW358" s="92"/>
      <c r="NPX358" s="92"/>
      <c r="NPY358" s="92"/>
      <c r="NPZ358" s="92"/>
      <c r="NQA358" s="92"/>
      <c r="NQB358" s="92"/>
      <c r="NQC358" s="92"/>
      <c r="NQD358" s="92"/>
      <c r="NQE358" s="92"/>
      <c r="NQF358" s="92"/>
      <c r="NQG358" s="92"/>
      <c r="NQH358" s="92"/>
      <c r="NQI358" s="92"/>
      <c r="NQJ358" s="92"/>
      <c r="NQK358" s="92"/>
      <c r="NQL358" s="92"/>
      <c r="NQM358" s="92"/>
      <c r="NQN358" s="92"/>
      <c r="NQO358" s="92"/>
      <c r="NQP358" s="92"/>
      <c r="NQQ358" s="92"/>
      <c r="NQR358" s="92"/>
      <c r="NQS358" s="92"/>
      <c r="NQT358" s="92"/>
      <c r="NQU358" s="92"/>
      <c r="NQV358" s="92"/>
      <c r="NQW358" s="92"/>
      <c r="NQX358" s="92"/>
      <c r="NQY358" s="92"/>
      <c r="NQZ358" s="92"/>
      <c r="NRA358" s="92"/>
      <c r="NRB358" s="92"/>
      <c r="NRC358" s="92"/>
      <c r="NRD358" s="92"/>
      <c r="NRE358" s="92"/>
      <c r="NRF358" s="92"/>
      <c r="NRG358" s="92"/>
      <c r="NRH358" s="92"/>
      <c r="NRI358" s="92"/>
      <c r="NRJ358" s="92"/>
      <c r="NRK358" s="92"/>
      <c r="NRL358" s="92"/>
      <c r="NRM358" s="92"/>
      <c r="NRN358" s="92"/>
      <c r="NRO358" s="92"/>
      <c r="NRP358" s="92"/>
      <c r="NRQ358" s="92"/>
      <c r="NRR358" s="92"/>
      <c r="NRS358" s="92"/>
      <c r="NRT358" s="92"/>
      <c r="NRU358" s="92"/>
      <c r="NRV358" s="92"/>
      <c r="NRW358" s="92"/>
      <c r="NRX358" s="92"/>
      <c r="NRY358" s="92"/>
      <c r="NRZ358" s="92"/>
      <c r="NSA358" s="92"/>
      <c r="NSB358" s="92"/>
      <c r="NSC358" s="92"/>
      <c r="NSD358" s="92"/>
      <c r="NSE358" s="92"/>
      <c r="NSF358" s="92"/>
      <c r="NSG358" s="92"/>
      <c r="NSH358" s="92"/>
      <c r="NSI358" s="92"/>
      <c r="NSJ358" s="92"/>
      <c r="NSK358" s="92"/>
      <c r="NSL358" s="92"/>
      <c r="NSM358" s="92"/>
      <c r="NSN358" s="92"/>
      <c r="NSO358" s="92"/>
      <c r="NSP358" s="92"/>
      <c r="NSQ358" s="92"/>
      <c r="NSR358" s="92"/>
      <c r="NSS358" s="92"/>
      <c r="NST358" s="92"/>
      <c r="NSU358" s="92"/>
      <c r="NSV358" s="92"/>
      <c r="NSW358" s="92"/>
      <c r="NSX358" s="92"/>
      <c r="NSY358" s="92"/>
      <c r="NSZ358" s="92"/>
      <c r="NTA358" s="92"/>
      <c r="NTB358" s="92"/>
      <c r="NTC358" s="92"/>
      <c r="NTD358" s="92"/>
      <c r="NTE358" s="92"/>
      <c r="NTF358" s="92"/>
      <c r="NTG358" s="92"/>
      <c r="NTH358" s="92"/>
      <c r="NTI358" s="92"/>
      <c r="NTJ358" s="92"/>
      <c r="NTK358" s="92"/>
      <c r="NTL358" s="92"/>
      <c r="NTM358" s="92"/>
      <c r="NTN358" s="92"/>
      <c r="NTO358" s="92"/>
      <c r="NTP358" s="92"/>
      <c r="NTQ358" s="92"/>
      <c r="NTR358" s="92"/>
      <c r="NTS358" s="92"/>
      <c r="NTT358" s="92"/>
      <c r="NTU358" s="92"/>
      <c r="NTV358" s="92"/>
      <c r="NTW358" s="92"/>
      <c r="NTX358" s="92"/>
      <c r="NTY358" s="92"/>
      <c r="NTZ358" s="92"/>
      <c r="NUA358" s="92"/>
      <c r="NUB358" s="92"/>
      <c r="NUC358" s="92"/>
      <c r="NUD358" s="92"/>
      <c r="NUE358" s="92"/>
      <c r="NUF358" s="92"/>
      <c r="NUG358" s="92"/>
      <c r="NUH358" s="92"/>
      <c r="NUI358" s="92"/>
      <c r="NUJ358" s="92"/>
      <c r="NUK358" s="92"/>
      <c r="NUL358" s="92"/>
      <c r="NUM358" s="92"/>
      <c r="NUN358" s="92"/>
      <c r="NUO358" s="92"/>
      <c r="NUP358" s="92"/>
      <c r="NUQ358" s="92"/>
      <c r="NUR358" s="92"/>
      <c r="NUS358" s="92"/>
      <c r="NUT358" s="92"/>
      <c r="NUU358" s="92"/>
      <c r="NUV358" s="92"/>
      <c r="NUW358" s="92"/>
      <c r="NUX358" s="92"/>
      <c r="NUY358" s="92"/>
      <c r="NUZ358" s="92"/>
      <c r="NVA358" s="92"/>
      <c r="NVB358" s="92"/>
      <c r="NVC358" s="92"/>
      <c r="NVD358" s="92"/>
      <c r="NVE358" s="92"/>
      <c r="NVF358" s="92"/>
      <c r="NVG358" s="92"/>
      <c r="NVH358" s="92"/>
      <c r="NVI358" s="92"/>
      <c r="NVJ358" s="92"/>
      <c r="NVK358" s="92"/>
      <c r="NVL358" s="92"/>
      <c r="NVM358" s="92"/>
      <c r="NVN358" s="92"/>
      <c r="NVO358" s="92"/>
      <c r="NVP358" s="92"/>
      <c r="NVQ358" s="92"/>
      <c r="NVR358" s="92"/>
      <c r="NVS358" s="92"/>
      <c r="NVT358" s="92"/>
      <c r="NVU358" s="92"/>
      <c r="NVV358" s="92"/>
      <c r="NVW358" s="92"/>
      <c r="NVX358" s="92"/>
      <c r="NVY358" s="92"/>
      <c r="NVZ358" s="92"/>
      <c r="NWA358" s="92"/>
      <c r="NWB358" s="92"/>
      <c r="NWC358" s="92"/>
      <c r="NWD358" s="92"/>
      <c r="NWE358" s="92"/>
      <c r="NWF358" s="92"/>
      <c r="NWG358" s="92"/>
      <c r="NWH358" s="92"/>
      <c r="NWI358" s="92"/>
      <c r="NWJ358" s="92"/>
      <c r="NWK358" s="92"/>
      <c r="NWL358" s="92"/>
      <c r="NWM358" s="92"/>
      <c r="NWN358" s="92"/>
      <c r="NWO358" s="92"/>
      <c r="NWP358" s="92"/>
      <c r="NWQ358" s="92"/>
      <c r="NWR358" s="92"/>
      <c r="NWS358" s="92"/>
      <c r="NWT358" s="92"/>
      <c r="NWU358" s="92"/>
      <c r="NWV358" s="92"/>
      <c r="NWW358" s="92"/>
      <c r="NWX358" s="92"/>
      <c r="NWY358" s="92"/>
      <c r="NWZ358" s="92"/>
      <c r="NXA358" s="92"/>
      <c r="NXB358" s="92"/>
      <c r="NXC358" s="92"/>
      <c r="NXD358" s="92"/>
      <c r="NXE358" s="92"/>
      <c r="NXF358" s="92"/>
      <c r="NXG358" s="92"/>
      <c r="NXH358" s="92"/>
      <c r="NXI358" s="92"/>
      <c r="NXJ358" s="92"/>
      <c r="NXK358" s="92"/>
      <c r="NXL358" s="92"/>
      <c r="NXM358" s="92"/>
      <c r="NXN358" s="92"/>
      <c r="NXO358" s="92"/>
      <c r="NXP358" s="92"/>
      <c r="NXQ358" s="92"/>
      <c r="NXR358" s="92"/>
      <c r="NXS358" s="92"/>
      <c r="NXT358" s="92"/>
      <c r="NXU358" s="92"/>
      <c r="NXV358" s="92"/>
      <c r="NXW358" s="92"/>
      <c r="NXX358" s="92"/>
      <c r="NXY358" s="92"/>
      <c r="NXZ358" s="92"/>
      <c r="NYA358" s="92"/>
      <c r="NYB358" s="92"/>
      <c r="NYC358" s="92"/>
      <c r="NYD358" s="92"/>
      <c r="NYE358" s="92"/>
      <c r="NYF358" s="92"/>
      <c r="NYG358" s="92"/>
      <c r="NYH358" s="92"/>
      <c r="NYI358" s="92"/>
      <c r="NYJ358" s="92"/>
      <c r="NYK358" s="92"/>
      <c r="NYL358" s="92"/>
      <c r="NYM358" s="92"/>
      <c r="NYN358" s="92"/>
      <c r="NYO358" s="92"/>
      <c r="NYP358" s="92"/>
      <c r="NYQ358" s="92"/>
      <c r="NYR358" s="92"/>
      <c r="NYS358" s="92"/>
      <c r="NYT358" s="92"/>
      <c r="NYU358" s="92"/>
      <c r="NYV358" s="92"/>
      <c r="NYW358" s="92"/>
      <c r="NYX358" s="92"/>
      <c r="NYY358" s="92"/>
      <c r="NYZ358" s="92"/>
      <c r="NZA358" s="92"/>
      <c r="NZB358" s="92"/>
      <c r="NZC358" s="92"/>
      <c r="NZD358" s="92"/>
      <c r="NZE358" s="92"/>
      <c r="NZF358" s="92"/>
      <c r="NZG358" s="92"/>
      <c r="NZH358" s="92"/>
      <c r="NZI358" s="92"/>
      <c r="NZJ358" s="92"/>
      <c r="NZK358" s="92"/>
      <c r="NZL358" s="92"/>
      <c r="NZM358" s="92"/>
      <c r="NZN358" s="92"/>
      <c r="NZO358" s="92"/>
      <c r="NZP358" s="92"/>
      <c r="NZQ358" s="92"/>
      <c r="NZR358" s="92"/>
      <c r="NZS358" s="92"/>
      <c r="NZT358" s="92"/>
      <c r="NZU358" s="92"/>
      <c r="NZV358" s="92"/>
      <c r="NZW358" s="92"/>
      <c r="NZX358" s="92"/>
      <c r="NZY358" s="92"/>
      <c r="NZZ358" s="92"/>
      <c r="OAA358" s="92"/>
      <c r="OAB358" s="92"/>
      <c r="OAC358" s="92"/>
      <c r="OAD358" s="92"/>
      <c r="OAE358" s="92"/>
      <c r="OAF358" s="92"/>
      <c r="OAG358" s="92"/>
      <c r="OAH358" s="92"/>
      <c r="OAI358" s="92"/>
      <c r="OAJ358" s="92"/>
      <c r="OAK358" s="92"/>
      <c r="OAL358" s="92"/>
      <c r="OAM358" s="92"/>
      <c r="OAN358" s="92"/>
      <c r="OAO358" s="92"/>
      <c r="OAP358" s="92"/>
      <c r="OAQ358" s="92"/>
      <c r="OAR358" s="92"/>
      <c r="OAS358" s="92"/>
      <c r="OAT358" s="92"/>
      <c r="OAU358" s="92"/>
      <c r="OAV358" s="92"/>
      <c r="OAW358" s="92"/>
      <c r="OAX358" s="92"/>
      <c r="OAY358" s="92"/>
      <c r="OAZ358" s="92"/>
      <c r="OBA358" s="92"/>
      <c r="OBB358" s="92"/>
      <c r="OBC358" s="92"/>
      <c r="OBD358" s="92"/>
      <c r="OBE358" s="92"/>
      <c r="OBF358" s="92"/>
      <c r="OBG358" s="92"/>
      <c r="OBH358" s="92"/>
      <c r="OBI358" s="92"/>
      <c r="OBJ358" s="92"/>
      <c r="OBK358" s="92"/>
      <c r="OBL358" s="92"/>
      <c r="OBM358" s="92"/>
      <c r="OBN358" s="92"/>
      <c r="OBO358" s="92"/>
      <c r="OBP358" s="92"/>
      <c r="OBQ358" s="92"/>
      <c r="OBR358" s="92"/>
      <c r="OBS358" s="92"/>
      <c r="OBT358" s="92"/>
      <c r="OBU358" s="92"/>
      <c r="OBV358" s="92"/>
      <c r="OBW358" s="92"/>
      <c r="OBX358" s="92"/>
      <c r="OBY358" s="92"/>
      <c r="OBZ358" s="92"/>
      <c r="OCA358" s="92"/>
      <c r="OCB358" s="92"/>
      <c r="OCC358" s="92"/>
      <c r="OCD358" s="92"/>
      <c r="OCE358" s="92"/>
      <c r="OCF358" s="92"/>
      <c r="OCG358" s="92"/>
      <c r="OCH358" s="92"/>
      <c r="OCI358" s="92"/>
      <c r="OCJ358" s="92"/>
      <c r="OCK358" s="92"/>
      <c r="OCL358" s="92"/>
      <c r="OCM358" s="92"/>
      <c r="OCN358" s="92"/>
      <c r="OCO358" s="92"/>
      <c r="OCP358" s="92"/>
      <c r="OCQ358" s="92"/>
      <c r="OCR358" s="92"/>
      <c r="OCS358" s="92"/>
      <c r="OCT358" s="92"/>
      <c r="OCU358" s="92"/>
      <c r="OCV358" s="92"/>
      <c r="OCW358" s="92"/>
      <c r="OCX358" s="92"/>
      <c r="OCY358" s="92"/>
      <c r="OCZ358" s="92"/>
      <c r="ODA358" s="92"/>
      <c r="ODB358" s="92"/>
      <c r="ODC358" s="92"/>
      <c r="ODD358" s="92"/>
      <c r="ODE358" s="92"/>
      <c r="ODF358" s="92"/>
      <c r="ODG358" s="92"/>
      <c r="ODH358" s="92"/>
      <c r="ODI358" s="92"/>
      <c r="ODJ358" s="92"/>
      <c r="ODK358" s="92"/>
      <c r="ODL358" s="92"/>
      <c r="ODM358" s="92"/>
      <c r="ODN358" s="92"/>
      <c r="ODO358" s="92"/>
      <c r="ODP358" s="92"/>
      <c r="ODQ358" s="92"/>
      <c r="ODR358" s="92"/>
      <c r="ODS358" s="92"/>
      <c r="ODT358" s="92"/>
      <c r="ODU358" s="92"/>
      <c r="ODV358" s="92"/>
      <c r="ODW358" s="92"/>
      <c r="ODX358" s="92"/>
      <c r="ODY358" s="92"/>
      <c r="ODZ358" s="92"/>
      <c r="OEA358" s="92"/>
      <c r="OEB358" s="92"/>
      <c r="OEC358" s="92"/>
      <c r="OED358" s="92"/>
      <c r="OEE358" s="92"/>
      <c r="OEF358" s="92"/>
      <c r="OEG358" s="92"/>
      <c r="OEH358" s="92"/>
      <c r="OEI358" s="92"/>
      <c r="OEJ358" s="92"/>
      <c r="OEK358" s="92"/>
      <c r="OEL358" s="92"/>
      <c r="OEM358" s="92"/>
      <c r="OEN358" s="92"/>
      <c r="OEO358" s="92"/>
      <c r="OEP358" s="92"/>
      <c r="OEQ358" s="92"/>
      <c r="OER358" s="92"/>
      <c r="OES358" s="92"/>
      <c r="OET358" s="92"/>
      <c r="OEU358" s="92"/>
      <c r="OEV358" s="92"/>
      <c r="OEW358" s="92"/>
      <c r="OEX358" s="92"/>
      <c r="OEY358" s="92"/>
      <c r="OEZ358" s="92"/>
      <c r="OFA358" s="92"/>
      <c r="OFB358" s="92"/>
      <c r="OFC358" s="92"/>
      <c r="OFD358" s="92"/>
      <c r="OFE358" s="92"/>
      <c r="OFF358" s="92"/>
      <c r="OFG358" s="92"/>
      <c r="OFH358" s="92"/>
      <c r="OFI358" s="92"/>
      <c r="OFJ358" s="92"/>
      <c r="OFK358" s="92"/>
      <c r="OFL358" s="92"/>
      <c r="OFM358" s="92"/>
      <c r="OFN358" s="92"/>
      <c r="OFO358" s="92"/>
      <c r="OFP358" s="92"/>
      <c r="OFQ358" s="92"/>
      <c r="OFR358" s="92"/>
      <c r="OFS358" s="92"/>
      <c r="OFT358" s="92"/>
      <c r="OFU358" s="92"/>
      <c r="OFV358" s="92"/>
      <c r="OFW358" s="92"/>
      <c r="OFX358" s="92"/>
      <c r="OFY358" s="92"/>
      <c r="OFZ358" s="92"/>
      <c r="OGA358" s="92"/>
      <c r="OGB358" s="92"/>
      <c r="OGC358" s="92"/>
      <c r="OGD358" s="92"/>
      <c r="OGE358" s="92"/>
      <c r="OGF358" s="92"/>
      <c r="OGG358" s="92"/>
      <c r="OGH358" s="92"/>
      <c r="OGI358" s="92"/>
      <c r="OGJ358" s="92"/>
      <c r="OGK358" s="92"/>
      <c r="OGL358" s="92"/>
      <c r="OGM358" s="92"/>
      <c r="OGN358" s="92"/>
      <c r="OGO358" s="92"/>
      <c r="OGP358" s="92"/>
      <c r="OGQ358" s="92"/>
      <c r="OGR358" s="92"/>
      <c r="OGS358" s="92"/>
      <c r="OGT358" s="92"/>
      <c r="OGU358" s="92"/>
      <c r="OGV358" s="92"/>
      <c r="OGW358" s="92"/>
      <c r="OGX358" s="92"/>
      <c r="OGY358" s="92"/>
      <c r="OGZ358" s="92"/>
      <c r="OHA358" s="92"/>
      <c r="OHB358" s="92"/>
      <c r="OHC358" s="92"/>
      <c r="OHD358" s="92"/>
      <c r="OHE358" s="92"/>
      <c r="OHF358" s="92"/>
      <c r="OHG358" s="92"/>
      <c r="OHH358" s="92"/>
      <c r="OHI358" s="92"/>
      <c r="OHJ358" s="92"/>
      <c r="OHK358" s="92"/>
      <c r="OHL358" s="92"/>
      <c r="OHM358" s="92"/>
      <c r="OHN358" s="92"/>
      <c r="OHO358" s="92"/>
      <c r="OHP358" s="92"/>
      <c r="OHQ358" s="92"/>
      <c r="OHR358" s="92"/>
      <c r="OHS358" s="92"/>
      <c r="OHT358" s="92"/>
      <c r="OHU358" s="92"/>
      <c r="OHV358" s="92"/>
      <c r="OHW358" s="92"/>
      <c r="OHX358" s="92"/>
      <c r="OHY358" s="92"/>
      <c r="OHZ358" s="92"/>
      <c r="OIA358" s="92"/>
      <c r="OIB358" s="92"/>
      <c r="OIC358" s="92"/>
      <c r="OID358" s="92"/>
      <c r="OIE358" s="92"/>
      <c r="OIF358" s="92"/>
      <c r="OIG358" s="92"/>
      <c r="OIH358" s="92"/>
      <c r="OII358" s="92"/>
      <c r="OIJ358" s="92"/>
      <c r="OIK358" s="92"/>
      <c r="OIL358" s="92"/>
      <c r="OIM358" s="92"/>
      <c r="OIN358" s="92"/>
      <c r="OIO358" s="92"/>
      <c r="OIP358" s="92"/>
      <c r="OIQ358" s="92"/>
      <c r="OIR358" s="92"/>
      <c r="OIS358" s="92"/>
      <c r="OIT358" s="92"/>
      <c r="OIU358" s="92"/>
      <c r="OIV358" s="92"/>
      <c r="OIW358" s="92"/>
      <c r="OIX358" s="92"/>
      <c r="OIY358" s="92"/>
      <c r="OIZ358" s="92"/>
      <c r="OJA358" s="92"/>
      <c r="OJB358" s="92"/>
      <c r="OJC358" s="92"/>
      <c r="OJD358" s="92"/>
      <c r="OJE358" s="92"/>
      <c r="OJF358" s="92"/>
      <c r="OJG358" s="92"/>
      <c r="OJH358" s="92"/>
      <c r="OJI358" s="92"/>
      <c r="OJJ358" s="92"/>
      <c r="OJK358" s="92"/>
      <c r="OJL358" s="92"/>
      <c r="OJM358" s="92"/>
      <c r="OJN358" s="92"/>
      <c r="OJO358" s="92"/>
      <c r="OJP358" s="92"/>
      <c r="OJQ358" s="92"/>
      <c r="OJR358" s="92"/>
      <c r="OJS358" s="92"/>
      <c r="OJT358" s="92"/>
      <c r="OJU358" s="92"/>
      <c r="OJV358" s="92"/>
      <c r="OJW358" s="92"/>
      <c r="OJX358" s="92"/>
      <c r="OJY358" s="92"/>
      <c r="OJZ358" s="92"/>
      <c r="OKA358" s="92"/>
      <c r="OKB358" s="92"/>
      <c r="OKC358" s="92"/>
      <c r="OKD358" s="92"/>
      <c r="OKE358" s="92"/>
      <c r="OKF358" s="92"/>
      <c r="OKG358" s="92"/>
      <c r="OKH358" s="92"/>
      <c r="OKI358" s="92"/>
      <c r="OKJ358" s="92"/>
      <c r="OKK358" s="92"/>
      <c r="OKL358" s="92"/>
      <c r="OKM358" s="92"/>
      <c r="OKN358" s="92"/>
      <c r="OKO358" s="92"/>
      <c r="OKP358" s="92"/>
      <c r="OKQ358" s="92"/>
      <c r="OKR358" s="92"/>
      <c r="OKS358" s="92"/>
      <c r="OKT358" s="92"/>
      <c r="OKU358" s="92"/>
      <c r="OKV358" s="92"/>
      <c r="OKW358" s="92"/>
      <c r="OKX358" s="92"/>
      <c r="OKY358" s="92"/>
      <c r="OKZ358" s="92"/>
      <c r="OLA358" s="92"/>
      <c r="OLB358" s="92"/>
      <c r="OLC358" s="92"/>
      <c r="OLD358" s="92"/>
      <c r="OLE358" s="92"/>
      <c r="OLF358" s="92"/>
      <c r="OLG358" s="92"/>
      <c r="OLH358" s="92"/>
      <c r="OLI358" s="92"/>
      <c r="OLJ358" s="92"/>
      <c r="OLK358" s="92"/>
      <c r="OLL358" s="92"/>
      <c r="OLM358" s="92"/>
      <c r="OLN358" s="92"/>
      <c r="OLO358" s="92"/>
      <c r="OLP358" s="92"/>
      <c r="OLQ358" s="92"/>
      <c r="OLR358" s="92"/>
      <c r="OLS358" s="92"/>
      <c r="OLT358" s="92"/>
      <c r="OLU358" s="92"/>
      <c r="OLV358" s="92"/>
      <c r="OLW358" s="92"/>
      <c r="OLX358" s="92"/>
      <c r="OLY358" s="92"/>
      <c r="OLZ358" s="92"/>
      <c r="OMA358" s="92"/>
      <c r="OMB358" s="92"/>
      <c r="OMC358" s="92"/>
      <c r="OMD358" s="92"/>
      <c r="OME358" s="92"/>
      <c r="OMF358" s="92"/>
      <c r="OMG358" s="92"/>
      <c r="OMH358" s="92"/>
      <c r="OMI358" s="92"/>
      <c r="OMJ358" s="92"/>
      <c r="OMK358" s="92"/>
      <c r="OML358" s="92"/>
      <c r="OMM358" s="92"/>
      <c r="OMN358" s="92"/>
      <c r="OMO358" s="92"/>
      <c r="OMP358" s="92"/>
      <c r="OMQ358" s="92"/>
      <c r="OMR358" s="92"/>
      <c r="OMS358" s="92"/>
      <c r="OMT358" s="92"/>
      <c r="OMU358" s="92"/>
      <c r="OMV358" s="92"/>
      <c r="OMW358" s="92"/>
      <c r="OMX358" s="92"/>
      <c r="OMY358" s="92"/>
      <c r="OMZ358" s="92"/>
      <c r="ONA358" s="92"/>
      <c r="ONB358" s="92"/>
      <c r="ONC358" s="92"/>
      <c r="OND358" s="92"/>
      <c r="ONE358" s="92"/>
      <c r="ONF358" s="92"/>
      <c r="ONG358" s="92"/>
      <c r="ONH358" s="92"/>
      <c r="ONI358" s="92"/>
      <c r="ONJ358" s="92"/>
      <c r="ONK358" s="92"/>
      <c r="ONL358" s="92"/>
      <c r="ONM358" s="92"/>
      <c r="ONN358" s="92"/>
      <c r="ONO358" s="92"/>
      <c r="ONP358" s="92"/>
      <c r="ONQ358" s="92"/>
      <c r="ONR358" s="92"/>
      <c r="ONS358" s="92"/>
      <c r="ONT358" s="92"/>
      <c r="ONU358" s="92"/>
      <c r="ONV358" s="92"/>
      <c r="ONW358" s="92"/>
      <c r="ONX358" s="92"/>
      <c r="ONY358" s="92"/>
      <c r="ONZ358" s="92"/>
      <c r="OOA358" s="92"/>
      <c r="OOB358" s="92"/>
      <c r="OOC358" s="92"/>
      <c r="OOD358" s="92"/>
      <c r="OOE358" s="92"/>
      <c r="OOF358" s="92"/>
      <c r="OOG358" s="92"/>
      <c r="OOH358" s="92"/>
      <c r="OOI358" s="92"/>
      <c r="OOJ358" s="92"/>
      <c r="OOK358" s="92"/>
      <c r="OOL358" s="92"/>
      <c r="OOM358" s="92"/>
      <c r="OON358" s="92"/>
      <c r="OOO358" s="92"/>
      <c r="OOP358" s="92"/>
      <c r="OOQ358" s="92"/>
      <c r="OOR358" s="92"/>
      <c r="OOS358" s="92"/>
      <c r="OOT358" s="92"/>
      <c r="OOU358" s="92"/>
      <c r="OOV358" s="92"/>
      <c r="OOW358" s="92"/>
      <c r="OOX358" s="92"/>
      <c r="OOY358" s="92"/>
      <c r="OOZ358" s="92"/>
      <c r="OPA358" s="92"/>
      <c r="OPB358" s="92"/>
      <c r="OPC358" s="92"/>
      <c r="OPD358" s="92"/>
      <c r="OPE358" s="92"/>
      <c r="OPF358" s="92"/>
      <c r="OPG358" s="92"/>
      <c r="OPH358" s="92"/>
      <c r="OPI358" s="92"/>
      <c r="OPJ358" s="92"/>
      <c r="OPK358" s="92"/>
      <c r="OPL358" s="92"/>
      <c r="OPM358" s="92"/>
      <c r="OPN358" s="92"/>
      <c r="OPO358" s="92"/>
      <c r="OPP358" s="92"/>
      <c r="OPQ358" s="92"/>
      <c r="OPR358" s="92"/>
      <c r="OPS358" s="92"/>
      <c r="OPT358" s="92"/>
      <c r="OPU358" s="92"/>
      <c r="OPV358" s="92"/>
      <c r="OPW358" s="92"/>
      <c r="OPX358" s="92"/>
      <c r="OPY358" s="92"/>
      <c r="OPZ358" s="92"/>
      <c r="OQA358" s="92"/>
      <c r="OQB358" s="92"/>
      <c r="OQC358" s="92"/>
      <c r="OQD358" s="92"/>
      <c r="OQE358" s="92"/>
      <c r="OQF358" s="92"/>
      <c r="OQG358" s="92"/>
      <c r="OQH358" s="92"/>
      <c r="OQI358" s="92"/>
      <c r="OQJ358" s="92"/>
      <c r="OQK358" s="92"/>
      <c r="OQL358" s="92"/>
      <c r="OQM358" s="92"/>
      <c r="OQN358" s="92"/>
      <c r="OQO358" s="92"/>
      <c r="OQP358" s="92"/>
      <c r="OQQ358" s="92"/>
      <c r="OQR358" s="92"/>
      <c r="OQS358" s="92"/>
      <c r="OQT358" s="92"/>
      <c r="OQU358" s="92"/>
      <c r="OQV358" s="92"/>
      <c r="OQW358" s="92"/>
      <c r="OQX358" s="92"/>
      <c r="OQY358" s="92"/>
      <c r="OQZ358" s="92"/>
      <c r="ORA358" s="92"/>
      <c r="ORB358" s="92"/>
      <c r="ORC358" s="92"/>
      <c r="ORD358" s="92"/>
      <c r="ORE358" s="92"/>
      <c r="ORF358" s="92"/>
      <c r="ORG358" s="92"/>
      <c r="ORH358" s="92"/>
      <c r="ORI358" s="92"/>
      <c r="ORJ358" s="92"/>
      <c r="ORK358" s="92"/>
      <c r="ORL358" s="92"/>
      <c r="ORM358" s="92"/>
      <c r="ORN358" s="92"/>
      <c r="ORO358" s="92"/>
      <c r="ORP358" s="92"/>
      <c r="ORQ358" s="92"/>
      <c r="ORR358" s="92"/>
      <c r="ORS358" s="92"/>
      <c r="ORT358" s="92"/>
      <c r="ORU358" s="92"/>
      <c r="ORV358" s="92"/>
      <c r="ORW358" s="92"/>
      <c r="ORX358" s="92"/>
      <c r="ORY358" s="92"/>
      <c r="ORZ358" s="92"/>
      <c r="OSA358" s="92"/>
      <c r="OSB358" s="92"/>
      <c r="OSC358" s="92"/>
      <c r="OSD358" s="92"/>
      <c r="OSE358" s="92"/>
      <c r="OSF358" s="92"/>
      <c r="OSG358" s="92"/>
      <c r="OSH358" s="92"/>
      <c r="OSI358" s="92"/>
      <c r="OSJ358" s="92"/>
      <c r="OSK358" s="92"/>
      <c r="OSL358" s="92"/>
      <c r="OSM358" s="92"/>
      <c r="OSN358" s="92"/>
      <c r="OSO358" s="92"/>
      <c r="OSP358" s="92"/>
      <c r="OSQ358" s="92"/>
      <c r="OSR358" s="92"/>
      <c r="OSS358" s="92"/>
      <c r="OST358" s="92"/>
      <c r="OSU358" s="92"/>
      <c r="OSV358" s="92"/>
      <c r="OSW358" s="92"/>
      <c r="OSX358" s="92"/>
      <c r="OSY358" s="92"/>
      <c r="OSZ358" s="92"/>
      <c r="OTA358" s="92"/>
      <c r="OTB358" s="92"/>
      <c r="OTC358" s="92"/>
      <c r="OTD358" s="92"/>
      <c r="OTE358" s="92"/>
      <c r="OTF358" s="92"/>
      <c r="OTG358" s="92"/>
      <c r="OTH358" s="92"/>
      <c r="OTI358" s="92"/>
      <c r="OTJ358" s="92"/>
      <c r="OTK358" s="92"/>
      <c r="OTL358" s="92"/>
      <c r="OTM358" s="92"/>
      <c r="OTN358" s="92"/>
      <c r="OTO358" s="92"/>
      <c r="OTP358" s="92"/>
      <c r="OTQ358" s="92"/>
      <c r="OTR358" s="92"/>
      <c r="OTS358" s="92"/>
      <c r="OTT358" s="92"/>
      <c r="OTU358" s="92"/>
      <c r="OTV358" s="92"/>
      <c r="OTW358" s="92"/>
      <c r="OTX358" s="92"/>
      <c r="OTY358" s="92"/>
      <c r="OTZ358" s="92"/>
      <c r="OUA358" s="92"/>
      <c r="OUB358" s="92"/>
      <c r="OUC358" s="92"/>
      <c r="OUD358" s="92"/>
      <c r="OUE358" s="92"/>
      <c r="OUF358" s="92"/>
      <c r="OUG358" s="92"/>
      <c r="OUH358" s="92"/>
      <c r="OUI358" s="92"/>
      <c r="OUJ358" s="92"/>
      <c r="OUK358" s="92"/>
      <c r="OUL358" s="92"/>
      <c r="OUM358" s="92"/>
      <c r="OUN358" s="92"/>
      <c r="OUO358" s="92"/>
      <c r="OUP358" s="92"/>
      <c r="OUQ358" s="92"/>
      <c r="OUR358" s="92"/>
      <c r="OUS358" s="92"/>
      <c r="OUT358" s="92"/>
      <c r="OUU358" s="92"/>
      <c r="OUV358" s="92"/>
      <c r="OUW358" s="92"/>
      <c r="OUX358" s="92"/>
      <c r="OUY358" s="92"/>
      <c r="OUZ358" s="92"/>
      <c r="OVA358" s="92"/>
      <c r="OVB358" s="92"/>
      <c r="OVC358" s="92"/>
      <c r="OVD358" s="92"/>
      <c r="OVE358" s="92"/>
      <c r="OVF358" s="92"/>
      <c r="OVG358" s="92"/>
      <c r="OVH358" s="92"/>
      <c r="OVI358" s="92"/>
      <c r="OVJ358" s="92"/>
      <c r="OVK358" s="92"/>
      <c r="OVL358" s="92"/>
      <c r="OVM358" s="92"/>
      <c r="OVN358" s="92"/>
      <c r="OVO358" s="92"/>
      <c r="OVP358" s="92"/>
      <c r="OVQ358" s="92"/>
      <c r="OVR358" s="92"/>
      <c r="OVS358" s="92"/>
      <c r="OVT358" s="92"/>
      <c r="OVU358" s="92"/>
      <c r="OVV358" s="92"/>
      <c r="OVW358" s="92"/>
      <c r="OVX358" s="92"/>
      <c r="OVY358" s="92"/>
      <c r="OVZ358" s="92"/>
      <c r="OWA358" s="92"/>
      <c r="OWB358" s="92"/>
      <c r="OWC358" s="92"/>
      <c r="OWD358" s="92"/>
      <c r="OWE358" s="92"/>
      <c r="OWF358" s="92"/>
      <c r="OWG358" s="92"/>
      <c r="OWH358" s="92"/>
      <c r="OWI358" s="92"/>
      <c r="OWJ358" s="92"/>
      <c r="OWK358" s="92"/>
      <c r="OWL358" s="92"/>
      <c r="OWM358" s="92"/>
      <c r="OWN358" s="92"/>
      <c r="OWO358" s="92"/>
      <c r="OWP358" s="92"/>
      <c r="OWQ358" s="92"/>
      <c r="OWR358" s="92"/>
      <c r="OWS358" s="92"/>
      <c r="OWT358" s="92"/>
      <c r="OWU358" s="92"/>
      <c r="OWV358" s="92"/>
      <c r="OWW358" s="92"/>
      <c r="OWX358" s="92"/>
      <c r="OWY358" s="92"/>
      <c r="OWZ358" s="92"/>
      <c r="OXA358" s="92"/>
      <c r="OXB358" s="92"/>
      <c r="OXC358" s="92"/>
      <c r="OXD358" s="92"/>
      <c r="OXE358" s="92"/>
      <c r="OXF358" s="92"/>
      <c r="OXG358" s="92"/>
      <c r="OXH358" s="92"/>
      <c r="OXI358" s="92"/>
      <c r="OXJ358" s="92"/>
      <c r="OXK358" s="92"/>
      <c r="OXL358" s="92"/>
      <c r="OXM358" s="92"/>
      <c r="OXN358" s="92"/>
      <c r="OXO358" s="92"/>
      <c r="OXP358" s="92"/>
      <c r="OXQ358" s="92"/>
      <c r="OXR358" s="92"/>
      <c r="OXS358" s="92"/>
      <c r="OXT358" s="92"/>
      <c r="OXU358" s="92"/>
      <c r="OXV358" s="92"/>
      <c r="OXW358" s="92"/>
      <c r="OXX358" s="92"/>
      <c r="OXY358" s="92"/>
      <c r="OXZ358" s="92"/>
      <c r="OYA358" s="92"/>
      <c r="OYB358" s="92"/>
      <c r="OYC358" s="92"/>
      <c r="OYD358" s="92"/>
      <c r="OYE358" s="92"/>
      <c r="OYF358" s="92"/>
      <c r="OYG358" s="92"/>
      <c r="OYH358" s="92"/>
      <c r="OYI358" s="92"/>
      <c r="OYJ358" s="92"/>
      <c r="OYK358" s="92"/>
      <c r="OYL358" s="92"/>
      <c r="OYM358" s="92"/>
      <c r="OYN358" s="92"/>
      <c r="OYO358" s="92"/>
      <c r="OYP358" s="92"/>
      <c r="OYQ358" s="92"/>
      <c r="OYR358" s="92"/>
      <c r="OYS358" s="92"/>
      <c r="OYT358" s="92"/>
      <c r="OYU358" s="92"/>
      <c r="OYV358" s="92"/>
      <c r="OYW358" s="92"/>
      <c r="OYX358" s="92"/>
      <c r="OYY358" s="92"/>
      <c r="OYZ358" s="92"/>
      <c r="OZA358" s="92"/>
      <c r="OZB358" s="92"/>
      <c r="OZC358" s="92"/>
      <c r="OZD358" s="92"/>
      <c r="OZE358" s="92"/>
      <c r="OZF358" s="92"/>
      <c r="OZG358" s="92"/>
      <c r="OZH358" s="92"/>
      <c r="OZI358" s="92"/>
      <c r="OZJ358" s="92"/>
      <c r="OZK358" s="92"/>
      <c r="OZL358" s="92"/>
      <c r="OZM358" s="92"/>
      <c r="OZN358" s="92"/>
      <c r="OZO358" s="92"/>
      <c r="OZP358" s="92"/>
      <c r="OZQ358" s="92"/>
      <c r="OZR358" s="92"/>
      <c r="OZS358" s="92"/>
      <c r="OZT358" s="92"/>
      <c r="OZU358" s="92"/>
      <c r="OZV358" s="92"/>
      <c r="OZW358" s="92"/>
      <c r="OZX358" s="92"/>
      <c r="OZY358" s="92"/>
      <c r="OZZ358" s="92"/>
      <c r="PAA358" s="92"/>
      <c r="PAB358" s="92"/>
      <c r="PAC358" s="92"/>
      <c r="PAD358" s="92"/>
      <c r="PAE358" s="92"/>
      <c r="PAF358" s="92"/>
      <c r="PAG358" s="92"/>
      <c r="PAH358" s="92"/>
      <c r="PAI358" s="92"/>
      <c r="PAJ358" s="92"/>
      <c r="PAK358" s="92"/>
      <c r="PAL358" s="92"/>
      <c r="PAM358" s="92"/>
      <c r="PAN358" s="92"/>
      <c r="PAO358" s="92"/>
      <c r="PAP358" s="92"/>
      <c r="PAQ358" s="92"/>
      <c r="PAR358" s="92"/>
      <c r="PAS358" s="92"/>
      <c r="PAT358" s="92"/>
      <c r="PAU358" s="92"/>
      <c r="PAV358" s="92"/>
      <c r="PAW358" s="92"/>
      <c r="PAX358" s="92"/>
      <c r="PAY358" s="92"/>
      <c r="PAZ358" s="92"/>
      <c r="PBA358" s="92"/>
      <c r="PBB358" s="92"/>
      <c r="PBC358" s="92"/>
      <c r="PBD358" s="92"/>
      <c r="PBE358" s="92"/>
      <c r="PBF358" s="92"/>
      <c r="PBG358" s="92"/>
      <c r="PBH358" s="92"/>
      <c r="PBI358" s="92"/>
      <c r="PBJ358" s="92"/>
      <c r="PBK358" s="92"/>
      <c r="PBL358" s="92"/>
      <c r="PBM358" s="92"/>
      <c r="PBN358" s="92"/>
      <c r="PBO358" s="92"/>
      <c r="PBP358" s="92"/>
      <c r="PBQ358" s="92"/>
      <c r="PBR358" s="92"/>
      <c r="PBS358" s="92"/>
      <c r="PBT358" s="92"/>
      <c r="PBU358" s="92"/>
      <c r="PBV358" s="92"/>
      <c r="PBW358" s="92"/>
      <c r="PBX358" s="92"/>
      <c r="PBY358" s="92"/>
      <c r="PBZ358" s="92"/>
      <c r="PCA358" s="92"/>
      <c r="PCB358" s="92"/>
      <c r="PCC358" s="92"/>
      <c r="PCD358" s="92"/>
      <c r="PCE358" s="92"/>
      <c r="PCF358" s="92"/>
      <c r="PCG358" s="92"/>
      <c r="PCH358" s="92"/>
      <c r="PCI358" s="92"/>
      <c r="PCJ358" s="92"/>
      <c r="PCK358" s="92"/>
      <c r="PCL358" s="92"/>
      <c r="PCM358" s="92"/>
      <c r="PCN358" s="92"/>
      <c r="PCO358" s="92"/>
      <c r="PCP358" s="92"/>
      <c r="PCQ358" s="92"/>
      <c r="PCR358" s="92"/>
      <c r="PCS358" s="92"/>
      <c r="PCT358" s="92"/>
      <c r="PCU358" s="92"/>
      <c r="PCV358" s="92"/>
      <c r="PCW358" s="92"/>
      <c r="PCX358" s="92"/>
      <c r="PCY358" s="92"/>
      <c r="PCZ358" s="92"/>
      <c r="PDA358" s="92"/>
      <c r="PDB358" s="92"/>
      <c r="PDC358" s="92"/>
      <c r="PDD358" s="92"/>
      <c r="PDE358" s="92"/>
      <c r="PDF358" s="92"/>
      <c r="PDG358" s="92"/>
      <c r="PDH358" s="92"/>
      <c r="PDI358" s="92"/>
      <c r="PDJ358" s="92"/>
      <c r="PDK358" s="92"/>
      <c r="PDL358" s="92"/>
      <c r="PDM358" s="92"/>
      <c r="PDN358" s="92"/>
      <c r="PDO358" s="92"/>
      <c r="PDP358" s="92"/>
      <c r="PDQ358" s="92"/>
      <c r="PDR358" s="92"/>
      <c r="PDS358" s="92"/>
      <c r="PDT358" s="92"/>
      <c r="PDU358" s="92"/>
      <c r="PDV358" s="92"/>
      <c r="PDW358" s="92"/>
      <c r="PDX358" s="92"/>
      <c r="PDY358" s="92"/>
      <c r="PDZ358" s="92"/>
      <c r="PEA358" s="92"/>
      <c r="PEB358" s="92"/>
      <c r="PEC358" s="92"/>
      <c r="PED358" s="92"/>
      <c r="PEE358" s="92"/>
      <c r="PEF358" s="92"/>
      <c r="PEG358" s="92"/>
      <c r="PEH358" s="92"/>
      <c r="PEI358" s="92"/>
      <c r="PEJ358" s="92"/>
      <c r="PEK358" s="92"/>
      <c r="PEL358" s="92"/>
      <c r="PEM358" s="92"/>
      <c r="PEN358" s="92"/>
      <c r="PEO358" s="92"/>
      <c r="PEP358" s="92"/>
      <c r="PEQ358" s="92"/>
      <c r="PER358" s="92"/>
      <c r="PES358" s="92"/>
      <c r="PET358" s="92"/>
      <c r="PEU358" s="92"/>
      <c r="PEV358" s="92"/>
      <c r="PEW358" s="92"/>
      <c r="PEX358" s="92"/>
      <c r="PEY358" s="92"/>
      <c r="PEZ358" s="92"/>
      <c r="PFA358" s="92"/>
      <c r="PFB358" s="92"/>
      <c r="PFC358" s="92"/>
      <c r="PFD358" s="92"/>
      <c r="PFE358" s="92"/>
      <c r="PFF358" s="92"/>
      <c r="PFG358" s="92"/>
      <c r="PFH358" s="92"/>
      <c r="PFI358" s="92"/>
      <c r="PFJ358" s="92"/>
      <c r="PFK358" s="92"/>
      <c r="PFL358" s="92"/>
      <c r="PFM358" s="92"/>
      <c r="PFN358" s="92"/>
      <c r="PFO358" s="92"/>
      <c r="PFP358" s="92"/>
      <c r="PFQ358" s="92"/>
      <c r="PFR358" s="92"/>
      <c r="PFS358" s="92"/>
      <c r="PFT358" s="92"/>
      <c r="PFU358" s="92"/>
      <c r="PFV358" s="92"/>
      <c r="PFW358" s="92"/>
      <c r="PFX358" s="92"/>
      <c r="PFY358" s="92"/>
      <c r="PFZ358" s="92"/>
      <c r="PGA358" s="92"/>
      <c r="PGB358" s="92"/>
      <c r="PGC358" s="92"/>
      <c r="PGD358" s="92"/>
      <c r="PGE358" s="92"/>
      <c r="PGF358" s="92"/>
      <c r="PGG358" s="92"/>
      <c r="PGH358" s="92"/>
      <c r="PGI358" s="92"/>
      <c r="PGJ358" s="92"/>
      <c r="PGK358" s="92"/>
      <c r="PGL358" s="92"/>
      <c r="PGM358" s="92"/>
      <c r="PGN358" s="92"/>
      <c r="PGO358" s="92"/>
      <c r="PGP358" s="92"/>
      <c r="PGQ358" s="92"/>
      <c r="PGR358" s="92"/>
      <c r="PGS358" s="92"/>
      <c r="PGT358" s="92"/>
      <c r="PGU358" s="92"/>
      <c r="PGV358" s="92"/>
      <c r="PGW358" s="92"/>
      <c r="PGX358" s="92"/>
      <c r="PGY358" s="92"/>
      <c r="PGZ358" s="92"/>
      <c r="PHA358" s="92"/>
      <c r="PHB358" s="92"/>
      <c r="PHC358" s="92"/>
      <c r="PHD358" s="92"/>
      <c r="PHE358" s="92"/>
      <c r="PHF358" s="92"/>
      <c r="PHG358" s="92"/>
      <c r="PHH358" s="92"/>
      <c r="PHI358" s="92"/>
      <c r="PHJ358" s="92"/>
      <c r="PHK358" s="92"/>
      <c r="PHL358" s="92"/>
      <c r="PHM358" s="92"/>
      <c r="PHN358" s="92"/>
      <c r="PHO358" s="92"/>
      <c r="PHP358" s="92"/>
      <c r="PHQ358" s="92"/>
      <c r="PHR358" s="92"/>
      <c r="PHS358" s="92"/>
      <c r="PHT358" s="92"/>
      <c r="PHU358" s="92"/>
      <c r="PHV358" s="92"/>
      <c r="PHW358" s="92"/>
      <c r="PHX358" s="92"/>
      <c r="PHY358" s="92"/>
      <c r="PHZ358" s="92"/>
      <c r="PIA358" s="92"/>
      <c r="PIB358" s="92"/>
      <c r="PIC358" s="92"/>
      <c r="PID358" s="92"/>
      <c r="PIE358" s="92"/>
      <c r="PIF358" s="92"/>
      <c r="PIG358" s="92"/>
      <c r="PIH358" s="92"/>
      <c r="PII358" s="92"/>
      <c r="PIJ358" s="92"/>
      <c r="PIK358" s="92"/>
      <c r="PIL358" s="92"/>
      <c r="PIM358" s="92"/>
      <c r="PIN358" s="92"/>
      <c r="PIO358" s="92"/>
      <c r="PIP358" s="92"/>
      <c r="PIQ358" s="92"/>
      <c r="PIR358" s="92"/>
      <c r="PIS358" s="92"/>
      <c r="PIT358" s="92"/>
      <c r="PIU358" s="92"/>
      <c r="PIV358" s="92"/>
      <c r="PIW358" s="92"/>
      <c r="PIX358" s="92"/>
      <c r="PIY358" s="92"/>
      <c r="PIZ358" s="92"/>
      <c r="PJA358" s="92"/>
      <c r="PJB358" s="92"/>
      <c r="PJC358" s="92"/>
      <c r="PJD358" s="92"/>
      <c r="PJE358" s="92"/>
      <c r="PJF358" s="92"/>
      <c r="PJG358" s="92"/>
      <c r="PJH358" s="92"/>
      <c r="PJI358" s="92"/>
      <c r="PJJ358" s="92"/>
      <c r="PJK358" s="92"/>
      <c r="PJL358" s="92"/>
      <c r="PJM358" s="92"/>
      <c r="PJN358" s="92"/>
      <c r="PJO358" s="92"/>
      <c r="PJP358" s="92"/>
      <c r="PJQ358" s="92"/>
      <c r="PJR358" s="92"/>
      <c r="PJS358" s="92"/>
      <c r="PJT358" s="92"/>
      <c r="PJU358" s="92"/>
      <c r="PJV358" s="92"/>
      <c r="PJW358" s="92"/>
      <c r="PJX358" s="92"/>
      <c r="PJY358" s="92"/>
      <c r="PJZ358" s="92"/>
      <c r="PKA358" s="92"/>
      <c r="PKB358" s="92"/>
      <c r="PKC358" s="92"/>
      <c r="PKD358" s="92"/>
      <c r="PKE358" s="92"/>
      <c r="PKF358" s="92"/>
      <c r="PKG358" s="92"/>
      <c r="PKH358" s="92"/>
      <c r="PKI358" s="92"/>
      <c r="PKJ358" s="92"/>
      <c r="PKK358" s="92"/>
      <c r="PKL358" s="92"/>
      <c r="PKM358" s="92"/>
      <c r="PKN358" s="92"/>
      <c r="PKO358" s="92"/>
      <c r="PKP358" s="92"/>
      <c r="PKQ358" s="92"/>
      <c r="PKR358" s="92"/>
      <c r="PKS358" s="92"/>
      <c r="PKT358" s="92"/>
      <c r="PKU358" s="92"/>
      <c r="PKV358" s="92"/>
      <c r="PKW358" s="92"/>
      <c r="PKX358" s="92"/>
      <c r="PKY358" s="92"/>
      <c r="PKZ358" s="92"/>
      <c r="PLA358" s="92"/>
      <c r="PLB358" s="92"/>
      <c r="PLC358" s="92"/>
      <c r="PLD358" s="92"/>
      <c r="PLE358" s="92"/>
      <c r="PLF358" s="92"/>
      <c r="PLG358" s="92"/>
      <c r="PLH358" s="92"/>
      <c r="PLI358" s="92"/>
      <c r="PLJ358" s="92"/>
      <c r="PLK358" s="92"/>
      <c r="PLL358" s="92"/>
      <c r="PLM358" s="92"/>
      <c r="PLN358" s="92"/>
      <c r="PLO358" s="92"/>
      <c r="PLP358" s="92"/>
      <c r="PLQ358" s="92"/>
      <c r="PLR358" s="92"/>
      <c r="PLS358" s="92"/>
      <c r="PLT358" s="92"/>
      <c r="PLU358" s="92"/>
      <c r="PLV358" s="92"/>
      <c r="PLW358" s="92"/>
      <c r="PLX358" s="92"/>
      <c r="PLY358" s="92"/>
      <c r="PLZ358" s="92"/>
      <c r="PMA358" s="92"/>
      <c r="PMB358" s="92"/>
      <c r="PMC358" s="92"/>
      <c r="PMD358" s="92"/>
      <c r="PME358" s="92"/>
      <c r="PMF358" s="92"/>
      <c r="PMG358" s="92"/>
      <c r="PMH358" s="92"/>
      <c r="PMI358" s="92"/>
      <c r="PMJ358" s="92"/>
      <c r="PMK358" s="92"/>
      <c r="PML358" s="92"/>
      <c r="PMM358" s="92"/>
      <c r="PMN358" s="92"/>
      <c r="PMO358" s="92"/>
      <c r="PMP358" s="92"/>
      <c r="PMQ358" s="92"/>
      <c r="PMR358" s="92"/>
      <c r="PMS358" s="92"/>
      <c r="PMT358" s="92"/>
      <c r="PMU358" s="92"/>
      <c r="PMV358" s="92"/>
      <c r="PMW358" s="92"/>
      <c r="PMX358" s="92"/>
      <c r="PMY358" s="92"/>
      <c r="PMZ358" s="92"/>
      <c r="PNA358" s="92"/>
      <c r="PNB358" s="92"/>
      <c r="PNC358" s="92"/>
      <c r="PND358" s="92"/>
      <c r="PNE358" s="92"/>
      <c r="PNF358" s="92"/>
      <c r="PNG358" s="92"/>
      <c r="PNH358" s="92"/>
      <c r="PNI358" s="92"/>
      <c r="PNJ358" s="92"/>
      <c r="PNK358" s="92"/>
      <c r="PNL358" s="92"/>
      <c r="PNM358" s="92"/>
      <c r="PNN358" s="92"/>
      <c r="PNO358" s="92"/>
      <c r="PNP358" s="92"/>
      <c r="PNQ358" s="92"/>
      <c r="PNR358" s="92"/>
      <c r="PNS358" s="92"/>
      <c r="PNT358" s="92"/>
      <c r="PNU358" s="92"/>
      <c r="PNV358" s="92"/>
      <c r="PNW358" s="92"/>
      <c r="PNX358" s="92"/>
      <c r="PNY358" s="92"/>
      <c r="PNZ358" s="92"/>
      <c r="POA358" s="92"/>
      <c r="POB358" s="92"/>
      <c r="POC358" s="92"/>
      <c r="POD358" s="92"/>
      <c r="POE358" s="92"/>
      <c r="POF358" s="92"/>
      <c r="POG358" s="92"/>
      <c r="POH358" s="92"/>
      <c r="POI358" s="92"/>
      <c r="POJ358" s="92"/>
      <c r="POK358" s="92"/>
      <c r="POL358" s="92"/>
      <c r="POM358" s="92"/>
      <c r="PON358" s="92"/>
      <c r="POO358" s="92"/>
      <c r="POP358" s="92"/>
      <c r="POQ358" s="92"/>
      <c r="POR358" s="92"/>
      <c r="POS358" s="92"/>
      <c r="POT358" s="92"/>
      <c r="POU358" s="92"/>
      <c r="POV358" s="92"/>
      <c r="POW358" s="92"/>
      <c r="POX358" s="92"/>
      <c r="POY358" s="92"/>
      <c r="POZ358" s="92"/>
      <c r="PPA358" s="92"/>
      <c r="PPB358" s="92"/>
      <c r="PPC358" s="92"/>
      <c r="PPD358" s="92"/>
      <c r="PPE358" s="92"/>
      <c r="PPF358" s="92"/>
      <c r="PPG358" s="92"/>
      <c r="PPH358" s="92"/>
      <c r="PPI358" s="92"/>
      <c r="PPJ358" s="92"/>
      <c r="PPK358" s="92"/>
      <c r="PPL358" s="92"/>
      <c r="PPM358" s="92"/>
      <c r="PPN358" s="92"/>
      <c r="PPO358" s="92"/>
      <c r="PPP358" s="92"/>
      <c r="PPQ358" s="92"/>
      <c r="PPR358" s="92"/>
      <c r="PPS358" s="92"/>
      <c r="PPT358" s="92"/>
      <c r="PPU358" s="92"/>
      <c r="PPV358" s="92"/>
      <c r="PPW358" s="92"/>
      <c r="PPX358" s="92"/>
      <c r="PPY358" s="92"/>
      <c r="PPZ358" s="92"/>
      <c r="PQA358" s="92"/>
      <c r="PQB358" s="92"/>
      <c r="PQC358" s="92"/>
      <c r="PQD358" s="92"/>
      <c r="PQE358" s="92"/>
      <c r="PQF358" s="92"/>
      <c r="PQG358" s="92"/>
      <c r="PQH358" s="92"/>
      <c r="PQI358" s="92"/>
      <c r="PQJ358" s="92"/>
      <c r="PQK358" s="92"/>
      <c r="PQL358" s="92"/>
      <c r="PQM358" s="92"/>
      <c r="PQN358" s="92"/>
      <c r="PQO358" s="92"/>
      <c r="PQP358" s="92"/>
      <c r="PQQ358" s="92"/>
      <c r="PQR358" s="92"/>
      <c r="PQS358" s="92"/>
      <c r="PQT358" s="92"/>
      <c r="PQU358" s="92"/>
      <c r="PQV358" s="92"/>
      <c r="PQW358" s="92"/>
      <c r="PQX358" s="92"/>
      <c r="PQY358" s="92"/>
      <c r="PQZ358" s="92"/>
      <c r="PRA358" s="92"/>
      <c r="PRB358" s="92"/>
      <c r="PRC358" s="92"/>
      <c r="PRD358" s="92"/>
      <c r="PRE358" s="92"/>
      <c r="PRF358" s="92"/>
      <c r="PRG358" s="92"/>
      <c r="PRH358" s="92"/>
      <c r="PRI358" s="92"/>
      <c r="PRJ358" s="92"/>
      <c r="PRK358" s="92"/>
      <c r="PRL358" s="92"/>
      <c r="PRM358" s="92"/>
      <c r="PRN358" s="92"/>
      <c r="PRO358" s="92"/>
      <c r="PRP358" s="92"/>
      <c r="PRQ358" s="92"/>
      <c r="PRR358" s="92"/>
      <c r="PRS358" s="92"/>
      <c r="PRT358" s="92"/>
      <c r="PRU358" s="92"/>
      <c r="PRV358" s="92"/>
      <c r="PRW358" s="92"/>
      <c r="PRX358" s="92"/>
      <c r="PRY358" s="92"/>
      <c r="PRZ358" s="92"/>
      <c r="PSA358" s="92"/>
      <c r="PSB358" s="92"/>
      <c r="PSC358" s="92"/>
      <c r="PSD358" s="92"/>
      <c r="PSE358" s="92"/>
      <c r="PSF358" s="92"/>
      <c r="PSG358" s="92"/>
      <c r="PSH358" s="92"/>
      <c r="PSI358" s="92"/>
      <c r="PSJ358" s="92"/>
      <c r="PSK358" s="92"/>
      <c r="PSL358" s="92"/>
      <c r="PSM358" s="92"/>
      <c r="PSN358" s="92"/>
      <c r="PSO358" s="92"/>
      <c r="PSP358" s="92"/>
      <c r="PSQ358" s="92"/>
      <c r="PSR358" s="92"/>
      <c r="PSS358" s="92"/>
      <c r="PST358" s="92"/>
      <c r="PSU358" s="92"/>
      <c r="PSV358" s="92"/>
      <c r="PSW358" s="92"/>
      <c r="PSX358" s="92"/>
      <c r="PSY358" s="92"/>
      <c r="PSZ358" s="92"/>
      <c r="PTA358" s="92"/>
      <c r="PTB358" s="92"/>
      <c r="PTC358" s="92"/>
      <c r="PTD358" s="92"/>
      <c r="PTE358" s="92"/>
      <c r="PTF358" s="92"/>
      <c r="PTG358" s="92"/>
      <c r="PTH358" s="92"/>
      <c r="PTI358" s="92"/>
      <c r="PTJ358" s="92"/>
      <c r="PTK358" s="92"/>
      <c r="PTL358" s="92"/>
      <c r="PTM358" s="92"/>
      <c r="PTN358" s="92"/>
      <c r="PTO358" s="92"/>
      <c r="PTP358" s="92"/>
      <c r="PTQ358" s="92"/>
      <c r="PTR358" s="92"/>
      <c r="PTS358" s="92"/>
      <c r="PTT358" s="92"/>
      <c r="PTU358" s="92"/>
      <c r="PTV358" s="92"/>
      <c r="PTW358" s="92"/>
      <c r="PTX358" s="92"/>
      <c r="PTY358" s="92"/>
      <c r="PTZ358" s="92"/>
      <c r="PUA358" s="92"/>
      <c r="PUB358" s="92"/>
      <c r="PUC358" s="92"/>
      <c r="PUD358" s="92"/>
      <c r="PUE358" s="92"/>
      <c r="PUF358" s="92"/>
      <c r="PUG358" s="92"/>
      <c r="PUH358" s="92"/>
      <c r="PUI358" s="92"/>
      <c r="PUJ358" s="92"/>
      <c r="PUK358" s="92"/>
      <c r="PUL358" s="92"/>
      <c r="PUM358" s="92"/>
      <c r="PUN358" s="92"/>
      <c r="PUO358" s="92"/>
      <c r="PUP358" s="92"/>
      <c r="PUQ358" s="92"/>
      <c r="PUR358" s="92"/>
      <c r="PUS358" s="92"/>
      <c r="PUT358" s="92"/>
      <c r="PUU358" s="92"/>
      <c r="PUV358" s="92"/>
      <c r="PUW358" s="92"/>
      <c r="PUX358" s="92"/>
      <c r="PUY358" s="92"/>
      <c r="PUZ358" s="92"/>
      <c r="PVA358" s="92"/>
      <c r="PVB358" s="92"/>
      <c r="PVC358" s="92"/>
      <c r="PVD358" s="92"/>
      <c r="PVE358" s="92"/>
      <c r="PVF358" s="92"/>
      <c r="PVG358" s="92"/>
      <c r="PVH358" s="92"/>
      <c r="PVI358" s="92"/>
      <c r="PVJ358" s="92"/>
      <c r="PVK358" s="92"/>
      <c r="PVL358" s="92"/>
      <c r="PVM358" s="92"/>
      <c r="PVN358" s="92"/>
      <c r="PVO358" s="92"/>
      <c r="PVP358" s="92"/>
      <c r="PVQ358" s="92"/>
      <c r="PVR358" s="92"/>
      <c r="PVS358" s="92"/>
      <c r="PVT358" s="92"/>
      <c r="PVU358" s="92"/>
      <c r="PVV358" s="92"/>
      <c r="PVW358" s="92"/>
      <c r="PVX358" s="92"/>
      <c r="PVY358" s="92"/>
      <c r="PVZ358" s="92"/>
      <c r="PWA358" s="92"/>
      <c r="PWB358" s="92"/>
      <c r="PWC358" s="92"/>
      <c r="PWD358" s="92"/>
      <c r="PWE358" s="92"/>
      <c r="PWF358" s="92"/>
      <c r="PWG358" s="92"/>
      <c r="PWH358" s="92"/>
      <c r="PWI358" s="92"/>
      <c r="PWJ358" s="92"/>
      <c r="PWK358" s="92"/>
      <c r="PWL358" s="92"/>
      <c r="PWM358" s="92"/>
      <c r="PWN358" s="92"/>
      <c r="PWO358" s="92"/>
      <c r="PWP358" s="92"/>
      <c r="PWQ358" s="92"/>
      <c r="PWR358" s="92"/>
      <c r="PWS358" s="92"/>
      <c r="PWT358" s="92"/>
      <c r="PWU358" s="92"/>
      <c r="PWV358" s="92"/>
      <c r="PWW358" s="92"/>
      <c r="PWX358" s="92"/>
      <c r="PWY358" s="92"/>
      <c r="PWZ358" s="92"/>
      <c r="PXA358" s="92"/>
      <c r="PXB358" s="92"/>
      <c r="PXC358" s="92"/>
      <c r="PXD358" s="92"/>
      <c r="PXE358" s="92"/>
      <c r="PXF358" s="92"/>
      <c r="PXG358" s="92"/>
      <c r="PXH358" s="92"/>
      <c r="PXI358" s="92"/>
      <c r="PXJ358" s="92"/>
      <c r="PXK358" s="92"/>
      <c r="PXL358" s="92"/>
      <c r="PXM358" s="92"/>
      <c r="PXN358" s="92"/>
      <c r="PXO358" s="92"/>
      <c r="PXP358" s="92"/>
      <c r="PXQ358" s="92"/>
      <c r="PXR358" s="92"/>
      <c r="PXS358" s="92"/>
      <c r="PXT358" s="92"/>
      <c r="PXU358" s="92"/>
      <c r="PXV358" s="92"/>
      <c r="PXW358" s="92"/>
      <c r="PXX358" s="92"/>
      <c r="PXY358" s="92"/>
      <c r="PXZ358" s="92"/>
      <c r="PYA358" s="92"/>
      <c r="PYB358" s="92"/>
      <c r="PYC358" s="92"/>
      <c r="PYD358" s="92"/>
      <c r="PYE358" s="92"/>
      <c r="PYF358" s="92"/>
      <c r="PYG358" s="92"/>
      <c r="PYH358" s="92"/>
      <c r="PYI358" s="92"/>
      <c r="PYJ358" s="92"/>
      <c r="PYK358" s="92"/>
      <c r="PYL358" s="92"/>
      <c r="PYM358" s="92"/>
      <c r="PYN358" s="92"/>
      <c r="PYO358" s="92"/>
      <c r="PYP358" s="92"/>
      <c r="PYQ358" s="92"/>
      <c r="PYR358" s="92"/>
      <c r="PYS358" s="92"/>
      <c r="PYT358" s="92"/>
      <c r="PYU358" s="92"/>
      <c r="PYV358" s="92"/>
      <c r="PYW358" s="92"/>
      <c r="PYX358" s="92"/>
      <c r="PYY358" s="92"/>
      <c r="PYZ358" s="92"/>
      <c r="PZA358" s="92"/>
      <c r="PZB358" s="92"/>
      <c r="PZC358" s="92"/>
      <c r="PZD358" s="92"/>
      <c r="PZE358" s="92"/>
      <c r="PZF358" s="92"/>
      <c r="PZG358" s="92"/>
      <c r="PZH358" s="92"/>
      <c r="PZI358" s="92"/>
      <c r="PZJ358" s="92"/>
      <c r="PZK358" s="92"/>
      <c r="PZL358" s="92"/>
      <c r="PZM358" s="92"/>
      <c r="PZN358" s="92"/>
      <c r="PZO358" s="92"/>
      <c r="PZP358" s="92"/>
      <c r="PZQ358" s="92"/>
      <c r="PZR358" s="92"/>
      <c r="PZS358" s="92"/>
      <c r="PZT358" s="92"/>
      <c r="PZU358" s="92"/>
      <c r="PZV358" s="92"/>
      <c r="PZW358" s="92"/>
      <c r="PZX358" s="92"/>
      <c r="PZY358" s="92"/>
      <c r="PZZ358" s="92"/>
      <c r="QAA358" s="92"/>
      <c r="QAB358" s="92"/>
      <c r="QAC358" s="92"/>
      <c r="QAD358" s="92"/>
      <c r="QAE358" s="92"/>
      <c r="QAF358" s="92"/>
      <c r="QAG358" s="92"/>
      <c r="QAH358" s="92"/>
      <c r="QAI358" s="92"/>
      <c r="QAJ358" s="92"/>
      <c r="QAK358" s="92"/>
      <c r="QAL358" s="92"/>
      <c r="QAM358" s="92"/>
      <c r="QAN358" s="92"/>
      <c r="QAO358" s="92"/>
      <c r="QAP358" s="92"/>
      <c r="QAQ358" s="92"/>
      <c r="QAR358" s="92"/>
      <c r="QAS358" s="92"/>
      <c r="QAT358" s="92"/>
      <c r="QAU358" s="92"/>
      <c r="QAV358" s="92"/>
      <c r="QAW358" s="92"/>
      <c r="QAX358" s="92"/>
      <c r="QAY358" s="92"/>
      <c r="QAZ358" s="92"/>
      <c r="QBA358" s="92"/>
      <c r="QBB358" s="92"/>
      <c r="QBC358" s="92"/>
      <c r="QBD358" s="92"/>
      <c r="QBE358" s="92"/>
      <c r="QBF358" s="92"/>
      <c r="QBG358" s="92"/>
      <c r="QBH358" s="92"/>
      <c r="QBI358" s="92"/>
      <c r="QBJ358" s="92"/>
      <c r="QBK358" s="92"/>
      <c r="QBL358" s="92"/>
      <c r="QBM358" s="92"/>
      <c r="QBN358" s="92"/>
      <c r="QBO358" s="92"/>
      <c r="QBP358" s="92"/>
      <c r="QBQ358" s="92"/>
      <c r="QBR358" s="92"/>
      <c r="QBS358" s="92"/>
      <c r="QBT358" s="92"/>
      <c r="QBU358" s="92"/>
      <c r="QBV358" s="92"/>
      <c r="QBW358" s="92"/>
      <c r="QBX358" s="92"/>
      <c r="QBY358" s="92"/>
      <c r="QBZ358" s="92"/>
      <c r="QCA358" s="92"/>
      <c r="QCB358" s="92"/>
      <c r="QCC358" s="92"/>
      <c r="QCD358" s="92"/>
      <c r="QCE358" s="92"/>
      <c r="QCF358" s="92"/>
      <c r="QCG358" s="92"/>
      <c r="QCH358" s="92"/>
      <c r="QCI358" s="92"/>
      <c r="QCJ358" s="92"/>
      <c r="QCK358" s="92"/>
      <c r="QCL358" s="92"/>
      <c r="QCM358" s="92"/>
      <c r="QCN358" s="92"/>
      <c r="QCO358" s="92"/>
      <c r="QCP358" s="92"/>
      <c r="QCQ358" s="92"/>
      <c r="QCR358" s="92"/>
      <c r="QCS358" s="92"/>
      <c r="QCT358" s="92"/>
      <c r="QCU358" s="92"/>
      <c r="QCV358" s="92"/>
      <c r="QCW358" s="92"/>
      <c r="QCX358" s="92"/>
      <c r="QCY358" s="92"/>
      <c r="QCZ358" s="92"/>
      <c r="QDA358" s="92"/>
      <c r="QDB358" s="92"/>
      <c r="QDC358" s="92"/>
      <c r="QDD358" s="92"/>
      <c r="QDE358" s="92"/>
      <c r="QDF358" s="92"/>
      <c r="QDG358" s="92"/>
      <c r="QDH358" s="92"/>
      <c r="QDI358" s="92"/>
      <c r="QDJ358" s="92"/>
      <c r="QDK358" s="92"/>
      <c r="QDL358" s="92"/>
      <c r="QDM358" s="92"/>
      <c r="QDN358" s="92"/>
      <c r="QDO358" s="92"/>
      <c r="QDP358" s="92"/>
      <c r="QDQ358" s="92"/>
      <c r="QDR358" s="92"/>
      <c r="QDS358" s="92"/>
      <c r="QDT358" s="92"/>
      <c r="QDU358" s="92"/>
      <c r="QDV358" s="92"/>
      <c r="QDW358" s="92"/>
      <c r="QDX358" s="92"/>
      <c r="QDY358" s="92"/>
      <c r="QDZ358" s="92"/>
      <c r="QEA358" s="92"/>
      <c r="QEB358" s="92"/>
      <c r="QEC358" s="92"/>
      <c r="QED358" s="92"/>
      <c r="QEE358" s="92"/>
      <c r="QEF358" s="92"/>
      <c r="QEG358" s="92"/>
      <c r="QEH358" s="92"/>
      <c r="QEI358" s="92"/>
      <c r="QEJ358" s="92"/>
      <c r="QEK358" s="92"/>
      <c r="QEL358" s="92"/>
      <c r="QEM358" s="92"/>
      <c r="QEN358" s="92"/>
      <c r="QEO358" s="92"/>
      <c r="QEP358" s="92"/>
      <c r="QEQ358" s="92"/>
      <c r="QER358" s="92"/>
      <c r="QES358" s="92"/>
      <c r="QET358" s="92"/>
      <c r="QEU358" s="92"/>
      <c r="QEV358" s="92"/>
      <c r="QEW358" s="92"/>
      <c r="QEX358" s="92"/>
      <c r="QEY358" s="92"/>
      <c r="QEZ358" s="92"/>
      <c r="QFA358" s="92"/>
      <c r="QFB358" s="92"/>
      <c r="QFC358" s="92"/>
      <c r="QFD358" s="92"/>
      <c r="QFE358" s="92"/>
      <c r="QFF358" s="92"/>
      <c r="QFG358" s="92"/>
      <c r="QFH358" s="92"/>
      <c r="QFI358" s="92"/>
      <c r="QFJ358" s="92"/>
      <c r="QFK358" s="92"/>
      <c r="QFL358" s="92"/>
      <c r="QFM358" s="92"/>
      <c r="QFN358" s="92"/>
      <c r="QFO358" s="92"/>
      <c r="QFP358" s="92"/>
      <c r="QFQ358" s="92"/>
      <c r="QFR358" s="92"/>
      <c r="QFS358" s="92"/>
      <c r="QFT358" s="92"/>
      <c r="QFU358" s="92"/>
      <c r="QFV358" s="92"/>
      <c r="QFW358" s="92"/>
      <c r="QFX358" s="92"/>
      <c r="QFY358" s="92"/>
      <c r="QFZ358" s="92"/>
      <c r="QGA358" s="92"/>
      <c r="QGB358" s="92"/>
      <c r="QGC358" s="92"/>
      <c r="QGD358" s="92"/>
      <c r="QGE358" s="92"/>
      <c r="QGF358" s="92"/>
      <c r="QGG358" s="92"/>
      <c r="QGH358" s="92"/>
      <c r="QGI358" s="92"/>
      <c r="QGJ358" s="92"/>
      <c r="QGK358" s="92"/>
      <c r="QGL358" s="92"/>
      <c r="QGM358" s="92"/>
      <c r="QGN358" s="92"/>
      <c r="QGO358" s="92"/>
      <c r="QGP358" s="92"/>
      <c r="QGQ358" s="92"/>
      <c r="QGR358" s="92"/>
      <c r="QGS358" s="92"/>
      <c r="QGT358" s="92"/>
      <c r="QGU358" s="92"/>
      <c r="QGV358" s="92"/>
      <c r="QGW358" s="92"/>
      <c r="QGX358" s="92"/>
      <c r="QGY358" s="92"/>
      <c r="QGZ358" s="92"/>
      <c r="QHA358" s="92"/>
      <c r="QHB358" s="92"/>
      <c r="QHC358" s="92"/>
      <c r="QHD358" s="92"/>
      <c r="QHE358" s="92"/>
      <c r="QHF358" s="92"/>
      <c r="QHG358" s="92"/>
      <c r="QHH358" s="92"/>
      <c r="QHI358" s="92"/>
      <c r="QHJ358" s="92"/>
      <c r="QHK358" s="92"/>
      <c r="QHL358" s="92"/>
      <c r="QHM358" s="92"/>
      <c r="QHN358" s="92"/>
      <c r="QHO358" s="92"/>
      <c r="QHP358" s="92"/>
      <c r="QHQ358" s="92"/>
      <c r="QHR358" s="92"/>
      <c r="QHS358" s="92"/>
      <c r="QHT358" s="92"/>
      <c r="QHU358" s="92"/>
      <c r="QHV358" s="92"/>
      <c r="QHW358" s="92"/>
      <c r="QHX358" s="92"/>
      <c r="QHY358" s="92"/>
      <c r="QHZ358" s="92"/>
      <c r="QIA358" s="92"/>
      <c r="QIB358" s="92"/>
      <c r="QIC358" s="92"/>
      <c r="QID358" s="92"/>
      <c r="QIE358" s="92"/>
      <c r="QIF358" s="92"/>
      <c r="QIG358" s="92"/>
      <c r="QIH358" s="92"/>
      <c r="QII358" s="92"/>
      <c r="QIJ358" s="92"/>
      <c r="QIK358" s="92"/>
      <c r="QIL358" s="92"/>
      <c r="QIM358" s="92"/>
      <c r="QIN358" s="92"/>
      <c r="QIO358" s="92"/>
      <c r="QIP358" s="92"/>
      <c r="QIQ358" s="92"/>
      <c r="QIR358" s="92"/>
      <c r="QIS358" s="92"/>
      <c r="QIT358" s="92"/>
      <c r="QIU358" s="92"/>
      <c r="QIV358" s="92"/>
      <c r="QIW358" s="92"/>
      <c r="QIX358" s="92"/>
      <c r="QIY358" s="92"/>
      <c r="QIZ358" s="92"/>
      <c r="QJA358" s="92"/>
      <c r="QJB358" s="92"/>
      <c r="QJC358" s="92"/>
      <c r="QJD358" s="92"/>
      <c r="QJE358" s="92"/>
      <c r="QJF358" s="92"/>
      <c r="QJG358" s="92"/>
      <c r="QJH358" s="92"/>
      <c r="QJI358" s="92"/>
      <c r="QJJ358" s="92"/>
      <c r="QJK358" s="92"/>
      <c r="QJL358" s="92"/>
      <c r="QJM358" s="92"/>
      <c r="QJN358" s="92"/>
      <c r="QJO358" s="92"/>
      <c r="QJP358" s="92"/>
      <c r="QJQ358" s="92"/>
      <c r="QJR358" s="92"/>
      <c r="QJS358" s="92"/>
      <c r="QJT358" s="92"/>
      <c r="QJU358" s="92"/>
      <c r="QJV358" s="92"/>
      <c r="QJW358" s="92"/>
      <c r="QJX358" s="92"/>
      <c r="QJY358" s="92"/>
      <c r="QJZ358" s="92"/>
      <c r="QKA358" s="92"/>
      <c r="QKB358" s="92"/>
      <c r="QKC358" s="92"/>
      <c r="QKD358" s="92"/>
      <c r="QKE358" s="92"/>
      <c r="QKF358" s="92"/>
      <c r="QKG358" s="92"/>
      <c r="QKH358" s="92"/>
      <c r="QKI358" s="92"/>
      <c r="QKJ358" s="92"/>
      <c r="QKK358" s="92"/>
      <c r="QKL358" s="92"/>
      <c r="QKM358" s="92"/>
      <c r="QKN358" s="92"/>
      <c r="QKO358" s="92"/>
      <c r="QKP358" s="92"/>
      <c r="QKQ358" s="92"/>
      <c r="QKR358" s="92"/>
      <c r="QKS358" s="92"/>
      <c r="QKT358" s="92"/>
      <c r="QKU358" s="92"/>
      <c r="QKV358" s="92"/>
      <c r="QKW358" s="92"/>
      <c r="QKX358" s="92"/>
      <c r="QKY358" s="92"/>
      <c r="QKZ358" s="92"/>
      <c r="QLA358" s="92"/>
      <c r="QLB358" s="92"/>
      <c r="QLC358" s="92"/>
      <c r="QLD358" s="92"/>
      <c r="QLE358" s="92"/>
      <c r="QLF358" s="92"/>
      <c r="QLG358" s="92"/>
      <c r="QLH358" s="92"/>
      <c r="QLI358" s="92"/>
      <c r="QLJ358" s="92"/>
      <c r="QLK358" s="92"/>
      <c r="QLL358" s="92"/>
      <c r="QLM358" s="92"/>
      <c r="QLN358" s="92"/>
      <c r="QLO358" s="92"/>
      <c r="QLP358" s="92"/>
      <c r="QLQ358" s="92"/>
      <c r="QLR358" s="92"/>
      <c r="QLS358" s="92"/>
      <c r="QLT358" s="92"/>
      <c r="QLU358" s="92"/>
      <c r="QLV358" s="92"/>
      <c r="QLW358" s="92"/>
      <c r="QLX358" s="92"/>
      <c r="QLY358" s="92"/>
      <c r="QLZ358" s="92"/>
      <c r="QMA358" s="92"/>
      <c r="QMB358" s="92"/>
      <c r="QMC358" s="92"/>
      <c r="QMD358" s="92"/>
      <c r="QME358" s="92"/>
      <c r="QMF358" s="92"/>
      <c r="QMG358" s="92"/>
      <c r="QMH358" s="92"/>
      <c r="QMI358" s="92"/>
      <c r="QMJ358" s="92"/>
      <c r="QMK358" s="92"/>
      <c r="QML358" s="92"/>
      <c r="QMM358" s="92"/>
      <c r="QMN358" s="92"/>
      <c r="QMO358" s="92"/>
      <c r="QMP358" s="92"/>
      <c r="QMQ358" s="92"/>
      <c r="QMR358" s="92"/>
      <c r="QMS358" s="92"/>
      <c r="QMT358" s="92"/>
      <c r="QMU358" s="92"/>
      <c r="QMV358" s="92"/>
      <c r="QMW358" s="92"/>
      <c r="QMX358" s="92"/>
      <c r="QMY358" s="92"/>
      <c r="QMZ358" s="92"/>
      <c r="QNA358" s="92"/>
      <c r="QNB358" s="92"/>
      <c r="QNC358" s="92"/>
      <c r="QND358" s="92"/>
      <c r="QNE358" s="92"/>
      <c r="QNF358" s="92"/>
      <c r="QNG358" s="92"/>
      <c r="QNH358" s="92"/>
      <c r="QNI358" s="92"/>
      <c r="QNJ358" s="92"/>
      <c r="QNK358" s="92"/>
      <c r="QNL358" s="92"/>
      <c r="QNM358" s="92"/>
      <c r="QNN358" s="92"/>
      <c r="QNO358" s="92"/>
      <c r="QNP358" s="92"/>
      <c r="QNQ358" s="92"/>
      <c r="QNR358" s="92"/>
      <c r="QNS358" s="92"/>
      <c r="QNT358" s="92"/>
      <c r="QNU358" s="92"/>
      <c r="QNV358" s="92"/>
      <c r="QNW358" s="92"/>
      <c r="QNX358" s="92"/>
      <c r="QNY358" s="92"/>
      <c r="QNZ358" s="92"/>
      <c r="QOA358" s="92"/>
      <c r="QOB358" s="92"/>
      <c r="QOC358" s="92"/>
      <c r="QOD358" s="92"/>
      <c r="QOE358" s="92"/>
      <c r="QOF358" s="92"/>
      <c r="QOG358" s="92"/>
      <c r="QOH358" s="92"/>
      <c r="QOI358" s="92"/>
      <c r="QOJ358" s="92"/>
      <c r="QOK358" s="92"/>
      <c r="QOL358" s="92"/>
      <c r="QOM358" s="92"/>
      <c r="QON358" s="92"/>
      <c r="QOO358" s="92"/>
      <c r="QOP358" s="92"/>
      <c r="QOQ358" s="92"/>
      <c r="QOR358" s="92"/>
      <c r="QOS358" s="92"/>
      <c r="QOT358" s="92"/>
      <c r="QOU358" s="92"/>
      <c r="QOV358" s="92"/>
      <c r="QOW358" s="92"/>
      <c r="QOX358" s="92"/>
      <c r="QOY358" s="92"/>
      <c r="QOZ358" s="92"/>
      <c r="QPA358" s="92"/>
      <c r="QPB358" s="92"/>
      <c r="QPC358" s="92"/>
      <c r="QPD358" s="92"/>
      <c r="QPE358" s="92"/>
      <c r="QPF358" s="92"/>
      <c r="QPG358" s="92"/>
      <c r="QPH358" s="92"/>
      <c r="QPI358" s="92"/>
      <c r="QPJ358" s="92"/>
      <c r="QPK358" s="92"/>
      <c r="QPL358" s="92"/>
      <c r="QPM358" s="92"/>
      <c r="QPN358" s="92"/>
      <c r="QPO358" s="92"/>
      <c r="QPP358" s="92"/>
      <c r="QPQ358" s="92"/>
      <c r="QPR358" s="92"/>
      <c r="QPS358" s="92"/>
      <c r="QPT358" s="92"/>
      <c r="QPU358" s="92"/>
      <c r="QPV358" s="92"/>
      <c r="QPW358" s="92"/>
      <c r="QPX358" s="92"/>
      <c r="QPY358" s="92"/>
      <c r="QPZ358" s="92"/>
      <c r="QQA358" s="92"/>
      <c r="QQB358" s="92"/>
      <c r="QQC358" s="92"/>
      <c r="QQD358" s="92"/>
      <c r="QQE358" s="92"/>
      <c r="QQF358" s="92"/>
      <c r="QQG358" s="92"/>
      <c r="QQH358" s="92"/>
      <c r="QQI358" s="92"/>
      <c r="QQJ358" s="92"/>
      <c r="QQK358" s="92"/>
      <c r="QQL358" s="92"/>
      <c r="QQM358" s="92"/>
      <c r="QQN358" s="92"/>
      <c r="QQO358" s="92"/>
      <c r="QQP358" s="92"/>
      <c r="QQQ358" s="92"/>
      <c r="QQR358" s="92"/>
      <c r="QQS358" s="92"/>
      <c r="QQT358" s="92"/>
      <c r="QQU358" s="92"/>
      <c r="QQV358" s="92"/>
      <c r="QQW358" s="92"/>
      <c r="QQX358" s="92"/>
      <c r="QQY358" s="92"/>
      <c r="QQZ358" s="92"/>
      <c r="QRA358" s="92"/>
      <c r="QRB358" s="92"/>
      <c r="QRC358" s="92"/>
      <c r="QRD358" s="92"/>
      <c r="QRE358" s="92"/>
      <c r="QRF358" s="92"/>
      <c r="QRG358" s="92"/>
      <c r="QRH358" s="92"/>
      <c r="QRI358" s="92"/>
      <c r="QRJ358" s="92"/>
      <c r="QRK358" s="92"/>
      <c r="QRL358" s="92"/>
      <c r="QRM358" s="92"/>
      <c r="QRN358" s="92"/>
      <c r="QRO358" s="92"/>
      <c r="QRP358" s="92"/>
      <c r="QRQ358" s="92"/>
      <c r="QRR358" s="92"/>
      <c r="QRS358" s="92"/>
      <c r="QRT358" s="92"/>
      <c r="QRU358" s="92"/>
      <c r="QRV358" s="92"/>
      <c r="QRW358" s="92"/>
      <c r="QRX358" s="92"/>
      <c r="QRY358" s="92"/>
      <c r="QRZ358" s="92"/>
      <c r="QSA358" s="92"/>
      <c r="QSB358" s="92"/>
      <c r="QSC358" s="92"/>
      <c r="QSD358" s="92"/>
      <c r="QSE358" s="92"/>
      <c r="QSF358" s="92"/>
      <c r="QSG358" s="92"/>
      <c r="QSH358" s="92"/>
      <c r="QSI358" s="92"/>
      <c r="QSJ358" s="92"/>
      <c r="QSK358" s="92"/>
      <c r="QSL358" s="92"/>
      <c r="QSM358" s="92"/>
      <c r="QSN358" s="92"/>
      <c r="QSO358" s="92"/>
      <c r="QSP358" s="92"/>
      <c r="QSQ358" s="92"/>
      <c r="QSR358" s="92"/>
      <c r="QSS358" s="92"/>
      <c r="QST358" s="92"/>
      <c r="QSU358" s="92"/>
      <c r="QSV358" s="92"/>
      <c r="QSW358" s="92"/>
      <c r="QSX358" s="92"/>
      <c r="QSY358" s="92"/>
      <c r="QSZ358" s="92"/>
      <c r="QTA358" s="92"/>
      <c r="QTB358" s="92"/>
      <c r="QTC358" s="92"/>
      <c r="QTD358" s="92"/>
      <c r="QTE358" s="92"/>
      <c r="QTF358" s="92"/>
      <c r="QTG358" s="92"/>
      <c r="QTH358" s="92"/>
      <c r="QTI358" s="92"/>
      <c r="QTJ358" s="92"/>
      <c r="QTK358" s="92"/>
      <c r="QTL358" s="92"/>
      <c r="QTM358" s="92"/>
      <c r="QTN358" s="92"/>
      <c r="QTO358" s="92"/>
      <c r="QTP358" s="92"/>
      <c r="QTQ358" s="92"/>
      <c r="QTR358" s="92"/>
      <c r="QTS358" s="92"/>
      <c r="QTT358" s="92"/>
      <c r="QTU358" s="92"/>
      <c r="QTV358" s="92"/>
      <c r="QTW358" s="92"/>
      <c r="QTX358" s="92"/>
      <c r="QTY358" s="92"/>
      <c r="QTZ358" s="92"/>
      <c r="QUA358" s="92"/>
      <c r="QUB358" s="92"/>
      <c r="QUC358" s="92"/>
      <c r="QUD358" s="92"/>
      <c r="QUE358" s="92"/>
      <c r="QUF358" s="92"/>
      <c r="QUG358" s="92"/>
      <c r="QUH358" s="92"/>
      <c r="QUI358" s="92"/>
      <c r="QUJ358" s="92"/>
      <c r="QUK358" s="92"/>
      <c r="QUL358" s="92"/>
      <c r="QUM358" s="92"/>
      <c r="QUN358" s="92"/>
      <c r="QUO358" s="92"/>
      <c r="QUP358" s="92"/>
      <c r="QUQ358" s="92"/>
      <c r="QUR358" s="92"/>
      <c r="QUS358" s="92"/>
      <c r="QUT358" s="92"/>
      <c r="QUU358" s="92"/>
      <c r="QUV358" s="92"/>
      <c r="QUW358" s="92"/>
      <c r="QUX358" s="92"/>
      <c r="QUY358" s="92"/>
      <c r="QUZ358" s="92"/>
      <c r="QVA358" s="92"/>
      <c r="QVB358" s="92"/>
      <c r="QVC358" s="92"/>
      <c r="QVD358" s="92"/>
      <c r="QVE358" s="92"/>
      <c r="QVF358" s="92"/>
      <c r="QVG358" s="92"/>
      <c r="QVH358" s="92"/>
      <c r="QVI358" s="92"/>
      <c r="QVJ358" s="92"/>
      <c r="QVK358" s="92"/>
      <c r="QVL358" s="92"/>
      <c r="QVM358" s="92"/>
      <c r="QVN358" s="92"/>
      <c r="QVO358" s="92"/>
      <c r="QVP358" s="92"/>
      <c r="QVQ358" s="92"/>
      <c r="QVR358" s="92"/>
      <c r="QVS358" s="92"/>
      <c r="QVT358" s="92"/>
      <c r="QVU358" s="92"/>
      <c r="QVV358" s="92"/>
      <c r="QVW358" s="92"/>
      <c r="QVX358" s="92"/>
      <c r="QVY358" s="92"/>
      <c r="QVZ358" s="92"/>
      <c r="QWA358" s="92"/>
      <c r="QWB358" s="92"/>
      <c r="QWC358" s="92"/>
      <c r="QWD358" s="92"/>
      <c r="QWE358" s="92"/>
      <c r="QWF358" s="92"/>
      <c r="QWG358" s="92"/>
      <c r="QWH358" s="92"/>
      <c r="QWI358" s="92"/>
      <c r="QWJ358" s="92"/>
      <c r="QWK358" s="92"/>
      <c r="QWL358" s="92"/>
      <c r="QWM358" s="92"/>
      <c r="QWN358" s="92"/>
      <c r="QWO358" s="92"/>
      <c r="QWP358" s="92"/>
      <c r="QWQ358" s="92"/>
      <c r="QWR358" s="92"/>
      <c r="QWS358" s="92"/>
      <c r="QWT358" s="92"/>
      <c r="QWU358" s="92"/>
      <c r="QWV358" s="92"/>
      <c r="QWW358" s="92"/>
      <c r="QWX358" s="92"/>
      <c r="QWY358" s="92"/>
      <c r="QWZ358" s="92"/>
      <c r="QXA358" s="92"/>
      <c r="QXB358" s="92"/>
      <c r="QXC358" s="92"/>
      <c r="QXD358" s="92"/>
      <c r="QXE358" s="92"/>
      <c r="QXF358" s="92"/>
      <c r="QXG358" s="92"/>
      <c r="QXH358" s="92"/>
      <c r="QXI358" s="92"/>
      <c r="QXJ358" s="92"/>
      <c r="QXK358" s="92"/>
      <c r="QXL358" s="92"/>
      <c r="QXM358" s="92"/>
      <c r="QXN358" s="92"/>
      <c r="QXO358" s="92"/>
      <c r="QXP358" s="92"/>
      <c r="QXQ358" s="92"/>
      <c r="QXR358" s="92"/>
      <c r="QXS358" s="92"/>
      <c r="QXT358" s="92"/>
      <c r="QXU358" s="92"/>
      <c r="QXV358" s="92"/>
      <c r="QXW358" s="92"/>
      <c r="QXX358" s="92"/>
      <c r="QXY358" s="92"/>
      <c r="QXZ358" s="92"/>
      <c r="QYA358" s="92"/>
      <c r="QYB358" s="92"/>
      <c r="QYC358" s="92"/>
      <c r="QYD358" s="92"/>
      <c r="QYE358" s="92"/>
      <c r="QYF358" s="92"/>
      <c r="QYG358" s="92"/>
      <c r="QYH358" s="92"/>
      <c r="QYI358" s="92"/>
      <c r="QYJ358" s="92"/>
      <c r="QYK358" s="92"/>
      <c r="QYL358" s="92"/>
      <c r="QYM358" s="92"/>
      <c r="QYN358" s="92"/>
      <c r="QYO358" s="92"/>
      <c r="QYP358" s="92"/>
      <c r="QYQ358" s="92"/>
      <c r="QYR358" s="92"/>
      <c r="QYS358" s="92"/>
      <c r="QYT358" s="92"/>
      <c r="QYU358" s="92"/>
      <c r="QYV358" s="92"/>
      <c r="QYW358" s="92"/>
      <c r="QYX358" s="92"/>
      <c r="QYY358" s="92"/>
      <c r="QYZ358" s="92"/>
      <c r="QZA358" s="92"/>
      <c r="QZB358" s="92"/>
      <c r="QZC358" s="92"/>
      <c r="QZD358" s="92"/>
      <c r="QZE358" s="92"/>
      <c r="QZF358" s="92"/>
      <c r="QZG358" s="92"/>
      <c r="QZH358" s="92"/>
      <c r="QZI358" s="92"/>
      <c r="QZJ358" s="92"/>
      <c r="QZK358" s="92"/>
      <c r="QZL358" s="92"/>
      <c r="QZM358" s="92"/>
      <c r="QZN358" s="92"/>
      <c r="QZO358" s="92"/>
      <c r="QZP358" s="92"/>
      <c r="QZQ358" s="92"/>
      <c r="QZR358" s="92"/>
      <c r="QZS358" s="92"/>
      <c r="QZT358" s="92"/>
      <c r="QZU358" s="92"/>
      <c r="QZV358" s="92"/>
      <c r="QZW358" s="92"/>
      <c r="QZX358" s="92"/>
      <c r="QZY358" s="92"/>
      <c r="QZZ358" s="92"/>
      <c r="RAA358" s="92"/>
      <c r="RAB358" s="92"/>
      <c r="RAC358" s="92"/>
      <c r="RAD358" s="92"/>
      <c r="RAE358" s="92"/>
      <c r="RAF358" s="92"/>
      <c r="RAG358" s="92"/>
      <c r="RAH358" s="92"/>
      <c r="RAI358" s="92"/>
      <c r="RAJ358" s="92"/>
      <c r="RAK358" s="92"/>
      <c r="RAL358" s="92"/>
      <c r="RAM358" s="92"/>
      <c r="RAN358" s="92"/>
      <c r="RAO358" s="92"/>
      <c r="RAP358" s="92"/>
      <c r="RAQ358" s="92"/>
      <c r="RAR358" s="92"/>
      <c r="RAS358" s="92"/>
      <c r="RAT358" s="92"/>
      <c r="RAU358" s="92"/>
      <c r="RAV358" s="92"/>
      <c r="RAW358" s="92"/>
      <c r="RAX358" s="92"/>
      <c r="RAY358" s="92"/>
      <c r="RAZ358" s="92"/>
      <c r="RBA358" s="92"/>
      <c r="RBB358" s="92"/>
      <c r="RBC358" s="92"/>
      <c r="RBD358" s="92"/>
      <c r="RBE358" s="92"/>
      <c r="RBF358" s="92"/>
      <c r="RBG358" s="92"/>
      <c r="RBH358" s="92"/>
      <c r="RBI358" s="92"/>
      <c r="RBJ358" s="92"/>
      <c r="RBK358" s="92"/>
      <c r="RBL358" s="92"/>
      <c r="RBM358" s="92"/>
      <c r="RBN358" s="92"/>
      <c r="RBO358" s="92"/>
      <c r="RBP358" s="92"/>
      <c r="RBQ358" s="92"/>
      <c r="RBR358" s="92"/>
      <c r="RBS358" s="92"/>
      <c r="RBT358" s="92"/>
      <c r="RBU358" s="92"/>
      <c r="RBV358" s="92"/>
      <c r="RBW358" s="92"/>
      <c r="RBX358" s="92"/>
      <c r="RBY358" s="92"/>
      <c r="RBZ358" s="92"/>
      <c r="RCA358" s="92"/>
      <c r="RCB358" s="92"/>
      <c r="RCC358" s="92"/>
      <c r="RCD358" s="92"/>
      <c r="RCE358" s="92"/>
      <c r="RCF358" s="92"/>
      <c r="RCG358" s="92"/>
      <c r="RCH358" s="92"/>
      <c r="RCI358" s="92"/>
      <c r="RCJ358" s="92"/>
      <c r="RCK358" s="92"/>
      <c r="RCL358" s="92"/>
      <c r="RCM358" s="92"/>
      <c r="RCN358" s="92"/>
      <c r="RCO358" s="92"/>
      <c r="RCP358" s="92"/>
      <c r="RCQ358" s="92"/>
      <c r="RCR358" s="92"/>
      <c r="RCS358" s="92"/>
      <c r="RCT358" s="92"/>
      <c r="RCU358" s="92"/>
      <c r="RCV358" s="92"/>
      <c r="RCW358" s="92"/>
      <c r="RCX358" s="92"/>
      <c r="RCY358" s="92"/>
      <c r="RCZ358" s="92"/>
      <c r="RDA358" s="92"/>
      <c r="RDB358" s="92"/>
      <c r="RDC358" s="92"/>
      <c r="RDD358" s="92"/>
      <c r="RDE358" s="92"/>
      <c r="RDF358" s="92"/>
      <c r="RDG358" s="92"/>
      <c r="RDH358" s="92"/>
      <c r="RDI358" s="92"/>
      <c r="RDJ358" s="92"/>
      <c r="RDK358" s="92"/>
      <c r="RDL358" s="92"/>
      <c r="RDM358" s="92"/>
      <c r="RDN358" s="92"/>
      <c r="RDO358" s="92"/>
      <c r="RDP358" s="92"/>
      <c r="RDQ358" s="92"/>
      <c r="RDR358" s="92"/>
      <c r="RDS358" s="92"/>
      <c r="RDT358" s="92"/>
      <c r="RDU358" s="92"/>
      <c r="RDV358" s="92"/>
      <c r="RDW358" s="92"/>
      <c r="RDX358" s="92"/>
      <c r="RDY358" s="92"/>
      <c r="RDZ358" s="92"/>
      <c r="REA358" s="92"/>
      <c r="REB358" s="92"/>
      <c r="REC358" s="92"/>
      <c r="RED358" s="92"/>
      <c r="REE358" s="92"/>
      <c r="REF358" s="92"/>
      <c r="REG358" s="92"/>
      <c r="REH358" s="92"/>
      <c r="REI358" s="92"/>
      <c r="REJ358" s="92"/>
      <c r="REK358" s="92"/>
      <c r="REL358" s="92"/>
      <c r="REM358" s="92"/>
      <c r="REN358" s="92"/>
      <c r="REO358" s="92"/>
      <c r="REP358" s="92"/>
      <c r="REQ358" s="92"/>
      <c r="RER358" s="92"/>
      <c r="RES358" s="92"/>
      <c r="RET358" s="92"/>
      <c r="REU358" s="92"/>
      <c r="REV358" s="92"/>
      <c r="REW358" s="92"/>
      <c r="REX358" s="92"/>
      <c r="REY358" s="92"/>
      <c r="REZ358" s="92"/>
      <c r="RFA358" s="92"/>
      <c r="RFB358" s="92"/>
      <c r="RFC358" s="92"/>
      <c r="RFD358" s="92"/>
      <c r="RFE358" s="92"/>
      <c r="RFF358" s="92"/>
      <c r="RFG358" s="92"/>
      <c r="RFH358" s="92"/>
      <c r="RFI358" s="92"/>
      <c r="RFJ358" s="92"/>
      <c r="RFK358" s="92"/>
      <c r="RFL358" s="92"/>
      <c r="RFM358" s="92"/>
      <c r="RFN358" s="92"/>
      <c r="RFO358" s="92"/>
      <c r="RFP358" s="92"/>
      <c r="RFQ358" s="92"/>
      <c r="RFR358" s="92"/>
      <c r="RFS358" s="92"/>
      <c r="RFT358" s="92"/>
      <c r="RFU358" s="92"/>
      <c r="RFV358" s="92"/>
      <c r="RFW358" s="92"/>
      <c r="RFX358" s="92"/>
      <c r="RFY358" s="92"/>
      <c r="RFZ358" s="92"/>
      <c r="RGA358" s="92"/>
      <c r="RGB358" s="92"/>
      <c r="RGC358" s="92"/>
      <c r="RGD358" s="92"/>
      <c r="RGE358" s="92"/>
      <c r="RGF358" s="92"/>
      <c r="RGG358" s="92"/>
      <c r="RGH358" s="92"/>
      <c r="RGI358" s="92"/>
      <c r="RGJ358" s="92"/>
      <c r="RGK358" s="92"/>
      <c r="RGL358" s="92"/>
      <c r="RGM358" s="92"/>
      <c r="RGN358" s="92"/>
      <c r="RGO358" s="92"/>
      <c r="RGP358" s="92"/>
      <c r="RGQ358" s="92"/>
      <c r="RGR358" s="92"/>
      <c r="RGS358" s="92"/>
      <c r="RGT358" s="92"/>
      <c r="RGU358" s="92"/>
      <c r="RGV358" s="92"/>
      <c r="RGW358" s="92"/>
      <c r="RGX358" s="92"/>
      <c r="RGY358" s="92"/>
      <c r="RGZ358" s="92"/>
      <c r="RHA358" s="92"/>
      <c r="RHB358" s="92"/>
      <c r="RHC358" s="92"/>
      <c r="RHD358" s="92"/>
      <c r="RHE358" s="92"/>
      <c r="RHF358" s="92"/>
      <c r="RHG358" s="92"/>
      <c r="RHH358" s="92"/>
      <c r="RHI358" s="92"/>
      <c r="RHJ358" s="92"/>
      <c r="RHK358" s="92"/>
      <c r="RHL358" s="92"/>
      <c r="RHM358" s="92"/>
      <c r="RHN358" s="92"/>
      <c r="RHO358" s="92"/>
      <c r="RHP358" s="92"/>
      <c r="RHQ358" s="92"/>
      <c r="RHR358" s="92"/>
      <c r="RHS358" s="92"/>
      <c r="RHT358" s="92"/>
      <c r="RHU358" s="92"/>
      <c r="RHV358" s="92"/>
      <c r="RHW358" s="92"/>
      <c r="RHX358" s="92"/>
      <c r="RHY358" s="92"/>
      <c r="RHZ358" s="92"/>
      <c r="RIA358" s="92"/>
      <c r="RIB358" s="92"/>
      <c r="RIC358" s="92"/>
      <c r="RID358" s="92"/>
      <c r="RIE358" s="92"/>
      <c r="RIF358" s="92"/>
      <c r="RIG358" s="92"/>
      <c r="RIH358" s="92"/>
      <c r="RII358" s="92"/>
      <c r="RIJ358" s="92"/>
      <c r="RIK358" s="92"/>
      <c r="RIL358" s="92"/>
      <c r="RIM358" s="92"/>
      <c r="RIN358" s="92"/>
      <c r="RIO358" s="92"/>
      <c r="RIP358" s="92"/>
      <c r="RIQ358" s="92"/>
      <c r="RIR358" s="92"/>
      <c r="RIS358" s="92"/>
      <c r="RIT358" s="92"/>
      <c r="RIU358" s="92"/>
      <c r="RIV358" s="92"/>
      <c r="RIW358" s="92"/>
      <c r="RIX358" s="92"/>
      <c r="RIY358" s="92"/>
      <c r="RIZ358" s="92"/>
      <c r="RJA358" s="92"/>
      <c r="RJB358" s="92"/>
      <c r="RJC358" s="92"/>
      <c r="RJD358" s="92"/>
      <c r="RJE358" s="92"/>
      <c r="RJF358" s="92"/>
      <c r="RJG358" s="92"/>
      <c r="RJH358" s="92"/>
      <c r="RJI358" s="92"/>
      <c r="RJJ358" s="92"/>
      <c r="RJK358" s="92"/>
      <c r="RJL358" s="92"/>
      <c r="RJM358" s="92"/>
      <c r="RJN358" s="92"/>
      <c r="RJO358" s="92"/>
      <c r="RJP358" s="92"/>
      <c r="RJQ358" s="92"/>
      <c r="RJR358" s="92"/>
      <c r="RJS358" s="92"/>
      <c r="RJT358" s="92"/>
      <c r="RJU358" s="92"/>
      <c r="RJV358" s="92"/>
      <c r="RJW358" s="92"/>
      <c r="RJX358" s="92"/>
      <c r="RJY358" s="92"/>
      <c r="RJZ358" s="92"/>
      <c r="RKA358" s="92"/>
      <c r="RKB358" s="92"/>
      <c r="RKC358" s="92"/>
      <c r="RKD358" s="92"/>
      <c r="RKE358" s="92"/>
      <c r="RKF358" s="92"/>
      <c r="RKG358" s="92"/>
      <c r="RKH358" s="92"/>
      <c r="RKI358" s="92"/>
      <c r="RKJ358" s="92"/>
      <c r="RKK358" s="92"/>
      <c r="RKL358" s="92"/>
      <c r="RKM358" s="92"/>
      <c r="RKN358" s="92"/>
      <c r="RKO358" s="92"/>
      <c r="RKP358" s="92"/>
      <c r="RKQ358" s="92"/>
      <c r="RKR358" s="92"/>
      <c r="RKS358" s="92"/>
      <c r="RKT358" s="92"/>
      <c r="RKU358" s="92"/>
      <c r="RKV358" s="92"/>
      <c r="RKW358" s="92"/>
      <c r="RKX358" s="92"/>
      <c r="RKY358" s="92"/>
      <c r="RKZ358" s="92"/>
      <c r="RLA358" s="92"/>
      <c r="RLB358" s="92"/>
      <c r="RLC358" s="92"/>
      <c r="RLD358" s="92"/>
      <c r="RLE358" s="92"/>
      <c r="RLF358" s="92"/>
      <c r="RLG358" s="92"/>
      <c r="RLH358" s="92"/>
      <c r="RLI358" s="92"/>
      <c r="RLJ358" s="92"/>
      <c r="RLK358" s="92"/>
      <c r="RLL358" s="92"/>
      <c r="RLM358" s="92"/>
      <c r="RLN358" s="92"/>
      <c r="RLO358" s="92"/>
      <c r="RLP358" s="92"/>
      <c r="RLQ358" s="92"/>
      <c r="RLR358" s="92"/>
      <c r="RLS358" s="92"/>
      <c r="RLT358" s="92"/>
      <c r="RLU358" s="92"/>
      <c r="RLV358" s="92"/>
      <c r="RLW358" s="92"/>
      <c r="RLX358" s="92"/>
      <c r="RLY358" s="92"/>
      <c r="RLZ358" s="92"/>
      <c r="RMA358" s="92"/>
      <c r="RMB358" s="92"/>
      <c r="RMC358" s="92"/>
      <c r="RMD358" s="92"/>
      <c r="RME358" s="92"/>
      <c r="RMF358" s="92"/>
      <c r="RMG358" s="92"/>
      <c r="RMH358" s="92"/>
      <c r="RMI358" s="92"/>
      <c r="RMJ358" s="92"/>
      <c r="RMK358" s="92"/>
      <c r="RML358" s="92"/>
      <c r="RMM358" s="92"/>
      <c r="RMN358" s="92"/>
      <c r="RMO358" s="92"/>
      <c r="RMP358" s="92"/>
      <c r="RMQ358" s="92"/>
      <c r="RMR358" s="92"/>
      <c r="RMS358" s="92"/>
      <c r="RMT358" s="92"/>
      <c r="RMU358" s="92"/>
      <c r="RMV358" s="92"/>
      <c r="RMW358" s="92"/>
      <c r="RMX358" s="92"/>
      <c r="RMY358" s="92"/>
      <c r="RMZ358" s="92"/>
      <c r="RNA358" s="92"/>
      <c r="RNB358" s="92"/>
      <c r="RNC358" s="92"/>
      <c r="RND358" s="92"/>
      <c r="RNE358" s="92"/>
      <c r="RNF358" s="92"/>
      <c r="RNG358" s="92"/>
      <c r="RNH358" s="92"/>
      <c r="RNI358" s="92"/>
      <c r="RNJ358" s="92"/>
      <c r="RNK358" s="92"/>
      <c r="RNL358" s="92"/>
      <c r="RNM358" s="92"/>
      <c r="RNN358" s="92"/>
      <c r="RNO358" s="92"/>
      <c r="RNP358" s="92"/>
      <c r="RNQ358" s="92"/>
      <c r="RNR358" s="92"/>
      <c r="RNS358" s="92"/>
      <c r="RNT358" s="92"/>
      <c r="RNU358" s="92"/>
      <c r="RNV358" s="92"/>
      <c r="RNW358" s="92"/>
      <c r="RNX358" s="92"/>
      <c r="RNY358" s="92"/>
      <c r="RNZ358" s="92"/>
      <c r="ROA358" s="92"/>
      <c r="ROB358" s="92"/>
      <c r="ROC358" s="92"/>
      <c r="ROD358" s="92"/>
      <c r="ROE358" s="92"/>
      <c r="ROF358" s="92"/>
      <c r="ROG358" s="92"/>
      <c r="ROH358" s="92"/>
      <c r="ROI358" s="92"/>
      <c r="ROJ358" s="92"/>
      <c r="ROK358" s="92"/>
      <c r="ROL358" s="92"/>
      <c r="ROM358" s="92"/>
      <c r="RON358" s="92"/>
      <c r="ROO358" s="92"/>
      <c r="ROP358" s="92"/>
      <c r="ROQ358" s="92"/>
      <c r="ROR358" s="92"/>
      <c r="ROS358" s="92"/>
      <c r="ROT358" s="92"/>
      <c r="ROU358" s="92"/>
      <c r="ROV358" s="92"/>
      <c r="ROW358" s="92"/>
      <c r="ROX358" s="92"/>
      <c r="ROY358" s="92"/>
      <c r="ROZ358" s="92"/>
      <c r="RPA358" s="92"/>
      <c r="RPB358" s="92"/>
      <c r="RPC358" s="92"/>
      <c r="RPD358" s="92"/>
      <c r="RPE358" s="92"/>
      <c r="RPF358" s="92"/>
      <c r="RPG358" s="92"/>
      <c r="RPH358" s="92"/>
      <c r="RPI358" s="92"/>
      <c r="RPJ358" s="92"/>
      <c r="RPK358" s="92"/>
      <c r="RPL358" s="92"/>
      <c r="RPM358" s="92"/>
      <c r="RPN358" s="92"/>
      <c r="RPO358" s="92"/>
      <c r="RPP358" s="92"/>
      <c r="RPQ358" s="92"/>
      <c r="RPR358" s="92"/>
      <c r="RPS358" s="92"/>
      <c r="RPT358" s="92"/>
      <c r="RPU358" s="92"/>
      <c r="RPV358" s="92"/>
      <c r="RPW358" s="92"/>
      <c r="RPX358" s="92"/>
      <c r="RPY358" s="92"/>
      <c r="RPZ358" s="92"/>
      <c r="RQA358" s="92"/>
      <c r="RQB358" s="92"/>
      <c r="RQC358" s="92"/>
      <c r="RQD358" s="92"/>
      <c r="RQE358" s="92"/>
      <c r="RQF358" s="92"/>
      <c r="RQG358" s="92"/>
      <c r="RQH358" s="92"/>
      <c r="RQI358" s="92"/>
      <c r="RQJ358" s="92"/>
      <c r="RQK358" s="92"/>
      <c r="RQL358" s="92"/>
      <c r="RQM358" s="92"/>
      <c r="RQN358" s="92"/>
      <c r="RQO358" s="92"/>
      <c r="RQP358" s="92"/>
      <c r="RQQ358" s="92"/>
      <c r="RQR358" s="92"/>
      <c r="RQS358" s="92"/>
      <c r="RQT358" s="92"/>
      <c r="RQU358" s="92"/>
      <c r="RQV358" s="92"/>
      <c r="RQW358" s="92"/>
      <c r="RQX358" s="92"/>
      <c r="RQY358" s="92"/>
      <c r="RQZ358" s="92"/>
      <c r="RRA358" s="92"/>
      <c r="RRB358" s="92"/>
      <c r="RRC358" s="92"/>
      <c r="RRD358" s="92"/>
      <c r="RRE358" s="92"/>
      <c r="RRF358" s="92"/>
      <c r="RRG358" s="92"/>
      <c r="RRH358" s="92"/>
      <c r="RRI358" s="92"/>
      <c r="RRJ358" s="92"/>
      <c r="RRK358" s="92"/>
      <c r="RRL358" s="92"/>
      <c r="RRM358" s="92"/>
      <c r="RRN358" s="92"/>
      <c r="RRO358" s="92"/>
      <c r="RRP358" s="92"/>
      <c r="RRQ358" s="92"/>
      <c r="RRR358" s="92"/>
      <c r="RRS358" s="92"/>
      <c r="RRT358" s="92"/>
      <c r="RRU358" s="92"/>
      <c r="RRV358" s="92"/>
      <c r="RRW358" s="92"/>
      <c r="RRX358" s="92"/>
      <c r="RRY358" s="92"/>
      <c r="RRZ358" s="92"/>
      <c r="RSA358" s="92"/>
      <c r="RSB358" s="92"/>
      <c r="RSC358" s="92"/>
      <c r="RSD358" s="92"/>
      <c r="RSE358" s="92"/>
      <c r="RSF358" s="92"/>
      <c r="RSG358" s="92"/>
      <c r="RSH358" s="92"/>
      <c r="RSI358" s="92"/>
      <c r="RSJ358" s="92"/>
      <c r="RSK358" s="92"/>
      <c r="RSL358" s="92"/>
      <c r="RSM358" s="92"/>
      <c r="RSN358" s="92"/>
      <c r="RSO358" s="92"/>
      <c r="RSP358" s="92"/>
      <c r="RSQ358" s="92"/>
      <c r="RSR358" s="92"/>
      <c r="RSS358" s="92"/>
      <c r="RST358" s="92"/>
      <c r="RSU358" s="92"/>
      <c r="RSV358" s="92"/>
      <c r="RSW358" s="92"/>
      <c r="RSX358" s="92"/>
      <c r="RSY358" s="92"/>
      <c r="RSZ358" s="92"/>
      <c r="RTA358" s="92"/>
      <c r="RTB358" s="92"/>
      <c r="RTC358" s="92"/>
      <c r="RTD358" s="92"/>
      <c r="RTE358" s="92"/>
      <c r="RTF358" s="92"/>
      <c r="RTG358" s="92"/>
      <c r="RTH358" s="92"/>
      <c r="RTI358" s="92"/>
      <c r="RTJ358" s="92"/>
      <c r="RTK358" s="92"/>
      <c r="RTL358" s="92"/>
      <c r="RTM358" s="92"/>
      <c r="RTN358" s="92"/>
      <c r="RTO358" s="92"/>
      <c r="RTP358" s="92"/>
      <c r="RTQ358" s="92"/>
      <c r="RTR358" s="92"/>
      <c r="RTS358" s="92"/>
      <c r="RTT358" s="92"/>
      <c r="RTU358" s="92"/>
      <c r="RTV358" s="92"/>
      <c r="RTW358" s="92"/>
      <c r="RTX358" s="92"/>
      <c r="RTY358" s="92"/>
      <c r="RTZ358" s="92"/>
      <c r="RUA358" s="92"/>
      <c r="RUB358" s="92"/>
      <c r="RUC358" s="92"/>
      <c r="RUD358" s="92"/>
      <c r="RUE358" s="92"/>
      <c r="RUF358" s="92"/>
      <c r="RUG358" s="92"/>
      <c r="RUH358" s="92"/>
      <c r="RUI358" s="92"/>
      <c r="RUJ358" s="92"/>
      <c r="RUK358" s="92"/>
      <c r="RUL358" s="92"/>
      <c r="RUM358" s="92"/>
      <c r="RUN358" s="92"/>
      <c r="RUO358" s="92"/>
      <c r="RUP358" s="92"/>
      <c r="RUQ358" s="92"/>
      <c r="RUR358" s="92"/>
      <c r="RUS358" s="92"/>
      <c r="RUT358" s="92"/>
      <c r="RUU358" s="92"/>
      <c r="RUV358" s="92"/>
      <c r="RUW358" s="92"/>
      <c r="RUX358" s="92"/>
      <c r="RUY358" s="92"/>
      <c r="RUZ358" s="92"/>
      <c r="RVA358" s="92"/>
      <c r="RVB358" s="92"/>
      <c r="RVC358" s="92"/>
      <c r="RVD358" s="92"/>
      <c r="RVE358" s="92"/>
      <c r="RVF358" s="92"/>
      <c r="RVG358" s="92"/>
      <c r="RVH358" s="92"/>
      <c r="RVI358" s="92"/>
      <c r="RVJ358" s="92"/>
      <c r="RVK358" s="92"/>
      <c r="RVL358" s="92"/>
      <c r="RVM358" s="92"/>
      <c r="RVN358" s="92"/>
      <c r="RVO358" s="92"/>
      <c r="RVP358" s="92"/>
      <c r="RVQ358" s="92"/>
      <c r="RVR358" s="92"/>
      <c r="RVS358" s="92"/>
      <c r="RVT358" s="92"/>
      <c r="RVU358" s="92"/>
      <c r="RVV358" s="92"/>
      <c r="RVW358" s="92"/>
      <c r="RVX358" s="92"/>
      <c r="RVY358" s="92"/>
      <c r="RVZ358" s="92"/>
      <c r="RWA358" s="92"/>
      <c r="RWB358" s="92"/>
      <c r="RWC358" s="92"/>
      <c r="RWD358" s="92"/>
      <c r="RWE358" s="92"/>
      <c r="RWF358" s="92"/>
      <c r="RWG358" s="92"/>
      <c r="RWH358" s="92"/>
      <c r="RWI358" s="92"/>
      <c r="RWJ358" s="92"/>
      <c r="RWK358" s="92"/>
      <c r="RWL358" s="92"/>
      <c r="RWM358" s="92"/>
      <c r="RWN358" s="92"/>
      <c r="RWO358" s="92"/>
      <c r="RWP358" s="92"/>
      <c r="RWQ358" s="92"/>
      <c r="RWR358" s="92"/>
      <c r="RWS358" s="92"/>
      <c r="RWT358" s="92"/>
      <c r="RWU358" s="92"/>
      <c r="RWV358" s="92"/>
      <c r="RWW358" s="92"/>
      <c r="RWX358" s="92"/>
      <c r="RWY358" s="92"/>
      <c r="RWZ358" s="92"/>
      <c r="RXA358" s="92"/>
      <c r="RXB358" s="92"/>
      <c r="RXC358" s="92"/>
      <c r="RXD358" s="92"/>
      <c r="RXE358" s="92"/>
      <c r="RXF358" s="92"/>
      <c r="RXG358" s="92"/>
      <c r="RXH358" s="92"/>
      <c r="RXI358" s="92"/>
      <c r="RXJ358" s="92"/>
      <c r="RXK358" s="92"/>
      <c r="RXL358" s="92"/>
      <c r="RXM358" s="92"/>
      <c r="RXN358" s="92"/>
      <c r="RXO358" s="92"/>
      <c r="RXP358" s="92"/>
      <c r="RXQ358" s="92"/>
      <c r="RXR358" s="92"/>
      <c r="RXS358" s="92"/>
      <c r="RXT358" s="92"/>
      <c r="RXU358" s="92"/>
      <c r="RXV358" s="92"/>
      <c r="RXW358" s="92"/>
      <c r="RXX358" s="92"/>
      <c r="RXY358" s="92"/>
      <c r="RXZ358" s="92"/>
      <c r="RYA358" s="92"/>
      <c r="RYB358" s="92"/>
      <c r="RYC358" s="92"/>
      <c r="RYD358" s="92"/>
      <c r="RYE358" s="92"/>
      <c r="RYF358" s="92"/>
      <c r="RYG358" s="92"/>
      <c r="RYH358" s="92"/>
      <c r="RYI358" s="92"/>
      <c r="RYJ358" s="92"/>
      <c r="RYK358" s="92"/>
      <c r="RYL358" s="92"/>
      <c r="RYM358" s="92"/>
      <c r="RYN358" s="92"/>
      <c r="RYO358" s="92"/>
      <c r="RYP358" s="92"/>
      <c r="RYQ358" s="92"/>
      <c r="RYR358" s="92"/>
      <c r="RYS358" s="92"/>
      <c r="RYT358" s="92"/>
      <c r="RYU358" s="92"/>
      <c r="RYV358" s="92"/>
      <c r="RYW358" s="92"/>
      <c r="RYX358" s="92"/>
      <c r="RYY358" s="92"/>
      <c r="RYZ358" s="92"/>
      <c r="RZA358" s="92"/>
      <c r="RZB358" s="92"/>
      <c r="RZC358" s="92"/>
      <c r="RZD358" s="92"/>
      <c r="RZE358" s="92"/>
      <c r="RZF358" s="92"/>
      <c r="RZG358" s="92"/>
      <c r="RZH358" s="92"/>
      <c r="RZI358" s="92"/>
      <c r="RZJ358" s="92"/>
      <c r="RZK358" s="92"/>
      <c r="RZL358" s="92"/>
      <c r="RZM358" s="92"/>
      <c r="RZN358" s="92"/>
      <c r="RZO358" s="92"/>
      <c r="RZP358" s="92"/>
      <c r="RZQ358" s="92"/>
      <c r="RZR358" s="92"/>
      <c r="RZS358" s="92"/>
      <c r="RZT358" s="92"/>
      <c r="RZU358" s="92"/>
      <c r="RZV358" s="92"/>
      <c r="RZW358" s="92"/>
      <c r="RZX358" s="92"/>
      <c r="RZY358" s="92"/>
      <c r="RZZ358" s="92"/>
      <c r="SAA358" s="92"/>
      <c r="SAB358" s="92"/>
      <c r="SAC358" s="92"/>
      <c r="SAD358" s="92"/>
      <c r="SAE358" s="92"/>
      <c r="SAF358" s="92"/>
      <c r="SAG358" s="92"/>
      <c r="SAH358" s="92"/>
      <c r="SAI358" s="92"/>
      <c r="SAJ358" s="92"/>
      <c r="SAK358" s="92"/>
      <c r="SAL358" s="92"/>
      <c r="SAM358" s="92"/>
      <c r="SAN358" s="92"/>
      <c r="SAO358" s="92"/>
      <c r="SAP358" s="92"/>
      <c r="SAQ358" s="92"/>
      <c r="SAR358" s="92"/>
      <c r="SAS358" s="92"/>
      <c r="SAT358" s="92"/>
      <c r="SAU358" s="92"/>
      <c r="SAV358" s="92"/>
      <c r="SAW358" s="92"/>
      <c r="SAX358" s="92"/>
      <c r="SAY358" s="92"/>
      <c r="SAZ358" s="92"/>
      <c r="SBA358" s="92"/>
      <c r="SBB358" s="92"/>
      <c r="SBC358" s="92"/>
      <c r="SBD358" s="92"/>
      <c r="SBE358" s="92"/>
      <c r="SBF358" s="92"/>
      <c r="SBG358" s="92"/>
      <c r="SBH358" s="92"/>
      <c r="SBI358" s="92"/>
      <c r="SBJ358" s="92"/>
      <c r="SBK358" s="92"/>
      <c r="SBL358" s="92"/>
      <c r="SBM358" s="92"/>
      <c r="SBN358" s="92"/>
      <c r="SBO358" s="92"/>
      <c r="SBP358" s="92"/>
      <c r="SBQ358" s="92"/>
      <c r="SBR358" s="92"/>
      <c r="SBS358" s="92"/>
      <c r="SBT358" s="92"/>
      <c r="SBU358" s="92"/>
      <c r="SBV358" s="92"/>
      <c r="SBW358" s="92"/>
      <c r="SBX358" s="92"/>
      <c r="SBY358" s="92"/>
      <c r="SBZ358" s="92"/>
      <c r="SCA358" s="92"/>
      <c r="SCB358" s="92"/>
      <c r="SCC358" s="92"/>
      <c r="SCD358" s="92"/>
      <c r="SCE358" s="92"/>
      <c r="SCF358" s="92"/>
      <c r="SCG358" s="92"/>
      <c r="SCH358" s="92"/>
      <c r="SCI358" s="92"/>
      <c r="SCJ358" s="92"/>
      <c r="SCK358" s="92"/>
      <c r="SCL358" s="92"/>
      <c r="SCM358" s="92"/>
      <c r="SCN358" s="92"/>
      <c r="SCO358" s="92"/>
      <c r="SCP358" s="92"/>
      <c r="SCQ358" s="92"/>
      <c r="SCR358" s="92"/>
      <c r="SCS358" s="92"/>
      <c r="SCT358" s="92"/>
      <c r="SCU358" s="92"/>
      <c r="SCV358" s="92"/>
      <c r="SCW358" s="92"/>
      <c r="SCX358" s="92"/>
      <c r="SCY358" s="92"/>
      <c r="SCZ358" s="92"/>
      <c r="SDA358" s="92"/>
      <c r="SDB358" s="92"/>
      <c r="SDC358" s="92"/>
      <c r="SDD358" s="92"/>
      <c r="SDE358" s="92"/>
      <c r="SDF358" s="92"/>
      <c r="SDG358" s="92"/>
      <c r="SDH358" s="92"/>
      <c r="SDI358" s="92"/>
      <c r="SDJ358" s="92"/>
      <c r="SDK358" s="92"/>
      <c r="SDL358" s="92"/>
      <c r="SDM358" s="92"/>
      <c r="SDN358" s="92"/>
      <c r="SDO358" s="92"/>
      <c r="SDP358" s="92"/>
      <c r="SDQ358" s="92"/>
      <c r="SDR358" s="92"/>
      <c r="SDS358" s="92"/>
      <c r="SDT358" s="92"/>
      <c r="SDU358" s="92"/>
      <c r="SDV358" s="92"/>
      <c r="SDW358" s="92"/>
      <c r="SDX358" s="92"/>
      <c r="SDY358" s="92"/>
      <c r="SDZ358" s="92"/>
      <c r="SEA358" s="92"/>
      <c r="SEB358" s="92"/>
      <c r="SEC358" s="92"/>
      <c r="SED358" s="92"/>
      <c r="SEE358" s="92"/>
      <c r="SEF358" s="92"/>
      <c r="SEG358" s="92"/>
      <c r="SEH358" s="92"/>
      <c r="SEI358" s="92"/>
      <c r="SEJ358" s="92"/>
      <c r="SEK358" s="92"/>
      <c r="SEL358" s="92"/>
      <c r="SEM358" s="92"/>
      <c r="SEN358" s="92"/>
      <c r="SEO358" s="92"/>
      <c r="SEP358" s="92"/>
      <c r="SEQ358" s="92"/>
      <c r="SER358" s="92"/>
      <c r="SES358" s="92"/>
      <c r="SET358" s="92"/>
      <c r="SEU358" s="92"/>
      <c r="SEV358" s="92"/>
      <c r="SEW358" s="92"/>
      <c r="SEX358" s="92"/>
      <c r="SEY358" s="92"/>
      <c r="SEZ358" s="92"/>
      <c r="SFA358" s="92"/>
      <c r="SFB358" s="92"/>
      <c r="SFC358" s="92"/>
      <c r="SFD358" s="92"/>
      <c r="SFE358" s="92"/>
      <c r="SFF358" s="92"/>
      <c r="SFG358" s="92"/>
      <c r="SFH358" s="92"/>
      <c r="SFI358" s="92"/>
      <c r="SFJ358" s="92"/>
      <c r="SFK358" s="92"/>
      <c r="SFL358" s="92"/>
      <c r="SFM358" s="92"/>
      <c r="SFN358" s="92"/>
      <c r="SFO358" s="92"/>
      <c r="SFP358" s="92"/>
      <c r="SFQ358" s="92"/>
      <c r="SFR358" s="92"/>
      <c r="SFS358" s="92"/>
      <c r="SFT358" s="92"/>
      <c r="SFU358" s="92"/>
      <c r="SFV358" s="92"/>
      <c r="SFW358" s="92"/>
      <c r="SFX358" s="92"/>
      <c r="SFY358" s="92"/>
      <c r="SFZ358" s="92"/>
      <c r="SGA358" s="92"/>
      <c r="SGB358" s="92"/>
      <c r="SGC358" s="92"/>
      <c r="SGD358" s="92"/>
      <c r="SGE358" s="92"/>
      <c r="SGF358" s="92"/>
      <c r="SGG358" s="92"/>
      <c r="SGH358" s="92"/>
      <c r="SGI358" s="92"/>
      <c r="SGJ358" s="92"/>
      <c r="SGK358" s="92"/>
      <c r="SGL358" s="92"/>
      <c r="SGM358" s="92"/>
      <c r="SGN358" s="92"/>
      <c r="SGO358" s="92"/>
      <c r="SGP358" s="92"/>
      <c r="SGQ358" s="92"/>
      <c r="SGR358" s="92"/>
      <c r="SGS358" s="92"/>
      <c r="SGT358" s="92"/>
      <c r="SGU358" s="92"/>
      <c r="SGV358" s="92"/>
      <c r="SGW358" s="92"/>
      <c r="SGX358" s="92"/>
      <c r="SGY358" s="92"/>
      <c r="SGZ358" s="92"/>
      <c r="SHA358" s="92"/>
      <c r="SHB358" s="92"/>
      <c r="SHC358" s="92"/>
      <c r="SHD358" s="92"/>
      <c r="SHE358" s="92"/>
      <c r="SHF358" s="92"/>
      <c r="SHG358" s="92"/>
      <c r="SHH358" s="92"/>
      <c r="SHI358" s="92"/>
      <c r="SHJ358" s="92"/>
      <c r="SHK358" s="92"/>
      <c r="SHL358" s="92"/>
      <c r="SHM358" s="92"/>
      <c r="SHN358" s="92"/>
      <c r="SHO358" s="92"/>
      <c r="SHP358" s="92"/>
      <c r="SHQ358" s="92"/>
      <c r="SHR358" s="92"/>
      <c r="SHS358" s="92"/>
      <c r="SHT358" s="92"/>
      <c r="SHU358" s="92"/>
      <c r="SHV358" s="92"/>
      <c r="SHW358" s="92"/>
      <c r="SHX358" s="92"/>
      <c r="SHY358" s="92"/>
      <c r="SHZ358" s="92"/>
      <c r="SIA358" s="92"/>
      <c r="SIB358" s="92"/>
      <c r="SIC358" s="92"/>
      <c r="SID358" s="92"/>
      <c r="SIE358" s="92"/>
      <c r="SIF358" s="92"/>
      <c r="SIG358" s="92"/>
      <c r="SIH358" s="92"/>
      <c r="SII358" s="92"/>
      <c r="SIJ358" s="92"/>
      <c r="SIK358" s="92"/>
      <c r="SIL358" s="92"/>
      <c r="SIM358" s="92"/>
      <c r="SIN358" s="92"/>
      <c r="SIO358" s="92"/>
      <c r="SIP358" s="92"/>
      <c r="SIQ358" s="92"/>
      <c r="SIR358" s="92"/>
      <c r="SIS358" s="92"/>
      <c r="SIT358" s="92"/>
      <c r="SIU358" s="92"/>
      <c r="SIV358" s="92"/>
      <c r="SIW358" s="92"/>
      <c r="SIX358" s="92"/>
      <c r="SIY358" s="92"/>
      <c r="SIZ358" s="92"/>
      <c r="SJA358" s="92"/>
      <c r="SJB358" s="92"/>
      <c r="SJC358" s="92"/>
      <c r="SJD358" s="92"/>
      <c r="SJE358" s="92"/>
      <c r="SJF358" s="92"/>
      <c r="SJG358" s="92"/>
      <c r="SJH358" s="92"/>
      <c r="SJI358" s="92"/>
      <c r="SJJ358" s="92"/>
      <c r="SJK358" s="92"/>
      <c r="SJL358" s="92"/>
      <c r="SJM358" s="92"/>
      <c r="SJN358" s="92"/>
      <c r="SJO358" s="92"/>
      <c r="SJP358" s="92"/>
      <c r="SJQ358" s="92"/>
      <c r="SJR358" s="92"/>
      <c r="SJS358" s="92"/>
      <c r="SJT358" s="92"/>
      <c r="SJU358" s="92"/>
      <c r="SJV358" s="92"/>
      <c r="SJW358" s="92"/>
      <c r="SJX358" s="92"/>
      <c r="SJY358" s="92"/>
      <c r="SJZ358" s="92"/>
      <c r="SKA358" s="92"/>
      <c r="SKB358" s="92"/>
      <c r="SKC358" s="92"/>
      <c r="SKD358" s="92"/>
      <c r="SKE358" s="92"/>
      <c r="SKF358" s="92"/>
      <c r="SKG358" s="92"/>
      <c r="SKH358" s="92"/>
      <c r="SKI358" s="92"/>
      <c r="SKJ358" s="92"/>
      <c r="SKK358" s="92"/>
      <c r="SKL358" s="92"/>
      <c r="SKM358" s="92"/>
      <c r="SKN358" s="92"/>
      <c r="SKO358" s="92"/>
      <c r="SKP358" s="92"/>
      <c r="SKQ358" s="92"/>
      <c r="SKR358" s="92"/>
      <c r="SKS358" s="92"/>
      <c r="SKT358" s="92"/>
      <c r="SKU358" s="92"/>
      <c r="SKV358" s="92"/>
      <c r="SKW358" s="92"/>
      <c r="SKX358" s="92"/>
      <c r="SKY358" s="92"/>
      <c r="SKZ358" s="92"/>
      <c r="SLA358" s="92"/>
      <c r="SLB358" s="92"/>
      <c r="SLC358" s="92"/>
      <c r="SLD358" s="92"/>
      <c r="SLE358" s="92"/>
      <c r="SLF358" s="92"/>
      <c r="SLG358" s="92"/>
      <c r="SLH358" s="92"/>
      <c r="SLI358" s="92"/>
      <c r="SLJ358" s="92"/>
      <c r="SLK358" s="92"/>
      <c r="SLL358" s="92"/>
      <c r="SLM358" s="92"/>
      <c r="SLN358" s="92"/>
      <c r="SLO358" s="92"/>
      <c r="SLP358" s="92"/>
      <c r="SLQ358" s="92"/>
      <c r="SLR358" s="92"/>
      <c r="SLS358" s="92"/>
      <c r="SLT358" s="92"/>
      <c r="SLU358" s="92"/>
      <c r="SLV358" s="92"/>
      <c r="SLW358" s="92"/>
      <c r="SLX358" s="92"/>
      <c r="SLY358" s="92"/>
      <c r="SLZ358" s="92"/>
      <c r="SMA358" s="92"/>
      <c r="SMB358" s="92"/>
      <c r="SMC358" s="92"/>
      <c r="SMD358" s="92"/>
      <c r="SME358" s="92"/>
      <c r="SMF358" s="92"/>
      <c r="SMG358" s="92"/>
      <c r="SMH358" s="92"/>
      <c r="SMI358" s="92"/>
      <c r="SMJ358" s="92"/>
      <c r="SMK358" s="92"/>
      <c r="SML358" s="92"/>
      <c r="SMM358" s="92"/>
      <c r="SMN358" s="92"/>
      <c r="SMO358" s="92"/>
      <c r="SMP358" s="92"/>
      <c r="SMQ358" s="92"/>
      <c r="SMR358" s="92"/>
      <c r="SMS358" s="92"/>
      <c r="SMT358" s="92"/>
      <c r="SMU358" s="92"/>
      <c r="SMV358" s="92"/>
      <c r="SMW358" s="92"/>
      <c r="SMX358" s="92"/>
      <c r="SMY358" s="92"/>
      <c r="SMZ358" s="92"/>
      <c r="SNA358" s="92"/>
      <c r="SNB358" s="92"/>
      <c r="SNC358" s="92"/>
      <c r="SND358" s="92"/>
      <c r="SNE358" s="92"/>
      <c r="SNF358" s="92"/>
      <c r="SNG358" s="92"/>
      <c r="SNH358" s="92"/>
      <c r="SNI358" s="92"/>
      <c r="SNJ358" s="92"/>
      <c r="SNK358" s="92"/>
      <c r="SNL358" s="92"/>
      <c r="SNM358" s="92"/>
      <c r="SNN358" s="92"/>
      <c r="SNO358" s="92"/>
      <c r="SNP358" s="92"/>
      <c r="SNQ358" s="92"/>
      <c r="SNR358" s="92"/>
      <c r="SNS358" s="92"/>
      <c r="SNT358" s="92"/>
      <c r="SNU358" s="92"/>
      <c r="SNV358" s="92"/>
      <c r="SNW358" s="92"/>
      <c r="SNX358" s="92"/>
      <c r="SNY358" s="92"/>
      <c r="SNZ358" s="92"/>
      <c r="SOA358" s="92"/>
      <c r="SOB358" s="92"/>
      <c r="SOC358" s="92"/>
      <c r="SOD358" s="92"/>
      <c r="SOE358" s="92"/>
      <c r="SOF358" s="92"/>
      <c r="SOG358" s="92"/>
      <c r="SOH358" s="92"/>
      <c r="SOI358" s="92"/>
      <c r="SOJ358" s="92"/>
      <c r="SOK358" s="92"/>
      <c r="SOL358" s="92"/>
      <c r="SOM358" s="92"/>
      <c r="SON358" s="92"/>
      <c r="SOO358" s="92"/>
      <c r="SOP358" s="92"/>
      <c r="SOQ358" s="92"/>
      <c r="SOR358" s="92"/>
      <c r="SOS358" s="92"/>
      <c r="SOT358" s="92"/>
      <c r="SOU358" s="92"/>
      <c r="SOV358" s="92"/>
      <c r="SOW358" s="92"/>
      <c r="SOX358" s="92"/>
      <c r="SOY358" s="92"/>
      <c r="SOZ358" s="92"/>
      <c r="SPA358" s="92"/>
      <c r="SPB358" s="92"/>
      <c r="SPC358" s="92"/>
      <c r="SPD358" s="92"/>
      <c r="SPE358" s="92"/>
      <c r="SPF358" s="92"/>
      <c r="SPG358" s="92"/>
      <c r="SPH358" s="92"/>
      <c r="SPI358" s="92"/>
      <c r="SPJ358" s="92"/>
      <c r="SPK358" s="92"/>
      <c r="SPL358" s="92"/>
      <c r="SPM358" s="92"/>
      <c r="SPN358" s="92"/>
      <c r="SPO358" s="92"/>
      <c r="SPP358" s="92"/>
      <c r="SPQ358" s="92"/>
      <c r="SPR358" s="92"/>
      <c r="SPS358" s="92"/>
      <c r="SPT358" s="92"/>
      <c r="SPU358" s="92"/>
      <c r="SPV358" s="92"/>
      <c r="SPW358" s="92"/>
      <c r="SPX358" s="92"/>
      <c r="SPY358" s="92"/>
      <c r="SPZ358" s="92"/>
      <c r="SQA358" s="92"/>
      <c r="SQB358" s="92"/>
      <c r="SQC358" s="92"/>
      <c r="SQD358" s="92"/>
      <c r="SQE358" s="92"/>
      <c r="SQF358" s="92"/>
      <c r="SQG358" s="92"/>
      <c r="SQH358" s="92"/>
      <c r="SQI358" s="92"/>
      <c r="SQJ358" s="92"/>
      <c r="SQK358" s="92"/>
      <c r="SQL358" s="92"/>
      <c r="SQM358" s="92"/>
      <c r="SQN358" s="92"/>
      <c r="SQO358" s="92"/>
      <c r="SQP358" s="92"/>
      <c r="SQQ358" s="92"/>
      <c r="SQR358" s="92"/>
      <c r="SQS358" s="92"/>
      <c r="SQT358" s="92"/>
      <c r="SQU358" s="92"/>
      <c r="SQV358" s="92"/>
      <c r="SQW358" s="92"/>
      <c r="SQX358" s="92"/>
      <c r="SQY358" s="92"/>
      <c r="SQZ358" s="92"/>
      <c r="SRA358" s="92"/>
      <c r="SRB358" s="92"/>
      <c r="SRC358" s="92"/>
      <c r="SRD358" s="92"/>
      <c r="SRE358" s="92"/>
      <c r="SRF358" s="92"/>
      <c r="SRG358" s="92"/>
      <c r="SRH358" s="92"/>
      <c r="SRI358" s="92"/>
      <c r="SRJ358" s="92"/>
      <c r="SRK358" s="92"/>
      <c r="SRL358" s="92"/>
      <c r="SRM358" s="92"/>
      <c r="SRN358" s="92"/>
      <c r="SRO358" s="92"/>
      <c r="SRP358" s="92"/>
      <c r="SRQ358" s="92"/>
      <c r="SRR358" s="92"/>
      <c r="SRS358" s="92"/>
      <c r="SRT358" s="92"/>
      <c r="SRU358" s="92"/>
      <c r="SRV358" s="92"/>
      <c r="SRW358" s="92"/>
      <c r="SRX358" s="92"/>
      <c r="SRY358" s="92"/>
      <c r="SRZ358" s="92"/>
      <c r="SSA358" s="92"/>
      <c r="SSB358" s="92"/>
      <c r="SSC358" s="92"/>
      <c r="SSD358" s="92"/>
      <c r="SSE358" s="92"/>
      <c r="SSF358" s="92"/>
      <c r="SSG358" s="92"/>
      <c r="SSH358" s="92"/>
      <c r="SSI358" s="92"/>
      <c r="SSJ358" s="92"/>
      <c r="SSK358" s="92"/>
      <c r="SSL358" s="92"/>
      <c r="SSM358" s="92"/>
      <c r="SSN358" s="92"/>
      <c r="SSO358" s="92"/>
      <c r="SSP358" s="92"/>
      <c r="SSQ358" s="92"/>
      <c r="SSR358" s="92"/>
      <c r="SSS358" s="92"/>
      <c r="SST358" s="92"/>
      <c r="SSU358" s="92"/>
      <c r="SSV358" s="92"/>
      <c r="SSW358" s="92"/>
      <c r="SSX358" s="92"/>
      <c r="SSY358" s="92"/>
      <c r="SSZ358" s="92"/>
      <c r="STA358" s="92"/>
      <c r="STB358" s="92"/>
      <c r="STC358" s="92"/>
      <c r="STD358" s="92"/>
      <c r="STE358" s="92"/>
      <c r="STF358" s="92"/>
      <c r="STG358" s="92"/>
      <c r="STH358" s="92"/>
      <c r="STI358" s="92"/>
      <c r="STJ358" s="92"/>
      <c r="STK358" s="92"/>
      <c r="STL358" s="92"/>
      <c r="STM358" s="92"/>
      <c r="STN358" s="92"/>
      <c r="STO358" s="92"/>
      <c r="STP358" s="92"/>
      <c r="STQ358" s="92"/>
      <c r="STR358" s="92"/>
      <c r="STS358" s="92"/>
      <c r="STT358" s="92"/>
      <c r="STU358" s="92"/>
      <c r="STV358" s="92"/>
      <c r="STW358" s="92"/>
      <c r="STX358" s="92"/>
      <c r="STY358" s="92"/>
      <c r="STZ358" s="92"/>
      <c r="SUA358" s="92"/>
      <c r="SUB358" s="92"/>
      <c r="SUC358" s="92"/>
      <c r="SUD358" s="92"/>
      <c r="SUE358" s="92"/>
      <c r="SUF358" s="92"/>
      <c r="SUG358" s="92"/>
      <c r="SUH358" s="92"/>
      <c r="SUI358" s="92"/>
      <c r="SUJ358" s="92"/>
      <c r="SUK358" s="92"/>
      <c r="SUL358" s="92"/>
      <c r="SUM358" s="92"/>
      <c r="SUN358" s="92"/>
      <c r="SUO358" s="92"/>
      <c r="SUP358" s="92"/>
      <c r="SUQ358" s="92"/>
      <c r="SUR358" s="92"/>
      <c r="SUS358" s="92"/>
      <c r="SUT358" s="92"/>
      <c r="SUU358" s="92"/>
      <c r="SUV358" s="92"/>
      <c r="SUW358" s="92"/>
      <c r="SUX358" s="92"/>
      <c r="SUY358" s="92"/>
      <c r="SUZ358" s="92"/>
      <c r="SVA358" s="92"/>
      <c r="SVB358" s="92"/>
      <c r="SVC358" s="92"/>
      <c r="SVD358" s="92"/>
      <c r="SVE358" s="92"/>
      <c r="SVF358" s="92"/>
      <c r="SVG358" s="92"/>
      <c r="SVH358" s="92"/>
      <c r="SVI358" s="92"/>
      <c r="SVJ358" s="92"/>
      <c r="SVK358" s="92"/>
      <c r="SVL358" s="92"/>
      <c r="SVM358" s="92"/>
      <c r="SVN358" s="92"/>
      <c r="SVO358" s="92"/>
      <c r="SVP358" s="92"/>
      <c r="SVQ358" s="92"/>
      <c r="SVR358" s="92"/>
      <c r="SVS358" s="92"/>
      <c r="SVT358" s="92"/>
      <c r="SVU358" s="92"/>
      <c r="SVV358" s="92"/>
      <c r="SVW358" s="92"/>
      <c r="SVX358" s="92"/>
      <c r="SVY358" s="92"/>
      <c r="SVZ358" s="92"/>
      <c r="SWA358" s="92"/>
      <c r="SWB358" s="92"/>
      <c r="SWC358" s="92"/>
      <c r="SWD358" s="92"/>
      <c r="SWE358" s="92"/>
      <c r="SWF358" s="92"/>
      <c r="SWG358" s="92"/>
      <c r="SWH358" s="92"/>
      <c r="SWI358" s="92"/>
      <c r="SWJ358" s="92"/>
      <c r="SWK358" s="92"/>
      <c r="SWL358" s="92"/>
      <c r="SWM358" s="92"/>
      <c r="SWN358" s="92"/>
      <c r="SWO358" s="92"/>
      <c r="SWP358" s="92"/>
      <c r="SWQ358" s="92"/>
      <c r="SWR358" s="92"/>
      <c r="SWS358" s="92"/>
      <c r="SWT358" s="92"/>
      <c r="SWU358" s="92"/>
      <c r="SWV358" s="92"/>
      <c r="SWW358" s="92"/>
      <c r="SWX358" s="92"/>
      <c r="SWY358" s="92"/>
      <c r="SWZ358" s="92"/>
      <c r="SXA358" s="92"/>
      <c r="SXB358" s="92"/>
      <c r="SXC358" s="92"/>
      <c r="SXD358" s="92"/>
      <c r="SXE358" s="92"/>
      <c r="SXF358" s="92"/>
      <c r="SXG358" s="92"/>
      <c r="SXH358" s="92"/>
      <c r="SXI358" s="92"/>
      <c r="SXJ358" s="92"/>
      <c r="SXK358" s="92"/>
      <c r="SXL358" s="92"/>
      <c r="SXM358" s="92"/>
      <c r="SXN358" s="92"/>
      <c r="SXO358" s="92"/>
      <c r="SXP358" s="92"/>
      <c r="SXQ358" s="92"/>
      <c r="SXR358" s="92"/>
      <c r="SXS358" s="92"/>
      <c r="SXT358" s="92"/>
      <c r="SXU358" s="92"/>
      <c r="SXV358" s="92"/>
      <c r="SXW358" s="92"/>
      <c r="SXX358" s="92"/>
      <c r="SXY358" s="92"/>
      <c r="SXZ358" s="92"/>
      <c r="SYA358" s="92"/>
      <c r="SYB358" s="92"/>
      <c r="SYC358" s="92"/>
      <c r="SYD358" s="92"/>
      <c r="SYE358" s="92"/>
      <c r="SYF358" s="92"/>
      <c r="SYG358" s="92"/>
      <c r="SYH358" s="92"/>
      <c r="SYI358" s="92"/>
      <c r="SYJ358" s="92"/>
      <c r="SYK358" s="92"/>
      <c r="SYL358" s="92"/>
      <c r="SYM358" s="92"/>
      <c r="SYN358" s="92"/>
      <c r="SYO358" s="92"/>
      <c r="SYP358" s="92"/>
      <c r="SYQ358" s="92"/>
      <c r="SYR358" s="92"/>
      <c r="SYS358" s="92"/>
      <c r="SYT358" s="92"/>
      <c r="SYU358" s="92"/>
      <c r="SYV358" s="92"/>
      <c r="SYW358" s="92"/>
      <c r="SYX358" s="92"/>
      <c r="SYY358" s="92"/>
      <c r="SYZ358" s="92"/>
      <c r="SZA358" s="92"/>
      <c r="SZB358" s="92"/>
      <c r="SZC358" s="92"/>
      <c r="SZD358" s="92"/>
      <c r="SZE358" s="92"/>
      <c r="SZF358" s="92"/>
      <c r="SZG358" s="92"/>
      <c r="SZH358" s="92"/>
      <c r="SZI358" s="92"/>
      <c r="SZJ358" s="92"/>
      <c r="SZK358" s="92"/>
      <c r="SZL358" s="92"/>
      <c r="SZM358" s="92"/>
      <c r="SZN358" s="92"/>
      <c r="SZO358" s="92"/>
      <c r="SZP358" s="92"/>
      <c r="SZQ358" s="92"/>
      <c r="SZR358" s="92"/>
      <c r="SZS358" s="92"/>
      <c r="SZT358" s="92"/>
      <c r="SZU358" s="92"/>
      <c r="SZV358" s="92"/>
      <c r="SZW358" s="92"/>
      <c r="SZX358" s="92"/>
      <c r="SZY358" s="92"/>
      <c r="SZZ358" s="92"/>
      <c r="TAA358" s="92"/>
      <c r="TAB358" s="92"/>
      <c r="TAC358" s="92"/>
      <c r="TAD358" s="92"/>
      <c r="TAE358" s="92"/>
      <c r="TAF358" s="92"/>
      <c r="TAG358" s="92"/>
      <c r="TAH358" s="92"/>
      <c r="TAI358" s="92"/>
      <c r="TAJ358" s="92"/>
      <c r="TAK358" s="92"/>
      <c r="TAL358" s="92"/>
      <c r="TAM358" s="92"/>
      <c r="TAN358" s="92"/>
      <c r="TAO358" s="92"/>
      <c r="TAP358" s="92"/>
      <c r="TAQ358" s="92"/>
      <c r="TAR358" s="92"/>
      <c r="TAS358" s="92"/>
      <c r="TAT358" s="92"/>
      <c r="TAU358" s="92"/>
      <c r="TAV358" s="92"/>
      <c r="TAW358" s="92"/>
      <c r="TAX358" s="92"/>
      <c r="TAY358" s="92"/>
      <c r="TAZ358" s="92"/>
      <c r="TBA358" s="92"/>
      <c r="TBB358" s="92"/>
      <c r="TBC358" s="92"/>
      <c r="TBD358" s="92"/>
      <c r="TBE358" s="92"/>
      <c r="TBF358" s="92"/>
      <c r="TBG358" s="92"/>
      <c r="TBH358" s="92"/>
      <c r="TBI358" s="92"/>
      <c r="TBJ358" s="92"/>
      <c r="TBK358" s="92"/>
      <c r="TBL358" s="92"/>
      <c r="TBM358" s="92"/>
      <c r="TBN358" s="92"/>
      <c r="TBO358" s="92"/>
      <c r="TBP358" s="92"/>
      <c r="TBQ358" s="92"/>
      <c r="TBR358" s="92"/>
      <c r="TBS358" s="92"/>
      <c r="TBT358" s="92"/>
      <c r="TBU358" s="92"/>
      <c r="TBV358" s="92"/>
      <c r="TBW358" s="92"/>
      <c r="TBX358" s="92"/>
      <c r="TBY358" s="92"/>
      <c r="TBZ358" s="92"/>
      <c r="TCA358" s="92"/>
      <c r="TCB358" s="92"/>
      <c r="TCC358" s="92"/>
      <c r="TCD358" s="92"/>
      <c r="TCE358" s="92"/>
      <c r="TCF358" s="92"/>
      <c r="TCG358" s="92"/>
      <c r="TCH358" s="92"/>
      <c r="TCI358" s="92"/>
      <c r="TCJ358" s="92"/>
      <c r="TCK358" s="92"/>
      <c r="TCL358" s="92"/>
      <c r="TCM358" s="92"/>
      <c r="TCN358" s="92"/>
      <c r="TCO358" s="92"/>
      <c r="TCP358" s="92"/>
      <c r="TCQ358" s="92"/>
      <c r="TCR358" s="92"/>
      <c r="TCS358" s="92"/>
      <c r="TCT358" s="92"/>
      <c r="TCU358" s="92"/>
      <c r="TCV358" s="92"/>
      <c r="TCW358" s="92"/>
      <c r="TCX358" s="92"/>
      <c r="TCY358" s="92"/>
      <c r="TCZ358" s="92"/>
      <c r="TDA358" s="92"/>
      <c r="TDB358" s="92"/>
      <c r="TDC358" s="92"/>
      <c r="TDD358" s="92"/>
      <c r="TDE358" s="92"/>
      <c r="TDF358" s="92"/>
      <c r="TDG358" s="92"/>
      <c r="TDH358" s="92"/>
      <c r="TDI358" s="92"/>
      <c r="TDJ358" s="92"/>
      <c r="TDK358" s="92"/>
      <c r="TDL358" s="92"/>
      <c r="TDM358" s="92"/>
      <c r="TDN358" s="92"/>
      <c r="TDO358" s="92"/>
      <c r="TDP358" s="92"/>
      <c r="TDQ358" s="92"/>
      <c r="TDR358" s="92"/>
      <c r="TDS358" s="92"/>
      <c r="TDT358" s="92"/>
      <c r="TDU358" s="92"/>
      <c r="TDV358" s="92"/>
      <c r="TDW358" s="92"/>
      <c r="TDX358" s="92"/>
      <c r="TDY358" s="92"/>
      <c r="TDZ358" s="92"/>
      <c r="TEA358" s="92"/>
      <c r="TEB358" s="92"/>
      <c r="TEC358" s="92"/>
      <c r="TED358" s="92"/>
      <c r="TEE358" s="92"/>
      <c r="TEF358" s="92"/>
      <c r="TEG358" s="92"/>
      <c r="TEH358" s="92"/>
      <c r="TEI358" s="92"/>
      <c r="TEJ358" s="92"/>
      <c r="TEK358" s="92"/>
      <c r="TEL358" s="92"/>
      <c r="TEM358" s="92"/>
      <c r="TEN358" s="92"/>
      <c r="TEO358" s="92"/>
      <c r="TEP358" s="92"/>
      <c r="TEQ358" s="92"/>
      <c r="TER358" s="92"/>
      <c r="TES358" s="92"/>
      <c r="TET358" s="92"/>
      <c r="TEU358" s="92"/>
      <c r="TEV358" s="92"/>
      <c r="TEW358" s="92"/>
      <c r="TEX358" s="92"/>
      <c r="TEY358" s="92"/>
      <c r="TEZ358" s="92"/>
      <c r="TFA358" s="92"/>
      <c r="TFB358" s="92"/>
      <c r="TFC358" s="92"/>
      <c r="TFD358" s="92"/>
      <c r="TFE358" s="92"/>
      <c r="TFF358" s="92"/>
      <c r="TFG358" s="92"/>
      <c r="TFH358" s="92"/>
      <c r="TFI358" s="92"/>
      <c r="TFJ358" s="92"/>
      <c r="TFK358" s="92"/>
      <c r="TFL358" s="92"/>
      <c r="TFM358" s="92"/>
      <c r="TFN358" s="92"/>
      <c r="TFO358" s="92"/>
      <c r="TFP358" s="92"/>
      <c r="TFQ358" s="92"/>
      <c r="TFR358" s="92"/>
      <c r="TFS358" s="92"/>
      <c r="TFT358" s="92"/>
      <c r="TFU358" s="92"/>
      <c r="TFV358" s="92"/>
      <c r="TFW358" s="92"/>
      <c r="TFX358" s="92"/>
      <c r="TFY358" s="92"/>
      <c r="TFZ358" s="92"/>
      <c r="TGA358" s="92"/>
      <c r="TGB358" s="92"/>
      <c r="TGC358" s="92"/>
      <c r="TGD358" s="92"/>
      <c r="TGE358" s="92"/>
      <c r="TGF358" s="92"/>
      <c r="TGG358" s="92"/>
      <c r="TGH358" s="92"/>
      <c r="TGI358" s="92"/>
      <c r="TGJ358" s="92"/>
      <c r="TGK358" s="92"/>
      <c r="TGL358" s="92"/>
      <c r="TGM358" s="92"/>
      <c r="TGN358" s="92"/>
      <c r="TGO358" s="92"/>
      <c r="TGP358" s="92"/>
      <c r="TGQ358" s="92"/>
      <c r="TGR358" s="92"/>
      <c r="TGS358" s="92"/>
      <c r="TGT358" s="92"/>
      <c r="TGU358" s="92"/>
      <c r="TGV358" s="92"/>
      <c r="TGW358" s="92"/>
      <c r="TGX358" s="92"/>
      <c r="TGY358" s="92"/>
      <c r="TGZ358" s="92"/>
      <c r="THA358" s="92"/>
      <c r="THB358" s="92"/>
      <c r="THC358" s="92"/>
      <c r="THD358" s="92"/>
      <c r="THE358" s="92"/>
      <c r="THF358" s="92"/>
      <c r="THG358" s="92"/>
      <c r="THH358" s="92"/>
      <c r="THI358" s="92"/>
      <c r="THJ358" s="92"/>
      <c r="THK358" s="92"/>
      <c r="THL358" s="92"/>
      <c r="THM358" s="92"/>
      <c r="THN358" s="92"/>
      <c r="THO358" s="92"/>
      <c r="THP358" s="92"/>
      <c r="THQ358" s="92"/>
      <c r="THR358" s="92"/>
      <c r="THS358" s="92"/>
      <c r="THT358" s="92"/>
      <c r="THU358" s="92"/>
      <c r="THV358" s="92"/>
      <c r="THW358" s="92"/>
      <c r="THX358" s="92"/>
      <c r="THY358" s="92"/>
      <c r="THZ358" s="92"/>
      <c r="TIA358" s="92"/>
      <c r="TIB358" s="92"/>
      <c r="TIC358" s="92"/>
      <c r="TID358" s="92"/>
      <c r="TIE358" s="92"/>
      <c r="TIF358" s="92"/>
      <c r="TIG358" s="92"/>
      <c r="TIH358" s="92"/>
      <c r="TII358" s="92"/>
      <c r="TIJ358" s="92"/>
      <c r="TIK358" s="92"/>
      <c r="TIL358" s="92"/>
      <c r="TIM358" s="92"/>
      <c r="TIN358" s="92"/>
      <c r="TIO358" s="92"/>
      <c r="TIP358" s="92"/>
      <c r="TIQ358" s="92"/>
      <c r="TIR358" s="92"/>
      <c r="TIS358" s="92"/>
      <c r="TIT358" s="92"/>
      <c r="TIU358" s="92"/>
      <c r="TIV358" s="92"/>
      <c r="TIW358" s="92"/>
      <c r="TIX358" s="92"/>
      <c r="TIY358" s="92"/>
      <c r="TIZ358" s="92"/>
      <c r="TJA358" s="92"/>
      <c r="TJB358" s="92"/>
      <c r="TJC358" s="92"/>
      <c r="TJD358" s="92"/>
      <c r="TJE358" s="92"/>
      <c r="TJF358" s="92"/>
      <c r="TJG358" s="92"/>
      <c r="TJH358" s="92"/>
      <c r="TJI358" s="92"/>
      <c r="TJJ358" s="92"/>
      <c r="TJK358" s="92"/>
      <c r="TJL358" s="92"/>
      <c r="TJM358" s="92"/>
      <c r="TJN358" s="92"/>
      <c r="TJO358" s="92"/>
      <c r="TJP358" s="92"/>
      <c r="TJQ358" s="92"/>
      <c r="TJR358" s="92"/>
      <c r="TJS358" s="92"/>
      <c r="TJT358" s="92"/>
      <c r="TJU358" s="92"/>
      <c r="TJV358" s="92"/>
      <c r="TJW358" s="92"/>
      <c r="TJX358" s="92"/>
      <c r="TJY358" s="92"/>
      <c r="TJZ358" s="92"/>
      <c r="TKA358" s="92"/>
      <c r="TKB358" s="92"/>
      <c r="TKC358" s="92"/>
      <c r="TKD358" s="92"/>
      <c r="TKE358" s="92"/>
      <c r="TKF358" s="92"/>
      <c r="TKG358" s="92"/>
      <c r="TKH358" s="92"/>
      <c r="TKI358" s="92"/>
      <c r="TKJ358" s="92"/>
      <c r="TKK358" s="92"/>
      <c r="TKL358" s="92"/>
      <c r="TKM358" s="92"/>
      <c r="TKN358" s="92"/>
      <c r="TKO358" s="92"/>
      <c r="TKP358" s="92"/>
      <c r="TKQ358" s="92"/>
      <c r="TKR358" s="92"/>
      <c r="TKS358" s="92"/>
      <c r="TKT358" s="92"/>
      <c r="TKU358" s="92"/>
      <c r="TKV358" s="92"/>
      <c r="TKW358" s="92"/>
      <c r="TKX358" s="92"/>
      <c r="TKY358" s="92"/>
      <c r="TKZ358" s="92"/>
      <c r="TLA358" s="92"/>
      <c r="TLB358" s="92"/>
      <c r="TLC358" s="92"/>
      <c r="TLD358" s="92"/>
      <c r="TLE358" s="92"/>
      <c r="TLF358" s="92"/>
      <c r="TLG358" s="92"/>
      <c r="TLH358" s="92"/>
      <c r="TLI358" s="92"/>
      <c r="TLJ358" s="92"/>
      <c r="TLK358" s="92"/>
      <c r="TLL358" s="92"/>
      <c r="TLM358" s="92"/>
      <c r="TLN358" s="92"/>
      <c r="TLO358" s="92"/>
      <c r="TLP358" s="92"/>
      <c r="TLQ358" s="92"/>
      <c r="TLR358" s="92"/>
      <c r="TLS358" s="92"/>
      <c r="TLT358" s="92"/>
      <c r="TLU358" s="92"/>
      <c r="TLV358" s="92"/>
      <c r="TLW358" s="92"/>
      <c r="TLX358" s="92"/>
      <c r="TLY358" s="92"/>
      <c r="TLZ358" s="92"/>
      <c r="TMA358" s="92"/>
      <c r="TMB358" s="92"/>
      <c r="TMC358" s="92"/>
      <c r="TMD358" s="92"/>
      <c r="TME358" s="92"/>
      <c r="TMF358" s="92"/>
      <c r="TMG358" s="92"/>
      <c r="TMH358" s="92"/>
      <c r="TMI358" s="92"/>
      <c r="TMJ358" s="92"/>
      <c r="TMK358" s="92"/>
      <c r="TML358" s="92"/>
      <c r="TMM358" s="92"/>
      <c r="TMN358" s="92"/>
      <c r="TMO358" s="92"/>
      <c r="TMP358" s="92"/>
      <c r="TMQ358" s="92"/>
      <c r="TMR358" s="92"/>
      <c r="TMS358" s="92"/>
      <c r="TMT358" s="92"/>
      <c r="TMU358" s="92"/>
      <c r="TMV358" s="92"/>
      <c r="TMW358" s="92"/>
      <c r="TMX358" s="92"/>
      <c r="TMY358" s="92"/>
      <c r="TMZ358" s="92"/>
      <c r="TNA358" s="92"/>
      <c r="TNB358" s="92"/>
      <c r="TNC358" s="92"/>
      <c r="TND358" s="92"/>
      <c r="TNE358" s="92"/>
      <c r="TNF358" s="92"/>
      <c r="TNG358" s="92"/>
      <c r="TNH358" s="92"/>
      <c r="TNI358" s="92"/>
      <c r="TNJ358" s="92"/>
      <c r="TNK358" s="92"/>
      <c r="TNL358" s="92"/>
      <c r="TNM358" s="92"/>
      <c r="TNN358" s="92"/>
      <c r="TNO358" s="92"/>
      <c r="TNP358" s="92"/>
      <c r="TNQ358" s="92"/>
      <c r="TNR358" s="92"/>
      <c r="TNS358" s="92"/>
      <c r="TNT358" s="92"/>
      <c r="TNU358" s="92"/>
      <c r="TNV358" s="92"/>
      <c r="TNW358" s="92"/>
      <c r="TNX358" s="92"/>
      <c r="TNY358" s="92"/>
      <c r="TNZ358" s="92"/>
      <c r="TOA358" s="92"/>
      <c r="TOB358" s="92"/>
      <c r="TOC358" s="92"/>
      <c r="TOD358" s="92"/>
      <c r="TOE358" s="92"/>
      <c r="TOF358" s="92"/>
      <c r="TOG358" s="92"/>
      <c r="TOH358" s="92"/>
      <c r="TOI358" s="92"/>
      <c r="TOJ358" s="92"/>
      <c r="TOK358" s="92"/>
      <c r="TOL358" s="92"/>
      <c r="TOM358" s="92"/>
      <c r="TON358" s="92"/>
      <c r="TOO358" s="92"/>
      <c r="TOP358" s="92"/>
      <c r="TOQ358" s="92"/>
      <c r="TOR358" s="92"/>
      <c r="TOS358" s="92"/>
      <c r="TOT358" s="92"/>
      <c r="TOU358" s="92"/>
      <c r="TOV358" s="92"/>
      <c r="TOW358" s="92"/>
      <c r="TOX358" s="92"/>
      <c r="TOY358" s="92"/>
      <c r="TOZ358" s="92"/>
      <c r="TPA358" s="92"/>
      <c r="TPB358" s="92"/>
      <c r="TPC358" s="92"/>
      <c r="TPD358" s="92"/>
      <c r="TPE358" s="92"/>
      <c r="TPF358" s="92"/>
      <c r="TPG358" s="92"/>
      <c r="TPH358" s="92"/>
      <c r="TPI358" s="92"/>
      <c r="TPJ358" s="92"/>
      <c r="TPK358" s="92"/>
      <c r="TPL358" s="92"/>
      <c r="TPM358" s="92"/>
      <c r="TPN358" s="92"/>
      <c r="TPO358" s="92"/>
      <c r="TPP358" s="92"/>
      <c r="TPQ358" s="92"/>
      <c r="TPR358" s="92"/>
      <c r="TPS358" s="92"/>
      <c r="TPT358" s="92"/>
      <c r="TPU358" s="92"/>
      <c r="TPV358" s="92"/>
      <c r="TPW358" s="92"/>
      <c r="TPX358" s="92"/>
      <c r="TPY358" s="92"/>
      <c r="TPZ358" s="92"/>
      <c r="TQA358" s="92"/>
      <c r="TQB358" s="92"/>
      <c r="TQC358" s="92"/>
      <c r="TQD358" s="92"/>
      <c r="TQE358" s="92"/>
      <c r="TQF358" s="92"/>
      <c r="TQG358" s="92"/>
      <c r="TQH358" s="92"/>
      <c r="TQI358" s="92"/>
      <c r="TQJ358" s="92"/>
      <c r="TQK358" s="92"/>
      <c r="TQL358" s="92"/>
      <c r="TQM358" s="92"/>
      <c r="TQN358" s="92"/>
      <c r="TQO358" s="92"/>
      <c r="TQP358" s="92"/>
      <c r="TQQ358" s="92"/>
      <c r="TQR358" s="92"/>
      <c r="TQS358" s="92"/>
      <c r="TQT358" s="92"/>
      <c r="TQU358" s="92"/>
      <c r="TQV358" s="92"/>
      <c r="TQW358" s="92"/>
      <c r="TQX358" s="92"/>
      <c r="TQY358" s="92"/>
      <c r="TQZ358" s="92"/>
      <c r="TRA358" s="92"/>
      <c r="TRB358" s="92"/>
      <c r="TRC358" s="92"/>
      <c r="TRD358" s="92"/>
      <c r="TRE358" s="92"/>
      <c r="TRF358" s="92"/>
      <c r="TRG358" s="92"/>
      <c r="TRH358" s="92"/>
      <c r="TRI358" s="92"/>
      <c r="TRJ358" s="92"/>
      <c r="TRK358" s="92"/>
      <c r="TRL358" s="92"/>
      <c r="TRM358" s="92"/>
      <c r="TRN358" s="92"/>
      <c r="TRO358" s="92"/>
      <c r="TRP358" s="92"/>
      <c r="TRQ358" s="92"/>
      <c r="TRR358" s="92"/>
      <c r="TRS358" s="92"/>
      <c r="TRT358" s="92"/>
      <c r="TRU358" s="92"/>
      <c r="TRV358" s="92"/>
      <c r="TRW358" s="92"/>
      <c r="TRX358" s="92"/>
      <c r="TRY358" s="92"/>
      <c r="TRZ358" s="92"/>
      <c r="TSA358" s="92"/>
      <c r="TSB358" s="92"/>
      <c r="TSC358" s="92"/>
      <c r="TSD358" s="92"/>
      <c r="TSE358" s="92"/>
      <c r="TSF358" s="92"/>
      <c r="TSG358" s="92"/>
      <c r="TSH358" s="92"/>
      <c r="TSI358" s="92"/>
      <c r="TSJ358" s="92"/>
      <c r="TSK358" s="92"/>
      <c r="TSL358" s="92"/>
      <c r="TSM358" s="92"/>
      <c r="TSN358" s="92"/>
      <c r="TSO358" s="92"/>
      <c r="TSP358" s="92"/>
      <c r="TSQ358" s="92"/>
      <c r="TSR358" s="92"/>
      <c r="TSS358" s="92"/>
      <c r="TST358" s="92"/>
      <c r="TSU358" s="92"/>
      <c r="TSV358" s="92"/>
      <c r="TSW358" s="92"/>
      <c r="TSX358" s="92"/>
      <c r="TSY358" s="92"/>
      <c r="TSZ358" s="92"/>
      <c r="TTA358" s="92"/>
      <c r="TTB358" s="92"/>
      <c r="TTC358" s="92"/>
      <c r="TTD358" s="92"/>
      <c r="TTE358" s="92"/>
      <c r="TTF358" s="92"/>
      <c r="TTG358" s="92"/>
      <c r="TTH358" s="92"/>
      <c r="TTI358" s="92"/>
      <c r="TTJ358" s="92"/>
      <c r="TTK358" s="92"/>
      <c r="TTL358" s="92"/>
      <c r="TTM358" s="92"/>
      <c r="TTN358" s="92"/>
      <c r="TTO358" s="92"/>
      <c r="TTP358" s="92"/>
      <c r="TTQ358" s="92"/>
      <c r="TTR358" s="92"/>
      <c r="TTS358" s="92"/>
      <c r="TTT358" s="92"/>
      <c r="TTU358" s="92"/>
      <c r="TTV358" s="92"/>
      <c r="TTW358" s="92"/>
      <c r="TTX358" s="92"/>
      <c r="TTY358" s="92"/>
      <c r="TTZ358" s="92"/>
      <c r="TUA358" s="92"/>
      <c r="TUB358" s="92"/>
      <c r="TUC358" s="92"/>
      <c r="TUD358" s="92"/>
      <c r="TUE358" s="92"/>
      <c r="TUF358" s="92"/>
      <c r="TUG358" s="92"/>
      <c r="TUH358" s="92"/>
      <c r="TUI358" s="92"/>
      <c r="TUJ358" s="92"/>
      <c r="TUK358" s="92"/>
      <c r="TUL358" s="92"/>
      <c r="TUM358" s="92"/>
      <c r="TUN358" s="92"/>
      <c r="TUO358" s="92"/>
      <c r="TUP358" s="92"/>
      <c r="TUQ358" s="92"/>
      <c r="TUR358" s="92"/>
      <c r="TUS358" s="92"/>
      <c r="TUT358" s="92"/>
      <c r="TUU358" s="92"/>
      <c r="TUV358" s="92"/>
      <c r="TUW358" s="92"/>
      <c r="TUX358" s="92"/>
      <c r="TUY358" s="92"/>
      <c r="TUZ358" s="92"/>
      <c r="TVA358" s="92"/>
      <c r="TVB358" s="92"/>
      <c r="TVC358" s="92"/>
      <c r="TVD358" s="92"/>
      <c r="TVE358" s="92"/>
      <c r="TVF358" s="92"/>
      <c r="TVG358" s="92"/>
      <c r="TVH358" s="92"/>
      <c r="TVI358" s="92"/>
      <c r="TVJ358" s="92"/>
      <c r="TVK358" s="92"/>
      <c r="TVL358" s="92"/>
      <c r="TVM358" s="92"/>
      <c r="TVN358" s="92"/>
      <c r="TVO358" s="92"/>
      <c r="TVP358" s="92"/>
      <c r="TVQ358" s="92"/>
      <c r="TVR358" s="92"/>
      <c r="TVS358" s="92"/>
      <c r="TVT358" s="92"/>
      <c r="TVU358" s="92"/>
      <c r="TVV358" s="92"/>
      <c r="TVW358" s="92"/>
      <c r="TVX358" s="92"/>
      <c r="TVY358" s="92"/>
      <c r="TVZ358" s="92"/>
      <c r="TWA358" s="92"/>
      <c r="TWB358" s="92"/>
      <c r="TWC358" s="92"/>
      <c r="TWD358" s="92"/>
      <c r="TWE358" s="92"/>
      <c r="TWF358" s="92"/>
      <c r="TWG358" s="92"/>
      <c r="TWH358" s="92"/>
      <c r="TWI358" s="92"/>
      <c r="TWJ358" s="92"/>
      <c r="TWK358" s="92"/>
      <c r="TWL358" s="92"/>
      <c r="TWM358" s="92"/>
      <c r="TWN358" s="92"/>
      <c r="TWO358" s="92"/>
      <c r="TWP358" s="92"/>
      <c r="TWQ358" s="92"/>
      <c r="TWR358" s="92"/>
      <c r="TWS358" s="92"/>
      <c r="TWT358" s="92"/>
      <c r="TWU358" s="92"/>
      <c r="TWV358" s="92"/>
      <c r="TWW358" s="92"/>
      <c r="TWX358" s="92"/>
      <c r="TWY358" s="92"/>
      <c r="TWZ358" s="92"/>
      <c r="TXA358" s="92"/>
      <c r="TXB358" s="92"/>
      <c r="TXC358" s="92"/>
      <c r="TXD358" s="92"/>
      <c r="TXE358" s="92"/>
      <c r="TXF358" s="92"/>
      <c r="TXG358" s="92"/>
      <c r="TXH358" s="92"/>
      <c r="TXI358" s="92"/>
      <c r="TXJ358" s="92"/>
      <c r="TXK358" s="92"/>
      <c r="TXL358" s="92"/>
      <c r="TXM358" s="92"/>
      <c r="TXN358" s="92"/>
      <c r="TXO358" s="92"/>
      <c r="TXP358" s="92"/>
      <c r="TXQ358" s="92"/>
      <c r="TXR358" s="92"/>
      <c r="TXS358" s="92"/>
      <c r="TXT358" s="92"/>
      <c r="TXU358" s="92"/>
      <c r="TXV358" s="92"/>
      <c r="TXW358" s="92"/>
      <c r="TXX358" s="92"/>
      <c r="TXY358" s="92"/>
      <c r="TXZ358" s="92"/>
      <c r="TYA358" s="92"/>
      <c r="TYB358" s="92"/>
      <c r="TYC358" s="92"/>
      <c r="TYD358" s="92"/>
      <c r="TYE358" s="92"/>
      <c r="TYF358" s="92"/>
      <c r="TYG358" s="92"/>
      <c r="TYH358" s="92"/>
      <c r="TYI358" s="92"/>
      <c r="TYJ358" s="92"/>
      <c r="TYK358" s="92"/>
      <c r="TYL358" s="92"/>
      <c r="TYM358" s="92"/>
      <c r="TYN358" s="92"/>
      <c r="TYO358" s="92"/>
      <c r="TYP358" s="92"/>
      <c r="TYQ358" s="92"/>
      <c r="TYR358" s="92"/>
      <c r="TYS358" s="92"/>
      <c r="TYT358" s="92"/>
      <c r="TYU358" s="92"/>
      <c r="TYV358" s="92"/>
      <c r="TYW358" s="92"/>
      <c r="TYX358" s="92"/>
      <c r="TYY358" s="92"/>
      <c r="TYZ358" s="92"/>
      <c r="TZA358" s="92"/>
      <c r="TZB358" s="92"/>
      <c r="TZC358" s="92"/>
      <c r="TZD358" s="92"/>
      <c r="TZE358" s="92"/>
      <c r="TZF358" s="92"/>
      <c r="TZG358" s="92"/>
      <c r="TZH358" s="92"/>
      <c r="TZI358" s="92"/>
      <c r="TZJ358" s="92"/>
      <c r="TZK358" s="92"/>
      <c r="TZL358" s="92"/>
      <c r="TZM358" s="92"/>
      <c r="TZN358" s="92"/>
      <c r="TZO358" s="92"/>
      <c r="TZP358" s="92"/>
      <c r="TZQ358" s="92"/>
      <c r="TZR358" s="92"/>
      <c r="TZS358" s="92"/>
      <c r="TZT358" s="92"/>
      <c r="TZU358" s="92"/>
      <c r="TZV358" s="92"/>
      <c r="TZW358" s="92"/>
      <c r="TZX358" s="92"/>
      <c r="TZY358" s="92"/>
      <c r="TZZ358" s="92"/>
      <c r="UAA358" s="92"/>
      <c r="UAB358" s="92"/>
      <c r="UAC358" s="92"/>
      <c r="UAD358" s="92"/>
      <c r="UAE358" s="92"/>
      <c r="UAF358" s="92"/>
      <c r="UAG358" s="92"/>
      <c r="UAH358" s="92"/>
      <c r="UAI358" s="92"/>
      <c r="UAJ358" s="92"/>
      <c r="UAK358" s="92"/>
      <c r="UAL358" s="92"/>
      <c r="UAM358" s="92"/>
      <c r="UAN358" s="92"/>
      <c r="UAO358" s="92"/>
      <c r="UAP358" s="92"/>
      <c r="UAQ358" s="92"/>
      <c r="UAR358" s="92"/>
      <c r="UAS358" s="92"/>
      <c r="UAT358" s="92"/>
      <c r="UAU358" s="92"/>
      <c r="UAV358" s="92"/>
      <c r="UAW358" s="92"/>
      <c r="UAX358" s="92"/>
      <c r="UAY358" s="92"/>
      <c r="UAZ358" s="92"/>
      <c r="UBA358" s="92"/>
      <c r="UBB358" s="92"/>
      <c r="UBC358" s="92"/>
      <c r="UBD358" s="92"/>
      <c r="UBE358" s="92"/>
      <c r="UBF358" s="92"/>
      <c r="UBG358" s="92"/>
      <c r="UBH358" s="92"/>
      <c r="UBI358" s="92"/>
      <c r="UBJ358" s="92"/>
      <c r="UBK358" s="92"/>
      <c r="UBL358" s="92"/>
      <c r="UBM358" s="92"/>
      <c r="UBN358" s="92"/>
      <c r="UBO358" s="92"/>
      <c r="UBP358" s="92"/>
      <c r="UBQ358" s="92"/>
      <c r="UBR358" s="92"/>
      <c r="UBS358" s="92"/>
      <c r="UBT358" s="92"/>
      <c r="UBU358" s="92"/>
      <c r="UBV358" s="92"/>
      <c r="UBW358" s="92"/>
      <c r="UBX358" s="92"/>
      <c r="UBY358" s="92"/>
      <c r="UBZ358" s="92"/>
      <c r="UCA358" s="92"/>
      <c r="UCB358" s="92"/>
      <c r="UCC358" s="92"/>
      <c r="UCD358" s="92"/>
      <c r="UCE358" s="92"/>
      <c r="UCF358" s="92"/>
      <c r="UCG358" s="92"/>
      <c r="UCH358" s="92"/>
      <c r="UCI358" s="92"/>
      <c r="UCJ358" s="92"/>
      <c r="UCK358" s="92"/>
      <c r="UCL358" s="92"/>
      <c r="UCM358" s="92"/>
      <c r="UCN358" s="92"/>
      <c r="UCO358" s="92"/>
      <c r="UCP358" s="92"/>
      <c r="UCQ358" s="92"/>
      <c r="UCR358" s="92"/>
      <c r="UCS358" s="92"/>
      <c r="UCT358" s="92"/>
      <c r="UCU358" s="92"/>
      <c r="UCV358" s="92"/>
      <c r="UCW358" s="92"/>
      <c r="UCX358" s="92"/>
      <c r="UCY358" s="92"/>
      <c r="UCZ358" s="92"/>
      <c r="UDA358" s="92"/>
      <c r="UDB358" s="92"/>
      <c r="UDC358" s="92"/>
      <c r="UDD358" s="92"/>
      <c r="UDE358" s="92"/>
      <c r="UDF358" s="92"/>
      <c r="UDG358" s="92"/>
      <c r="UDH358" s="92"/>
      <c r="UDI358" s="92"/>
      <c r="UDJ358" s="92"/>
      <c r="UDK358" s="92"/>
      <c r="UDL358" s="92"/>
      <c r="UDM358" s="92"/>
      <c r="UDN358" s="92"/>
      <c r="UDO358" s="92"/>
      <c r="UDP358" s="92"/>
      <c r="UDQ358" s="92"/>
      <c r="UDR358" s="92"/>
      <c r="UDS358" s="92"/>
      <c r="UDT358" s="92"/>
      <c r="UDU358" s="92"/>
      <c r="UDV358" s="92"/>
      <c r="UDW358" s="92"/>
      <c r="UDX358" s="92"/>
      <c r="UDY358" s="92"/>
      <c r="UDZ358" s="92"/>
      <c r="UEA358" s="92"/>
      <c r="UEB358" s="92"/>
      <c r="UEC358" s="92"/>
      <c r="UED358" s="92"/>
      <c r="UEE358" s="92"/>
      <c r="UEF358" s="92"/>
      <c r="UEG358" s="92"/>
      <c r="UEH358" s="92"/>
      <c r="UEI358" s="92"/>
      <c r="UEJ358" s="92"/>
      <c r="UEK358" s="92"/>
      <c r="UEL358" s="92"/>
      <c r="UEM358" s="92"/>
      <c r="UEN358" s="92"/>
      <c r="UEO358" s="92"/>
      <c r="UEP358" s="92"/>
      <c r="UEQ358" s="92"/>
      <c r="UER358" s="92"/>
      <c r="UES358" s="92"/>
      <c r="UET358" s="92"/>
      <c r="UEU358" s="92"/>
      <c r="UEV358" s="92"/>
      <c r="UEW358" s="92"/>
      <c r="UEX358" s="92"/>
      <c r="UEY358" s="92"/>
      <c r="UEZ358" s="92"/>
      <c r="UFA358" s="92"/>
      <c r="UFB358" s="92"/>
      <c r="UFC358" s="92"/>
      <c r="UFD358" s="92"/>
      <c r="UFE358" s="92"/>
      <c r="UFF358" s="92"/>
      <c r="UFG358" s="92"/>
      <c r="UFH358" s="92"/>
      <c r="UFI358" s="92"/>
      <c r="UFJ358" s="92"/>
      <c r="UFK358" s="92"/>
      <c r="UFL358" s="92"/>
      <c r="UFM358" s="92"/>
      <c r="UFN358" s="92"/>
      <c r="UFO358" s="92"/>
      <c r="UFP358" s="92"/>
      <c r="UFQ358" s="92"/>
      <c r="UFR358" s="92"/>
      <c r="UFS358" s="92"/>
      <c r="UFT358" s="92"/>
      <c r="UFU358" s="92"/>
      <c r="UFV358" s="92"/>
      <c r="UFW358" s="92"/>
      <c r="UFX358" s="92"/>
      <c r="UFY358" s="92"/>
      <c r="UFZ358" s="92"/>
      <c r="UGA358" s="92"/>
      <c r="UGB358" s="92"/>
      <c r="UGC358" s="92"/>
      <c r="UGD358" s="92"/>
      <c r="UGE358" s="92"/>
      <c r="UGF358" s="92"/>
      <c r="UGG358" s="92"/>
      <c r="UGH358" s="92"/>
      <c r="UGI358" s="92"/>
      <c r="UGJ358" s="92"/>
      <c r="UGK358" s="92"/>
      <c r="UGL358" s="92"/>
      <c r="UGM358" s="92"/>
      <c r="UGN358" s="92"/>
      <c r="UGO358" s="92"/>
      <c r="UGP358" s="92"/>
      <c r="UGQ358" s="92"/>
      <c r="UGR358" s="92"/>
      <c r="UGS358" s="92"/>
      <c r="UGT358" s="92"/>
      <c r="UGU358" s="92"/>
      <c r="UGV358" s="92"/>
      <c r="UGW358" s="92"/>
      <c r="UGX358" s="92"/>
      <c r="UGY358" s="92"/>
      <c r="UGZ358" s="92"/>
      <c r="UHA358" s="92"/>
      <c r="UHB358" s="92"/>
      <c r="UHC358" s="92"/>
      <c r="UHD358" s="92"/>
      <c r="UHE358" s="92"/>
      <c r="UHF358" s="92"/>
      <c r="UHG358" s="92"/>
      <c r="UHH358" s="92"/>
      <c r="UHI358" s="92"/>
      <c r="UHJ358" s="92"/>
      <c r="UHK358" s="92"/>
      <c r="UHL358" s="92"/>
      <c r="UHM358" s="92"/>
      <c r="UHN358" s="92"/>
      <c r="UHO358" s="92"/>
      <c r="UHP358" s="92"/>
      <c r="UHQ358" s="92"/>
      <c r="UHR358" s="92"/>
      <c r="UHS358" s="92"/>
      <c r="UHT358" s="92"/>
      <c r="UHU358" s="92"/>
      <c r="UHV358" s="92"/>
      <c r="UHW358" s="92"/>
      <c r="UHX358" s="92"/>
      <c r="UHY358" s="92"/>
      <c r="UHZ358" s="92"/>
      <c r="UIA358" s="92"/>
      <c r="UIB358" s="92"/>
      <c r="UIC358" s="92"/>
      <c r="UID358" s="92"/>
      <c r="UIE358" s="92"/>
      <c r="UIF358" s="92"/>
      <c r="UIG358" s="92"/>
      <c r="UIH358" s="92"/>
      <c r="UII358" s="92"/>
      <c r="UIJ358" s="92"/>
      <c r="UIK358" s="92"/>
      <c r="UIL358" s="92"/>
      <c r="UIM358" s="92"/>
      <c r="UIN358" s="92"/>
      <c r="UIO358" s="92"/>
      <c r="UIP358" s="92"/>
      <c r="UIQ358" s="92"/>
      <c r="UIR358" s="92"/>
      <c r="UIS358" s="92"/>
      <c r="UIT358" s="92"/>
      <c r="UIU358" s="92"/>
      <c r="UIV358" s="92"/>
      <c r="UIW358" s="92"/>
      <c r="UIX358" s="92"/>
      <c r="UIY358" s="92"/>
      <c r="UIZ358" s="92"/>
      <c r="UJA358" s="92"/>
      <c r="UJB358" s="92"/>
      <c r="UJC358" s="92"/>
      <c r="UJD358" s="92"/>
      <c r="UJE358" s="92"/>
      <c r="UJF358" s="92"/>
      <c r="UJG358" s="92"/>
      <c r="UJH358" s="92"/>
      <c r="UJI358" s="92"/>
      <c r="UJJ358" s="92"/>
      <c r="UJK358" s="92"/>
      <c r="UJL358" s="92"/>
      <c r="UJM358" s="92"/>
      <c r="UJN358" s="92"/>
      <c r="UJO358" s="92"/>
      <c r="UJP358" s="92"/>
      <c r="UJQ358" s="92"/>
      <c r="UJR358" s="92"/>
      <c r="UJS358" s="92"/>
      <c r="UJT358" s="92"/>
      <c r="UJU358" s="92"/>
      <c r="UJV358" s="92"/>
      <c r="UJW358" s="92"/>
      <c r="UJX358" s="92"/>
      <c r="UJY358" s="92"/>
      <c r="UJZ358" s="92"/>
      <c r="UKA358" s="92"/>
      <c r="UKB358" s="92"/>
      <c r="UKC358" s="92"/>
      <c r="UKD358" s="92"/>
      <c r="UKE358" s="92"/>
      <c r="UKF358" s="92"/>
      <c r="UKG358" s="92"/>
      <c r="UKH358" s="92"/>
      <c r="UKI358" s="92"/>
      <c r="UKJ358" s="92"/>
      <c r="UKK358" s="92"/>
      <c r="UKL358" s="92"/>
      <c r="UKM358" s="92"/>
      <c r="UKN358" s="92"/>
      <c r="UKO358" s="92"/>
      <c r="UKP358" s="92"/>
      <c r="UKQ358" s="92"/>
      <c r="UKR358" s="92"/>
      <c r="UKS358" s="92"/>
      <c r="UKT358" s="92"/>
      <c r="UKU358" s="92"/>
      <c r="UKV358" s="92"/>
      <c r="UKW358" s="92"/>
      <c r="UKX358" s="92"/>
      <c r="UKY358" s="92"/>
      <c r="UKZ358" s="92"/>
      <c r="ULA358" s="92"/>
      <c r="ULB358" s="92"/>
      <c r="ULC358" s="92"/>
      <c r="ULD358" s="92"/>
      <c r="ULE358" s="92"/>
      <c r="ULF358" s="92"/>
      <c r="ULG358" s="92"/>
      <c r="ULH358" s="92"/>
      <c r="ULI358" s="92"/>
      <c r="ULJ358" s="92"/>
      <c r="ULK358" s="92"/>
      <c r="ULL358" s="92"/>
      <c r="ULM358" s="92"/>
      <c r="ULN358" s="92"/>
      <c r="ULO358" s="92"/>
      <c r="ULP358" s="92"/>
      <c r="ULQ358" s="92"/>
      <c r="ULR358" s="92"/>
      <c r="ULS358" s="92"/>
      <c r="ULT358" s="92"/>
      <c r="ULU358" s="92"/>
      <c r="ULV358" s="92"/>
      <c r="ULW358" s="92"/>
      <c r="ULX358" s="92"/>
      <c r="ULY358" s="92"/>
      <c r="ULZ358" s="92"/>
      <c r="UMA358" s="92"/>
      <c r="UMB358" s="92"/>
      <c r="UMC358" s="92"/>
      <c r="UMD358" s="92"/>
      <c r="UME358" s="92"/>
      <c r="UMF358" s="92"/>
      <c r="UMG358" s="92"/>
      <c r="UMH358" s="92"/>
      <c r="UMI358" s="92"/>
      <c r="UMJ358" s="92"/>
      <c r="UMK358" s="92"/>
      <c r="UML358" s="92"/>
      <c r="UMM358" s="92"/>
      <c r="UMN358" s="92"/>
      <c r="UMO358" s="92"/>
      <c r="UMP358" s="92"/>
      <c r="UMQ358" s="92"/>
      <c r="UMR358" s="92"/>
      <c r="UMS358" s="92"/>
      <c r="UMT358" s="92"/>
      <c r="UMU358" s="92"/>
      <c r="UMV358" s="92"/>
      <c r="UMW358" s="92"/>
      <c r="UMX358" s="92"/>
      <c r="UMY358" s="92"/>
      <c r="UMZ358" s="92"/>
      <c r="UNA358" s="92"/>
      <c r="UNB358" s="92"/>
      <c r="UNC358" s="92"/>
      <c r="UND358" s="92"/>
      <c r="UNE358" s="92"/>
      <c r="UNF358" s="92"/>
      <c r="UNG358" s="92"/>
      <c r="UNH358" s="92"/>
      <c r="UNI358" s="92"/>
      <c r="UNJ358" s="92"/>
      <c r="UNK358" s="92"/>
      <c r="UNL358" s="92"/>
      <c r="UNM358" s="92"/>
      <c r="UNN358" s="92"/>
      <c r="UNO358" s="92"/>
      <c r="UNP358" s="92"/>
      <c r="UNQ358" s="92"/>
      <c r="UNR358" s="92"/>
      <c r="UNS358" s="92"/>
      <c r="UNT358" s="92"/>
      <c r="UNU358" s="92"/>
      <c r="UNV358" s="92"/>
      <c r="UNW358" s="92"/>
      <c r="UNX358" s="92"/>
      <c r="UNY358" s="92"/>
      <c r="UNZ358" s="92"/>
      <c r="UOA358" s="92"/>
      <c r="UOB358" s="92"/>
      <c r="UOC358" s="92"/>
      <c r="UOD358" s="92"/>
      <c r="UOE358" s="92"/>
      <c r="UOF358" s="92"/>
      <c r="UOG358" s="92"/>
      <c r="UOH358" s="92"/>
      <c r="UOI358" s="92"/>
      <c r="UOJ358" s="92"/>
      <c r="UOK358" s="92"/>
      <c r="UOL358" s="92"/>
      <c r="UOM358" s="92"/>
      <c r="UON358" s="92"/>
      <c r="UOO358" s="92"/>
      <c r="UOP358" s="92"/>
      <c r="UOQ358" s="92"/>
      <c r="UOR358" s="92"/>
      <c r="UOS358" s="92"/>
      <c r="UOT358" s="92"/>
      <c r="UOU358" s="92"/>
      <c r="UOV358" s="92"/>
      <c r="UOW358" s="92"/>
      <c r="UOX358" s="92"/>
      <c r="UOY358" s="92"/>
      <c r="UOZ358" s="92"/>
      <c r="UPA358" s="92"/>
      <c r="UPB358" s="92"/>
      <c r="UPC358" s="92"/>
      <c r="UPD358" s="92"/>
      <c r="UPE358" s="92"/>
      <c r="UPF358" s="92"/>
      <c r="UPG358" s="92"/>
      <c r="UPH358" s="92"/>
      <c r="UPI358" s="92"/>
      <c r="UPJ358" s="92"/>
      <c r="UPK358" s="92"/>
      <c r="UPL358" s="92"/>
      <c r="UPM358" s="92"/>
      <c r="UPN358" s="92"/>
      <c r="UPO358" s="92"/>
      <c r="UPP358" s="92"/>
      <c r="UPQ358" s="92"/>
      <c r="UPR358" s="92"/>
      <c r="UPS358" s="92"/>
      <c r="UPT358" s="92"/>
      <c r="UPU358" s="92"/>
      <c r="UPV358" s="92"/>
      <c r="UPW358" s="92"/>
      <c r="UPX358" s="92"/>
      <c r="UPY358" s="92"/>
      <c r="UPZ358" s="92"/>
      <c r="UQA358" s="92"/>
      <c r="UQB358" s="92"/>
      <c r="UQC358" s="92"/>
      <c r="UQD358" s="92"/>
      <c r="UQE358" s="92"/>
      <c r="UQF358" s="92"/>
      <c r="UQG358" s="92"/>
      <c r="UQH358" s="92"/>
      <c r="UQI358" s="92"/>
      <c r="UQJ358" s="92"/>
      <c r="UQK358" s="92"/>
      <c r="UQL358" s="92"/>
      <c r="UQM358" s="92"/>
      <c r="UQN358" s="92"/>
      <c r="UQO358" s="92"/>
      <c r="UQP358" s="92"/>
      <c r="UQQ358" s="92"/>
      <c r="UQR358" s="92"/>
      <c r="UQS358" s="92"/>
      <c r="UQT358" s="92"/>
      <c r="UQU358" s="92"/>
      <c r="UQV358" s="92"/>
      <c r="UQW358" s="92"/>
      <c r="UQX358" s="92"/>
      <c r="UQY358" s="92"/>
      <c r="UQZ358" s="92"/>
      <c r="URA358" s="92"/>
      <c r="URB358" s="92"/>
      <c r="URC358" s="92"/>
      <c r="URD358" s="92"/>
      <c r="URE358" s="92"/>
      <c r="URF358" s="92"/>
      <c r="URG358" s="92"/>
      <c r="URH358" s="92"/>
      <c r="URI358" s="92"/>
      <c r="URJ358" s="92"/>
      <c r="URK358" s="92"/>
      <c r="URL358" s="92"/>
      <c r="URM358" s="92"/>
      <c r="URN358" s="92"/>
      <c r="URO358" s="92"/>
      <c r="URP358" s="92"/>
      <c r="URQ358" s="92"/>
      <c r="URR358" s="92"/>
      <c r="URS358" s="92"/>
      <c r="URT358" s="92"/>
      <c r="URU358" s="92"/>
      <c r="URV358" s="92"/>
      <c r="URW358" s="92"/>
      <c r="URX358" s="92"/>
      <c r="URY358" s="92"/>
      <c r="URZ358" s="92"/>
      <c r="USA358" s="92"/>
      <c r="USB358" s="92"/>
      <c r="USC358" s="92"/>
      <c r="USD358" s="92"/>
      <c r="USE358" s="92"/>
      <c r="USF358" s="92"/>
      <c r="USG358" s="92"/>
      <c r="USH358" s="92"/>
      <c r="USI358" s="92"/>
      <c r="USJ358" s="92"/>
      <c r="USK358" s="92"/>
      <c r="USL358" s="92"/>
      <c r="USM358" s="92"/>
      <c r="USN358" s="92"/>
      <c r="USO358" s="92"/>
      <c r="USP358" s="92"/>
      <c r="USQ358" s="92"/>
      <c r="USR358" s="92"/>
      <c r="USS358" s="92"/>
      <c r="UST358" s="92"/>
      <c r="USU358" s="92"/>
      <c r="USV358" s="92"/>
      <c r="USW358" s="92"/>
      <c r="USX358" s="92"/>
      <c r="USY358" s="92"/>
      <c r="USZ358" s="92"/>
      <c r="UTA358" s="92"/>
      <c r="UTB358" s="92"/>
      <c r="UTC358" s="92"/>
      <c r="UTD358" s="92"/>
      <c r="UTE358" s="92"/>
      <c r="UTF358" s="92"/>
      <c r="UTG358" s="92"/>
      <c r="UTH358" s="92"/>
      <c r="UTI358" s="92"/>
      <c r="UTJ358" s="92"/>
      <c r="UTK358" s="92"/>
      <c r="UTL358" s="92"/>
      <c r="UTM358" s="92"/>
      <c r="UTN358" s="92"/>
      <c r="UTO358" s="92"/>
      <c r="UTP358" s="92"/>
      <c r="UTQ358" s="92"/>
      <c r="UTR358" s="92"/>
      <c r="UTS358" s="92"/>
      <c r="UTT358" s="92"/>
      <c r="UTU358" s="92"/>
      <c r="UTV358" s="92"/>
      <c r="UTW358" s="92"/>
      <c r="UTX358" s="92"/>
      <c r="UTY358" s="92"/>
      <c r="UTZ358" s="92"/>
      <c r="UUA358" s="92"/>
      <c r="UUB358" s="92"/>
      <c r="UUC358" s="92"/>
      <c r="UUD358" s="92"/>
      <c r="UUE358" s="92"/>
      <c r="UUF358" s="92"/>
      <c r="UUG358" s="92"/>
      <c r="UUH358" s="92"/>
      <c r="UUI358" s="92"/>
      <c r="UUJ358" s="92"/>
      <c r="UUK358" s="92"/>
      <c r="UUL358" s="92"/>
      <c r="UUM358" s="92"/>
      <c r="UUN358" s="92"/>
      <c r="UUO358" s="92"/>
      <c r="UUP358" s="92"/>
      <c r="UUQ358" s="92"/>
      <c r="UUR358" s="92"/>
      <c r="UUS358" s="92"/>
      <c r="UUT358" s="92"/>
      <c r="UUU358" s="92"/>
      <c r="UUV358" s="92"/>
      <c r="UUW358" s="92"/>
      <c r="UUX358" s="92"/>
      <c r="UUY358" s="92"/>
      <c r="UUZ358" s="92"/>
      <c r="UVA358" s="92"/>
      <c r="UVB358" s="92"/>
      <c r="UVC358" s="92"/>
      <c r="UVD358" s="92"/>
      <c r="UVE358" s="92"/>
      <c r="UVF358" s="92"/>
      <c r="UVG358" s="92"/>
      <c r="UVH358" s="92"/>
      <c r="UVI358" s="92"/>
      <c r="UVJ358" s="92"/>
      <c r="UVK358" s="92"/>
      <c r="UVL358" s="92"/>
      <c r="UVM358" s="92"/>
      <c r="UVN358" s="92"/>
      <c r="UVO358" s="92"/>
      <c r="UVP358" s="92"/>
      <c r="UVQ358" s="92"/>
      <c r="UVR358" s="92"/>
      <c r="UVS358" s="92"/>
      <c r="UVT358" s="92"/>
      <c r="UVU358" s="92"/>
      <c r="UVV358" s="92"/>
      <c r="UVW358" s="92"/>
      <c r="UVX358" s="92"/>
      <c r="UVY358" s="92"/>
      <c r="UVZ358" s="92"/>
      <c r="UWA358" s="92"/>
      <c r="UWB358" s="92"/>
      <c r="UWC358" s="92"/>
      <c r="UWD358" s="92"/>
      <c r="UWE358" s="92"/>
      <c r="UWF358" s="92"/>
      <c r="UWG358" s="92"/>
      <c r="UWH358" s="92"/>
      <c r="UWI358" s="92"/>
      <c r="UWJ358" s="92"/>
      <c r="UWK358" s="92"/>
      <c r="UWL358" s="92"/>
      <c r="UWM358" s="92"/>
      <c r="UWN358" s="92"/>
      <c r="UWO358" s="92"/>
      <c r="UWP358" s="92"/>
      <c r="UWQ358" s="92"/>
      <c r="UWR358" s="92"/>
      <c r="UWS358" s="92"/>
      <c r="UWT358" s="92"/>
      <c r="UWU358" s="92"/>
      <c r="UWV358" s="92"/>
      <c r="UWW358" s="92"/>
      <c r="UWX358" s="92"/>
      <c r="UWY358" s="92"/>
      <c r="UWZ358" s="92"/>
      <c r="UXA358" s="92"/>
      <c r="UXB358" s="92"/>
      <c r="UXC358" s="92"/>
      <c r="UXD358" s="92"/>
      <c r="UXE358" s="92"/>
      <c r="UXF358" s="92"/>
      <c r="UXG358" s="92"/>
      <c r="UXH358" s="92"/>
      <c r="UXI358" s="92"/>
      <c r="UXJ358" s="92"/>
      <c r="UXK358" s="92"/>
      <c r="UXL358" s="92"/>
      <c r="UXM358" s="92"/>
      <c r="UXN358" s="92"/>
      <c r="UXO358" s="92"/>
      <c r="UXP358" s="92"/>
      <c r="UXQ358" s="92"/>
      <c r="UXR358" s="92"/>
      <c r="UXS358" s="92"/>
      <c r="UXT358" s="92"/>
      <c r="UXU358" s="92"/>
      <c r="UXV358" s="92"/>
      <c r="UXW358" s="92"/>
      <c r="UXX358" s="92"/>
      <c r="UXY358" s="92"/>
      <c r="UXZ358" s="92"/>
      <c r="UYA358" s="92"/>
      <c r="UYB358" s="92"/>
      <c r="UYC358" s="92"/>
      <c r="UYD358" s="92"/>
      <c r="UYE358" s="92"/>
      <c r="UYF358" s="92"/>
      <c r="UYG358" s="92"/>
      <c r="UYH358" s="92"/>
      <c r="UYI358" s="92"/>
      <c r="UYJ358" s="92"/>
      <c r="UYK358" s="92"/>
      <c r="UYL358" s="92"/>
      <c r="UYM358" s="92"/>
      <c r="UYN358" s="92"/>
      <c r="UYO358" s="92"/>
      <c r="UYP358" s="92"/>
      <c r="UYQ358" s="92"/>
      <c r="UYR358" s="92"/>
      <c r="UYS358" s="92"/>
      <c r="UYT358" s="92"/>
      <c r="UYU358" s="92"/>
      <c r="UYV358" s="92"/>
      <c r="UYW358" s="92"/>
      <c r="UYX358" s="92"/>
      <c r="UYY358" s="92"/>
      <c r="UYZ358" s="92"/>
      <c r="UZA358" s="92"/>
      <c r="UZB358" s="92"/>
      <c r="UZC358" s="92"/>
      <c r="UZD358" s="92"/>
      <c r="UZE358" s="92"/>
      <c r="UZF358" s="92"/>
      <c r="UZG358" s="92"/>
      <c r="UZH358" s="92"/>
      <c r="UZI358" s="92"/>
      <c r="UZJ358" s="92"/>
      <c r="UZK358" s="92"/>
      <c r="UZL358" s="92"/>
      <c r="UZM358" s="92"/>
      <c r="UZN358" s="92"/>
      <c r="UZO358" s="92"/>
      <c r="UZP358" s="92"/>
      <c r="UZQ358" s="92"/>
      <c r="UZR358" s="92"/>
      <c r="UZS358" s="92"/>
      <c r="UZT358" s="92"/>
      <c r="UZU358" s="92"/>
      <c r="UZV358" s="92"/>
      <c r="UZW358" s="92"/>
      <c r="UZX358" s="92"/>
      <c r="UZY358" s="92"/>
      <c r="UZZ358" s="92"/>
      <c r="VAA358" s="92"/>
      <c r="VAB358" s="92"/>
      <c r="VAC358" s="92"/>
      <c r="VAD358" s="92"/>
      <c r="VAE358" s="92"/>
      <c r="VAF358" s="92"/>
      <c r="VAG358" s="92"/>
      <c r="VAH358" s="92"/>
      <c r="VAI358" s="92"/>
      <c r="VAJ358" s="92"/>
      <c r="VAK358" s="92"/>
      <c r="VAL358" s="92"/>
      <c r="VAM358" s="92"/>
      <c r="VAN358" s="92"/>
      <c r="VAO358" s="92"/>
      <c r="VAP358" s="92"/>
      <c r="VAQ358" s="92"/>
      <c r="VAR358" s="92"/>
      <c r="VAS358" s="92"/>
      <c r="VAT358" s="92"/>
      <c r="VAU358" s="92"/>
      <c r="VAV358" s="92"/>
      <c r="VAW358" s="92"/>
      <c r="VAX358" s="92"/>
      <c r="VAY358" s="92"/>
      <c r="VAZ358" s="92"/>
      <c r="VBA358" s="92"/>
      <c r="VBB358" s="92"/>
      <c r="VBC358" s="92"/>
      <c r="VBD358" s="92"/>
      <c r="VBE358" s="92"/>
      <c r="VBF358" s="92"/>
      <c r="VBG358" s="92"/>
      <c r="VBH358" s="92"/>
      <c r="VBI358" s="92"/>
      <c r="VBJ358" s="92"/>
      <c r="VBK358" s="92"/>
      <c r="VBL358" s="92"/>
      <c r="VBM358" s="92"/>
      <c r="VBN358" s="92"/>
      <c r="VBO358" s="92"/>
      <c r="VBP358" s="92"/>
      <c r="VBQ358" s="92"/>
      <c r="VBR358" s="92"/>
      <c r="VBS358" s="92"/>
      <c r="VBT358" s="92"/>
      <c r="VBU358" s="92"/>
      <c r="VBV358" s="92"/>
      <c r="VBW358" s="92"/>
      <c r="VBX358" s="92"/>
      <c r="VBY358" s="92"/>
      <c r="VBZ358" s="92"/>
      <c r="VCA358" s="92"/>
      <c r="VCB358" s="92"/>
      <c r="VCC358" s="92"/>
      <c r="VCD358" s="92"/>
      <c r="VCE358" s="92"/>
      <c r="VCF358" s="92"/>
      <c r="VCG358" s="92"/>
      <c r="VCH358" s="92"/>
      <c r="VCI358" s="92"/>
      <c r="VCJ358" s="92"/>
      <c r="VCK358" s="92"/>
      <c r="VCL358" s="92"/>
      <c r="VCM358" s="92"/>
      <c r="VCN358" s="92"/>
      <c r="VCO358" s="92"/>
      <c r="VCP358" s="92"/>
      <c r="VCQ358" s="92"/>
      <c r="VCR358" s="92"/>
      <c r="VCS358" s="92"/>
      <c r="VCT358" s="92"/>
      <c r="VCU358" s="92"/>
      <c r="VCV358" s="92"/>
      <c r="VCW358" s="92"/>
      <c r="VCX358" s="92"/>
      <c r="VCY358" s="92"/>
      <c r="VCZ358" s="92"/>
      <c r="VDA358" s="92"/>
      <c r="VDB358" s="92"/>
      <c r="VDC358" s="92"/>
      <c r="VDD358" s="92"/>
      <c r="VDE358" s="92"/>
      <c r="VDF358" s="92"/>
      <c r="VDG358" s="92"/>
      <c r="VDH358" s="92"/>
      <c r="VDI358" s="92"/>
      <c r="VDJ358" s="92"/>
      <c r="VDK358" s="92"/>
      <c r="VDL358" s="92"/>
      <c r="VDM358" s="92"/>
      <c r="VDN358" s="92"/>
      <c r="VDO358" s="92"/>
      <c r="VDP358" s="92"/>
      <c r="VDQ358" s="92"/>
      <c r="VDR358" s="92"/>
      <c r="VDS358" s="92"/>
      <c r="VDT358" s="92"/>
      <c r="VDU358" s="92"/>
      <c r="VDV358" s="92"/>
      <c r="VDW358" s="92"/>
      <c r="VDX358" s="92"/>
      <c r="VDY358" s="92"/>
      <c r="VDZ358" s="92"/>
      <c r="VEA358" s="92"/>
      <c r="VEB358" s="92"/>
      <c r="VEC358" s="92"/>
      <c r="VED358" s="92"/>
      <c r="VEE358" s="92"/>
      <c r="VEF358" s="92"/>
      <c r="VEG358" s="92"/>
      <c r="VEH358" s="92"/>
      <c r="VEI358" s="92"/>
      <c r="VEJ358" s="92"/>
      <c r="VEK358" s="92"/>
      <c r="VEL358" s="92"/>
      <c r="VEM358" s="92"/>
      <c r="VEN358" s="92"/>
      <c r="VEO358" s="92"/>
      <c r="VEP358" s="92"/>
      <c r="VEQ358" s="92"/>
      <c r="VER358" s="92"/>
      <c r="VES358" s="92"/>
      <c r="VET358" s="92"/>
      <c r="VEU358" s="92"/>
      <c r="VEV358" s="92"/>
      <c r="VEW358" s="92"/>
      <c r="VEX358" s="92"/>
      <c r="VEY358" s="92"/>
      <c r="VEZ358" s="92"/>
      <c r="VFA358" s="92"/>
      <c r="VFB358" s="92"/>
      <c r="VFC358" s="92"/>
      <c r="VFD358" s="92"/>
      <c r="VFE358" s="92"/>
      <c r="VFF358" s="92"/>
      <c r="VFG358" s="92"/>
      <c r="VFH358" s="92"/>
      <c r="VFI358" s="92"/>
      <c r="VFJ358" s="92"/>
      <c r="VFK358" s="92"/>
      <c r="VFL358" s="92"/>
      <c r="VFM358" s="92"/>
      <c r="VFN358" s="92"/>
      <c r="VFO358" s="92"/>
      <c r="VFP358" s="92"/>
      <c r="VFQ358" s="92"/>
      <c r="VFR358" s="92"/>
      <c r="VFS358" s="92"/>
      <c r="VFT358" s="92"/>
      <c r="VFU358" s="92"/>
      <c r="VFV358" s="92"/>
      <c r="VFW358" s="92"/>
      <c r="VFX358" s="92"/>
      <c r="VFY358" s="92"/>
      <c r="VFZ358" s="92"/>
      <c r="VGA358" s="92"/>
      <c r="VGB358" s="92"/>
      <c r="VGC358" s="92"/>
      <c r="VGD358" s="92"/>
      <c r="VGE358" s="92"/>
      <c r="VGF358" s="92"/>
      <c r="VGG358" s="92"/>
      <c r="VGH358" s="92"/>
      <c r="VGI358" s="92"/>
      <c r="VGJ358" s="92"/>
      <c r="VGK358" s="92"/>
      <c r="VGL358" s="92"/>
      <c r="VGM358" s="92"/>
      <c r="VGN358" s="92"/>
      <c r="VGO358" s="92"/>
      <c r="VGP358" s="92"/>
      <c r="VGQ358" s="92"/>
      <c r="VGR358" s="92"/>
      <c r="VGS358" s="92"/>
      <c r="VGT358" s="92"/>
      <c r="VGU358" s="92"/>
      <c r="VGV358" s="92"/>
      <c r="VGW358" s="92"/>
      <c r="VGX358" s="92"/>
      <c r="VGY358" s="92"/>
      <c r="VGZ358" s="92"/>
      <c r="VHA358" s="92"/>
      <c r="VHB358" s="92"/>
      <c r="VHC358" s="92"/>
      <c r="VHD358" s="92"/>
      <c r="VHE358" s="92"/>
      <c r="VHF358" s="92"/>
      <c r="VHG358" s="92"/>
      <c r="VHH358" s="92"/>
      <c r="VHI358" s="92"/>
      <c r="VHJ358" s="92"/>
      <c r="VHK358" s="92"/>
      <c r="VHL358" s="92"/>
      <c r="VHM358" s="92"/>
      <c r="VHN358" s="92"/>
      <c r="VHO358" s="92"/>
      <c r="VHP358" s="92"/>
      <c r="VHQ358" s="92"/>
      <c r="VHR358" s="92"/>
      <c r="VHS358" s="92"/>
      <c r="VHT358" s="92"/>
      <c r="VHU358" s="92"/>
      <c r="VHV358" s="92"/>
      <c r="VHW358" s="92"/>
      <c r="VHX358" s="92"/>
      <c r="VHY358" s="92"/>
      <c r="VHZ358" s="92"/>
      <c r="VIA358" s="92"/>
      <c r="VIB358" s="92"/>
      <c r="VIC358" s="92"/>
      <c r="VID358" s="92"/>
      <c r="VIE358" s="92"/>
      <c r="VIF358" s="92"/>
      <c r="VIG358" s="92"/>
      <c r="VIH358" s="92"/>
      <c r="VII358" s="92"/>
      <c r="VIJ358" s="92"/>
      <c r="VIK358" s="92"/>
      <c r="VIL358" s="92"/>
      <c r="VIM358" s="92"/>
      <c r="VIN358" s="92"/>
      <c r="VIO358" s="92"/>
      <c r="VIP358" s="92"/>
      <c r="VIQ358" s="92"/>
      <c r="VIR358" s="92"/>
      <c r="VIS358" s="92"/>
      <c r="VIT358" s="92"/>
      <c r="VIU358" s="92"/>
      <c r="VIV358" s="92"/>
      <c r="VIW358" s="92"/>
      <c r="VIX358" s="92"/>
      <c r="VIY358" s="92"/>
      <c r="VIZ358" s="92"/>
      <c r="VJA358" s="92"/>
      <c r="VJB358" s="92"/>
      <c r="VJC358" s="92"/>
      <c r="VJD358" s="92"/>
      <c r="VJE358" s="92"/>
      <c r="VJF358" s="92"/>
      <c r="VJG358" s="92"/>
      <c r="VJH358" s="92"/>
      <c r="VJI358" s="92"/>
      <c r="VJJ358" s="92"/>
      <c r="VJK358" s="92"/>
      <c r="VJL358" s="92"/>
      <c r="VJM358" s="92"/>
      <c r="VJN358" s="92"/>
      <c r="VJO358" s="92"/>
      <c r="VJP358" s="92"/>
      <c r="VJQ358" s="92"/>
      <c r="VJR358" s="92"/>
      <c r="VJS358" s="92"/>
      <c r="VJT358" s="92"/>
      <c r="VJU358" s="92"/>
      <c r="VJV358" s="92"/>
      <c r="VJW358" s="92"/>
      <c r="VJX358" s="92"/>
      <c r="VJY358" s="92"/>
      <c r="VJZ358" s="92"/>
      <c r="VKA358" s="92"/>
      <c r="VKB358" s="92"/>
      <c r="VKC358" s="92"/>
      <c r="VKD358" s="92"/>
      <c r="VKE358" s="92"/>
      <c r="VKF358" s="92"/>
      <c r="VKG358" s="92"/>
      <c r="VKH358" s="92"/>
      <c r="VKI358" s="92"/>
      <c r="VKJ358" s="92"/>
      <c r="VKK358" s="92"/>
      <c r="VKL358" s="92"/>
      <c r="VKM358" s="92"/>
      <c r="VKN358" s="92"/>
      <c r="VKO358" s="92"/>
      <c r="VKP358" s="92"/>
      <c r="VKQ358" s="92"/>
      <c r="VKR358" s="92"/>
      <c r="VKS358" s="92"/>
      <c r="VKT358" s="92"/>
      <c r="VKU358" s="92"/>
      <c r="VKV358" s="92"/>
      <c r="VKW358" s="92"/>
      <c r="VKX358" s="92"/>
      <c r="VKY358" s="92"/>
      <c r="VKZ358" s="92"/>
      <c r="VLA358" s="92"/>
      <c r="VLB358" s="92"/>
      <c r="VLC358" s="92"/>
      <c r="VLD358" s="92"/>
      <c r="VLE358" s="92"/>
      <c r="VLF358" s="92"/>
      <c r="VLG358" s="92"/>
      <c r="VLH358" s="92"/>
      <c r="VLI358" s="92"/>
      <c r="VLJ358" s="92"/>
      <c r="VLK358" s="92"/>
      <c r="VLL358" s="92"/>
      <c r="VLM358" s="92"/>
      <c r="VLN358" s="92"/>
      <c r="VLO358" s="92"/>
      <c r="VLP358" s="92"/>
      <c r="VLQ358" s="92"/>
      <c r="VLR358" s="92"/>
      <c r="VLS358" s="92"/>
      <c r="VLT358" s="92"/>
      <c r="VLU358" s="92"/>
      <c r="VLV358" s="92"/>
      <c r="VLW358" s="92"/>
      <c r="VLX358" s="92"/>
      <c r="VLY358" s="92"/>
      <c r="VLZ358" s="92"/>
      <c r="VMA358" s="92"/>
      <c r="VMB358" s="92"/>
      <c r="VMC358" s="92"/>
      <c r="VMD358" s="92"/>
      <c r="VME358" s="92"/>
      <c r="VMF358" s="92"/>
      <c r="VMG358" s="92"/>
      <c r="VMH358" s="92"/>
      <c r="VMI358" s="92"/>
      <c r="VMJ358" s="92"/>
      <c r="VMK358" s="92"/>
      <c r="VML358" s="92"/>
      <c r="VMM358" s="92"/>
      <c r="VMN358" s="92"/>
      <c r="VMO358" s="92"/>
      <c r="VMP358" s="92"/>
      <c r="VMQ358" s="92"/>
      <c r="VMR358" s="92"/>
      <c r="VMS358" s="92"/>
      <c r="VMT358" s="92"/>
      <c r="VMU358" s="92"/>
      <c r="VMV358" s="92"/>
      <c r="VMW358" s="92"/>
      <c r="VMX358" s="92"/>
      <c r="VMY358" s="92"/>
      <c r="VMZ358" s="92"/>
      <c r="VNA358" s="92"/>
      <c r="VNB358" s="92"/>
      <c r="VNC358" s="92"/>
      <c r="VND358" s="92"/>
      <c r="VNE358" s="92"/>
      <c r="VNF358" s="92"/>
      <c r="VNG358" s="92"/>
      <c r="VNH358" s="92"/>
      <c r="VNI358" s="92"/>
      <c r="VNJ358" s="92"/>
      <c r="VNK358" s="92"/>
      <c r="VNL358" s="92"/>
      <c r="VNM358" s="92"/>
      <c r="VNN358" s="92"/>
      <c r="VNO358" s="92"/>
      <c r="VNP358" s="92"/>
      <c r="VNQ358" s="92"/>
      <c r="VNR358" s="92"/>
      <c r="VNS358" s="92"/>
      <c r="VNT358" s="92"/>
      <c r="VNU358" s="92"/>
      <c r="VNV358" s="92"/>
      <c r="VNW358" s="92"/>
      <c r="VNX358" s="92"/>
      <c r="VNY358" s="92"/>
      <c r="VNZ358" s="92"/>
      <c r="VOA358" s="92"/>
      <c r="VOB358" s="92"/>
      <c r="VOC358" s="92"/>
      <c r="VOD358" s="92"/>
      <c r="VOE358" s="92"/>
      <c r="VOF358" s="92"/>
      <c r="VOG358" s="92"/>
      <c r="VOH358" s="92"/>
      <c r="VOI358" s="92"/>
      <c r="VOJ358" s="92"/>
      <c r="VOK358" s="92"/>
      <c r="VOL358" s="92"/>
      <c r="VOM358" s="92"/>
      <c r="VON358" s="92"/>
      <c r="VOO358" s="92"/>
      <c r="VOP358" s="92"/>
      <c r="VOQ358" s="92"/>
      <c r="VOR358" s="92"/>
      <c r="VOS358" s="92"/>
      <c r="VOT358" s="92"/>
      <c r="VOU358" s="92"/>
      <c r="VOV358" s="92"/>
      <c r="VOW358" s="92"/>
      <c r="VOX358" s="92"/>
      <c r="VOY358" s="92"/>
      <c r="VOZ358" s="92"/>
      <c r="VPA358" s="92"/>
      <c r="VPB358" s="92"/>
      <c r="VPC358" s="92"/>
      <c r="VPD358" s="92"/>
      <c r="VPE358" s="92"/>
      <c r="VPF358" s="92"/>
      <c r="VPG358" s="92"/>
      <c r="VPH358" s="92"/>
      <c r="VPI358" s="92"/>
      <c r="VPJ358" s="92"/>
      <c r="VPK358" s="92"/>
      <c r="VPL358" s="92"/>
      <c r="VPM358" s="92"/>
      <c r="VPN358" s="92"/>
      <c r="VPO358" s="92"/>
      <c r="VPP358" s="92"/>
      <c r="VPQ358" s="92"/>
      <c r="VPR358" s="92"/>
      <c r="VPS358" s="92"/>
      <c r="VPT358" s="92"/>
      <c r="VPU358" s="92"/>
      <c r="VPV358" s="92"/>
      <c r="VPW358" s="92"/>
      <c r="VPX358" s="92"/>
      <c r="VPY358" s="92"/>
      <c r="VPZ358" s="92"/>
      <c r="VQA358" s="92"/>
      <c r="VQB358" s="92"/>
      <c r="VQC358" s="92"/>
      <c r="VQD358" s="92"/>
      <c r="VQE358" s="92"/>
      <c r="VQF358" s="92"/>
      <c r="VQG358" s="92"/>
      <c r="VQH358" s="92"/>
      <c r="VQI358" s="92"/>
      <c r="VQJ358" s="92"/>
      <c r="VQK358" s="92"/>
      <c r="VQL358" s="92"/>
      <c r="VQM358" s="92"/>
      <c r="VQN358" s="92"/>
      <c r="VQO358" s="92"/>
      <c r="VQP358" s="92"/>
      <c r="VQQ358" s="92"/>
      <c r="VQR358" s="92"/>
      <c r="VQS358" s="92"/>
      <c r="VQT358" s="92"/>
      <c r="VQU358" s="92"/>
      <c r="VQV358" s="92"/>
      <c r="VQW358" s="92"/>
      <c r="VQX358" s="92"/>
      <c r="VQY358" s="92"/>
      <c r="VQZ358" s="92"/>
      <c r="VRA358" s="92"/>
      <c r="VRB358" s="92"/>
      <c r="VRC358" s="92"/>
      <c r="VRD358" s="92"/>
      <c r="VRE358" s="92"/>
      <c r="VRF358" s="92"/>
      <c r="VRG358" s="92"/>
      <c r="VRH358" s="92"/>
      <c r="VRI358" s="92"/>
      <c r="VRJ358" s="92"/>
      <c r="VRK358" s="92"/>
      <c r="VRL358" s="92"/>
      <c r="VRM358" s="92"/>
      <c r="VRN358" s="92"/>
      <c r="VRO358" s="92"/>
      <c r="VRP358" s="92"/>
      <c r="VRQ358" s="92"/>
      <c r="VRR358" s="92"/>
      <c r="VRS358" s="92"/>
      <c r="VRT358" s="92"/>
      <c r="VRU358" s="92"/>
      <c r="VRV358" s="92"/>
      <c r="VRW358" s="92"/>
      <c r="VRX358" s="92"/>
      <c r="VRY358" s="92"/>
      <c r="VRZ358" s="92"/>
      <c r="VSA358" s="92"/>
      <c r="VSB358" s="92"/>
      <c r="VSC358" s="92"/>
      <c r="VSD358" s="92"/>
      <c r="VSE358" s="92"/>
      <c r="VSF358" s="92"/>
      <c r="VSG358" s="92"/>
      <c r="VSH358" s="92"/>
      <c r="VSI358" s="92"/>
      <c r="VSJ358" s="92"/>
      <c r="VSK358" s="92"/>
      <c r="VSL358" s="92"/>
      <c r="VSM358" s="92"/>
      <c r="VSN358" s="92"/>
      <c r="VSO358" s="92"/>
      <c r="VSP358" s="92"/>
      <c r="VSQ358" s="92"/>
      <c r="VSR358" s="92"/>
      <c r="VSS358" s="92"/>
      <c r="VST358" s="92"/>
      <c r="VSU358" s="92"/>
      <c r="VSV358" s="92"/>
      <c r="VSW358" s="92"/>
      <c r="VSX358" s="92"/>
      <c r="VSY358" s="92"/>
      <c r="VSZ358" s="92"/>
      <c r="VTA358" s="92"/>
      <c r="VTB358" s="92"/>
      <c r="VTC358" s="92"/>
      <c r="VTD358" s="92"/>
      <c r="VTE358" s="92"/>
      <c r="VTF358" s="92"/>
      <c r="VTG358" s="92"/>
      <c r="VTH358" s="92"/>
      <c r="VTI358" s="92"/>
      <c r="VTJ358" s="92"/>
      <c r="VTK358" s="92"/>
      <c r="VTL358" s="92"/>
      <c r="VTM358" s="92"/>
      <c r="VTN358" s="92"/>
      <c r="VTO358" s="92"/>
      <c r="VTP358" s="92"/>
      <c r="VTQ358" s="92"/>
      <c r="VTR358" s="92"/>
      <c r="VTS358" s="92"/>
      <c r="VTT358" s="92"/>
      <c r="VTU358" s="92"/>
      <c r="VTV358" s="92"/>
      <c r="VTW358" s="92"/>
      <c r="VTX358" s="92"/>
      <c r="VTY358" s="92"/>
      <c r="VTZ358" s="92"/>
      <c r="VUA358" s="92"/>
      <c r="VUB358" s="92"/>
      <c r="VUC358" s="92"/>
      <c r="VUD358" s="92"/>
      <c r="VUE358" s="92"/>
      <c r="VUF358" s="92"/>
      <c r="VUG358" s="92"/>
      <c r="VUH358" s="92"/>
      <c r="VUI358" s="92"/>
      <c r="VUJ358" s="92"/>
      <c r="VUK358" s="92"/>
      <c r="VUL358" s="92"/>
      <c r="VUM358" s="92"/>
      <c r="VUN358" s="92"/>
      <c r="VUO358" s="92"/>
      <c r="VUP358" s="92"/>
      <c r="VUQ358" s="92"/>
      <c r="VUR358" s="92"/>
      <c r="VUS358" s="92"/>
      <c r="VUT358" s="92"/>
      <c r="VUU358" s="92"/>
      <c r="VUV358" s="92"/>
      <c r="VUW358" s="92"/>
      <c r="VUX358" s="92"/>
      <c r="VUY358" s="92"/>
      <c r="VUZ358" s="92"/>
      <c r="VVA358" s="92"/>
      <c r="VVB358" s="92"/>
      <c r="VVC358" s="92"/>
      <c r="VVD358" s="92"/>
      <c r="VVE358" s="92"/>
      <c r="VVF358" s="92"/>
      <c r="VVG358" s="92"/>
      <c r="VVH358" s="92"/>
      <c r="VVI358" s="92"/>
      <c r="VVJ358" s="92"/>
      <c r="VVK358" s="92"/>
      <c r="VVL358" s="92"/>
      <c r="VVM358" s="92"/>
      <c r="VVN358" s="92"/>
      <c r="VVO358" s="92"/>
      <c r="VVP358" s="92"/>
      <c r="VVQ358" s="92"/>
      <c r="VVR358" s="92"/>
      <c r="VVS358" s="92"/>
      <c r="VVT358" s="92"/>
      <c r="VVU358" s="92"/>
      <c r="VVV358" s="92"/>
      <c r="VVW358" s="92"/>
      <c r="VVX358" s="92"/>
      <c r="VVY358" s="92"/>
      <c r="VVZ358" s="92"/>
      <c r="VWA358" s="92"/>
      <c r="VWB358" s="92"/>
      <c r="VWC358" s="92"/>
      <c r="VWD358" s="92"/>
      <c r="VWE358" s="92"/>
      <c r="VWF358" s="92"/>
      <c r="VWG358" s="92"/>
      <c r="VWH358" s="92"/>
      <c r="VWI358" s="92"/>
      <c r="VWJ358" s="92"/>
      <c r="VWK358" s="92"/>
      <c r="VWL358" s="92"/>
      <c r="VWM358" s="92"/>
      <c r="VWN358" s="92"/>
      <c r="VWO358" s="92"/>
      <c r="VWP358" s="92"/>
      <c r="VWQ358" s="92"/>
      <c r="VWR358" s="92"/>
      <c r="VWS358" s="92"/>
      <c r="VWT358" s="92"/>
      <c r="VWU358" s="92"/>
      <c r="VWV358" s="92"/>
      <c r="VWW358" s="92"/>
      <c r="VWX358" s="92"/>
      <c r="VWY358" s="92"/>
      <c r="VWZ358" s="92"/>
      <c r="VXA358" s="92"/>
      <c r="VXB358" s="92"/>
      <c r="VXC358" s="92"/>
      <c r="VXD358" s="92"/>
      <c r="VXE358" s="92"/>
      <c r="VXF358" s="92"/>
      <c r="VXG358" s="92"/>
      <c r="VXH358" s="92"/>
      <c r="VXI358" s="92"/>
      <c r="VXJ358" s="92"/>
      <c r="VXK358" s="92"/>
      <c r="VXL358" s="92"/>
      <c r="VXM358" s="92"/>
      <c r="VXN358" s="92"/>
      <c r="VXO358" s="92"/>
      <c r="VXP358" s="92"/>
      <c r="VXQ358" s="92"/>
      <c r="VXR358" s="92"/>
      <c r="VXS358" s="92"/>
      <c r="VXT358" s="92"/>
      <c r="VXU358" s="92"/>
      <c r="VXV358" s="92"/>
      <c r="VXW358" s="92"/>
      <c r="VXX358" s="92"/>
      <c r="VXY358" s="92"/>
      <c r="VXZ358" s="92"/>
      <c r="VYA358" s="92"/>
      <c r="VYB358" s="92"/>
      <c r="VYC358" s="92"/>
      <c r="VYD358" s="92"/>
      <c r="VYE358" s="92"/>
      <c r="VYF358" s="92"/>
      <c r="VYG358" s="92"/>
      <c r="VYH358" s="92"/>
      <c r="VYI358" s="92"/>
      <c r="VYJ358" s="92"/>
      <c r="VYK358" s="92"/>
      <c r="VYL358" s="92"/>
      <c r="VYM358" s="92"/>
      <c r="VYN358" s="92"/>
      <c r="VYO358" s="92"/>
      <c r="VYP358" s="92"/>
      <c r="VYQ358" s="92"/>
      <c r="VYR358" s="92"/>
      <c r="VYS358" s="92"/>
      <c r="VYT358" s="92"/>
      <c r="VYU358" s="92"/>
      <c r="VYV358" s="92"/>
      <c r="VYW358" s="92"/>
      <c r="VYX358" s="92"/>
      <c r="VYY358" s="92"/>
      <c r="VYZ358" s="92"/>
      <c r="VZA358" s="92"/>
      <c r="VZB358" s="92"/>
      <c r="VZC358" s="92"/>
      <c r="VZD358" s="92"/>
      <c r="VZE358" s="92"/>
      <c r="VZF358" s="92"/>
      <c r="VZG358" s="92"/>
      <c r="VZH358" s="92"/>
      <c r="VZI358" s="92"/>
      <c r="VZJ358" s="92"/>
      <c r="VZK358" s="92"/>
      <c r="VZL358" s="92"/>
      <c r="VZM358" s="92"/>
      <c r="VZN358" s="92"/>
      <c r="VZO358" s="92"/>
      <c r="VZP358" s="92"/>
      <c r="VZQ358" s="92"/>
      <c r="VZR358" s="92"/>
      <c r="VZS358" s="92"/>
      <c r="VZT358" s="92"/>
      <c r="VZU358" s="92"/>
      <c r="VZV358" s="92"/>
      <c r="VZW358" s="92"/>
      <c r="VZX358" s="92"/>
      <c r="VZY358" s="92"/>
      <c r="VZZ358" s="92"/>
      <c r="WAA358" s="92"/>
      <c r="WAB358" s="92"/>
      <c r="WAC358" s="92"/>
      <c r="WAD358" s="92"/>
      <c r="WAE358" s="92"/>
      <c r="WAF358" s="92"/>
      <c r="WAG358" s="92"/>
      <c r="WAH358" s="92"/>
      <c r="WAI358" s="92"/>
      <c r="WAJ358" s="92"/>
      <c r="WAK358" s="92"/>
      <c r="WAL358" s="92"/>
      <c r="WAM358" s="92"/>
      <c r="WAN358" s="92"/>
      <c r="WAO358" s="92"/>
      <c r="WAP358" s="92"/>
      <c r="WAQ358" s="92"/>
      <c r="WAR358" s="92"/>
      <c r="WAS358" s="92"/>
      <c r="WAT358" s="92"/>
      <c r="WAU358" s="92"/>
      <c r="WAV358" s="92"/>
      <c r="WAW358" s="92"/>
      <c r="WAX358" s="92"/>
      <c r="WAY358" s="92"/>
      <c r="WAZ358" s="92"/>
      <c r="WBA358" s="92"/>
      <c r="WBB358" s="92"/>
      <c r="WBC358" s="92"/>
      <c r="WBD358" s="92"/>
      <c r="WBE358" s="92"/>
      <c r="WBF358" s="92"/>
      <c r="WBG358" s="92"/>
      <c r="WBH358" s="92"/>
      <c r="WBI358" s="92"/>
      <c r="WBJ358" s="92"/>
      <c r="WBK358" s="92"/>
      <c r="WBL358" s="92"/>
      <c r="WBM358" s="92"/>
      <c r="WBN358" s="92"/>
      <c r="WBO358" s="92"/>
      <c r="WBP358" s="92"/>
      <c r="WBQ358" s="92"/>
      <c r="WBR358" s="92"/>
      <c r="WBS358" s="92"/>
      <c r="WBT358" s="92"/>
      <c r="WBU358" s="92"/>
      <c r="WBV358" s="92"/>
      <c r="WBW358" s="92"/>
      <c r="WBX358" s="92"/>
      <c r="WBY358" s="92"/>
      <c r="WBZ358" s="92"/>
      <c r="WCA358" s="92"/>
      <c r="WCB358" s="92"/>
      <c r="WCC358" s="92"/>
      <c r="WCD358" s="92"/>
      <c r="WCE358" s="92"/>
      <c r="WCF358" s="92"/>
      <c r="WCG358" s="92"/>
      <c r="WCH358" s="92"/>
      <c r="WCI358" s="92"/>
      <c r="WCJ358" s="92"/>
      <c r="WCK358" s="92"/>
      <c r="WCL358" s="92"/>
      <c r="WCM358" s="92"/>
      <c r="WCN358" s="92"/>
      <c r="WCO358" s="92"/>
      <c r="WCP358" s="92"/>
      <c r="WCQ358" s="92"/>
      <c r="WCR358" s="92"/>
      <c r="WCS358" s="92"/>
      <c r="WCT358" s="92"/>
      <c r="WCU358" s="92"/>
      <c r="WCV358" s="92"/>
      <c r="WCW358" s="92"/>
      <c r="WCX358" s="92"/>
      <c r="WCY358" s="92"/>
      <c r="WCZ358" s="92"/>
      <c r="WDA358" s="92"/>
      <c r="WDB358" s="92"/>
      <c r="WDC358" s="92"/>
      <c r="WDD358" s="92"/>
      <c r="WDE358" s="92"/>
      <c r="WDF358" s="92"/>
      <c r="WDG358" s="92"/>
      <c r="WDH358" s="92"/>
      <c r="WDI358" s="92"/>
      <c r="WDJ358" s="92"/>
      <c r="WDK358" s="92"/>
      <c r="WDL358" s="92"/>
      <c r="WDM358" s="92"/>
      <c r="WDN358" s="92"/>
      <c r="WDO358" s="92"/>
      <c r="WDP358" s="92"/>
      <c r="WDQ358" s="92"/>
      <c r="WDR358" s="92"/>
      <c r="WDS358" s="92"/>
      <c r="WDT358" s="92"/>
      <c r="WDU358" s="92"/>
      <c r="WDV358" s="92"/>
      <c r="WDW358" s="92"/>
      <c r="WDX358" s="92"/>
      <c r="WDY358" s="92"/>
      <c r="WDZ358" s="92"/>
      <c r="WEA358" s="92"/>
      <c r="WEB358" s="92"/>
      <c r="WEC358" s="92"/>
      <c r="WED358" s="92"/>
      <c r="WEE358" s="92"/>
      <c r="WEF358" s="92"/>
      <c r="WEG358" s="92"/>
      <c r="WEH358" s="92"/>
      <c r="WEI358" s="92"/>
      <c r="WEJ358" s="92"/>
      <c r="WEK358" s="92"/>
      <c r="WEL358" s="92"/>
      <c r="WEM358" s="92"/>
      <c r="WEN358" s="92"/>
      <c r="WEO358" s="92"/>
      <c r="WEP358" s="92"/>
      <c r="WEQ358" s="92"/>
      <c r="WER358" s="92"/>
      <c r="WES358" s="92"/>
      <c r="WET358" s="92"/>
      <c r="WEU358" s="92"/>
      <c r="WEV358" s="92"/>
      <c r="WEW358" s="92"/>
      <c r="WEX358" s="92"/>
      <c r="WEY358" s="92"/>
      <c r="WEZ358" s="92"/>
      <c r="WFA358" s="92"/>
      <c r="WFB358" s="92"/>
      <c r="WFC358" s="92"/>
      <c r="WFD358" s="92"/>
      <c r="WFE358" s="92"/>
      <c r="WFF358" s="92"/>
      <c r="WFG358" s="92"/>
      <c r="WFH358" s="92"/>
      <c r="WFI358" s="92"/>
      <c r="WFJ358" s="92"/>
      <c r="WFK358" s="92"/>
      <c r="WFL358" s="92"/>
      <c r="WFM358" s="92"/>
      <c r="WFN358" s="92"/>
      <c r="WFO358" s="92"/>
      <c r="WFP358" s="92"/>
      <c r="WFQ358" s="92"/>
      <c r="WFR358" s="92"/>
      <c r="WFS358" s="92"/>
      <c r="WFT358" s="92"/>
      <c r="WFU358" s="92"/>
      <c r="WFV358" s="92"/>
      <c r="WFW358" s="92"/>
      <c r="WFX358" s="92"/>
      <c r="WFY358" s="92"/>
      <c r="WFZ358" s="92"/>
      <c r="WGA358" s="92"/>
      <c r="WGB358" s="92"/>
      <c r="WGC358" s="92"/>
      <c r="WGD358" s="92"/>
      <c r="WGE358" s="92"/>
      <c r="WGF358" s="92"/>
      <c r="WGG358" s="92"/>
      <c r="WGH358" s="92"/>
      <c r="WGI358" s="92"/>
      <c r="WGJ358" s="92"/>
      <c r="WGK358" s="92"/>
      <c r="WGL358" s="92"/>
      <c r="WGM358" s="92"/>
      <c r="WGN358" s="92"/>
      <c r="WGO358" s="92"/>
      <c r="WGP358" s="92"/>
      <c r="WGQ358" s="92"/>
      <c r="WGR358" s="92"/>
      <c r="WGS358" s="92"/>
      <c r="WGT358" s="92"/>
      <c r="WGU358" s="92"/>
      <c r="WGV358" s="92"/>
      <c r="WGW358" s="92"/>
      <c r="WGX358" s="92"/>
      <c r="WGY358" s="92"/>
      <c r="WGZ358" s="92"/>
      <c r="WHA358" s="92"/>
      <c r="WHB358" s="92"/>
      <c r="WHC358" s="92"/>
      <c r="WHD358" s="92"/>
      <c r="WHE358" s="92"/>
      <c r="WHF358" s="92"/>
      <c r="WHG358" s="92"/>
      <c r="WHH358" s="92"/>
      <c r="WHI358" s="92"/>
      <c r="WHJ358" s="92"/>
      <c r="WHK358" s="92"/>
      <c r="WHL358" s="92"/>
      <c r="WHM358" s="92"/>
      <c r="WHN358" s="92"/>
      <c r="WHO358" s="92"/>
      <c r="WHP358" s="92"/>
      <c r="WHQ358" s="92"/>
      <c r="WHR358" s="92"/>
      <c r="WHS358" s="92"/>
      <c r="WHT358" s="92"/>
      <c r="WHU358" s="92"/>
      <c r="WHV358" s="92"/>
      <c r="WHW358" s="92"/>
      <c r="WHX358" s="92"/>
      <c r="WHY358" s="92"/>
      <c r="WHZ358" s="92"/>
      <c r="WIA358" s="92"/>
      <c r="WIB358" s="92"/>
      <c r="WIC358" s="92"/>
      <c r="WID358" s="92"/>
      <c r="WIE358" s="92"/>
      <c r="WIF358" s="92"/>
      <c r="WIG358" s="92"/>
      <c r="WIH358" s="92"/>
      <c r="WII358" s="92"/>
      <c r="WIJ358" s="92"/>
      <c r="WIK358" s="92"/>
      <c r="WIL358" s="92"/>
      <c r="WIM358" s="92"/>
      <c r="WIN358" s="92"/>
      <c r="WIO358" s="92"/>
      <c r="WIP358" s="92"/>
      <c r="WIQ358" s="92"/>
      <c r="WIR358" s="92"/>
      <c r="WIS358" s="92"/>
      <c r="WIT358" s="92"/>
      <c r="WIU358" s="92"/>
      <c r="WIV358" s="92"/>
      <c r="WIW358" s="92"/>
      <c r="WIX358" s="92"/>
      <c r="WIY358" s="92"/>
      <c r="WIZ358" s="92"/>
      <c r="WJA358" s="92"/>
      <c r="WJB358" s="92"/>
      <c r="WJC358" s="92"/>
      <c r="WJD358" s="92"/>
      <c r="WJE358" s="92"/>
      <c r="WJF358" s="92"/>
      <c r="WJG358" s="92"/>
      <c r="WJH358" s="92"/>
      <c r="WJI358" s="92"/>
      <c r="WJJ358" s="92"/>
      <c r="WJK358" s="92"/>
      <c r="WJL358" s="92"/>
      <c r="WJM358" s="92"/>
      <c r="WJN358" s="92"/>
      <c r="WJO358" s="92"/>
      <c r="WJP358" s="92"/>
      <c r="WJQ358" s="92"/>
      <c r="WJR358" s="92"/>
      <c r="WJS358" s="92"/>
      <c r="WJT358" s="92"/>
      <c r="WJU358" s="92"/>
      <c r="WJV358" s="92"/>
      <c r="WJW358" s="92"/>
      <c r="WJX358" s="92"/>
      <c r="WJY358" s="92"/>
      <c r="WJZ358" s="92"/>
      <c r="WKA358" s="92"/>
      <c r="WKB358" s="92"/>
      <c r="WKC358" s="92"/>
      <c r="WKD358" s="92"/>
      <c r="WKE358" s="92"/>
      <c r="WKF358" s="92"/>
      <c r="WKG358" s="92"/>
      <c r="WKH358" s="92"/>
      <c r="WKI358" s="92"/>
      <c r="WKJ358" s="92"/>
      <c r="WKK358" s="92"/>
      <c r="WKL358" s="92"/>
      <c r="WKM358" s="92"/>
      <c r="WKN358" s="92"/>
      <c r="WKO358" s="92"/>
      <c r="WKP358" s="92"/>
      <c r="WKQ358" s="92"/>
      <c r="WKR358" s="92"/>
      <c r="WKS358" s="92"/>
      <c r="WKT358" s="92"/>
      <c r="WKU358" s="92"/>
      <c r="WKV358" s="92"/>
      <c r="WKW358" s="92"/>
      <c r="WKX358" s="92"/>
      <c r="WKY358" s="92"/>
      <c r="WKZ358" s="92"/>
      <c r="WLA358" s="92"/>
      <c r="WLB358" s="92"/>
      <c r="WLC358" s="92"/>
      <c r="WLD358" s="92"/>
      <c r="WLE358" s="92"/>
      <c r="WLF358" s="92"/>
      <c r="WLG358" s="92"/>
      <c r="WLH358" s="92"/>
      <c r="WLI358" s="92"/>
      <c r="WLJ358" s="92"/>
      <c r="WLK358" s="92"/>
      <c r="WLL358" s="92"/>
      <c r="WLM358" s="92"/>
      <c r="WLN358" s="92"/>
      <c r="WLO358" s="92"/>
      <c r="WLP358" s="92"/>
      <c r="WLQ358" s="92"/>
      <c r="WLR358" s="92"/>
      <c r="WLS358" s="92"/>
      <c r="WLT358" s="92"/>
      <c r="WLU358" s="92"/>
      <c r="WLV358" s="92"/>
      <c r="WLW358" s="92"/>
      <c r="WLX358" s="92"/>
      <c r="WLY358" s="92"/>
      <c r="WLZ358" s="92"/>
      <c r="WMA358" s="92"/>
      <c r="WMB358" s="92"/>
      <c r="WMC358" s="92"/>
      <c r="WMD358" s="92"/>
      <c r="WME358" s="92"/>
      <c r="WMF358" s="92"/>
      <c r="WMG358" s="92"/>
      <c r="WMH358" s="92"/>
      <c r="WMI358" s="92"/>
      <c r="WMJ358" s="92"/>
      <c r="WMK358" s="92"/>
      <c r="WML358" s="92"/>
      <c r="WMM358" s="92"/>
      <c r="WMN358" s="92"/>
      <c r="WMO358" s="92"/>
      <c r="WMP358" s="92"/>
      <c r="WMQ358" s="92"/>
      <c r="WMR358" s="92"/>
      <c r="WMS358" s="92"/>
      <c r="WMT358" s="92"/>
      <c r="WMU358" s="92"/>
      <c r="WMV358" s="92"/>
      <c r="WMW358" s="92"/>
      <c r="WMX358" s="92"/>
      <c r="WMY358" s="92"/>
      <c r="WMZ358" s="92"/>
      <c r="WNA358" s="92"/>
      <c r="WNB358" s="92"/>
      <c r="WNC358" s="92"/>
      <c r="WND358" s="92"/>
      <c r="WNE358" s="92"/>
      <c r="WNF358" s="92"/>
      <c r="WNG358" s="92"/>
      <c r="WNH358" s="92"/>
      <c r="WNI358" s="92"/>
      <c r="WNJ358" s="92"/>
      <c r="WNK358" s="92"/>
      <c r="WNL358" s="92"/>
      <c r="WNM358" s="92"/>
      <c r="WNN358" s="92"/>
      <c r="WNO358" s="92"/>
      <c r="WNP358" s="92"/>
      <c r="WNQ358" s="92"/>
      <c r="WNR358" s="92"/>
      <c r="WNS358" s="92"/>
      <c r="WNT358" s="92"/>
      <c r="WNU358" s="92"/>
      <c r="WNV358" s="92"/>
      <c r="WNW358" s="92"/>
      <c r="WNX358" s="92"/>
      <c r="WNY358" s="92"/>
      <c r="WNZ358" s="92"/>
      <c r="WOA358" s="92"/>
      <c r="WOB358" s="92"/>
      <c r="WOC358" s="92"/>
      <c r="WOD358" s="92"/>
      <c r="WOE358" s="92"/>
      <c r="WOF358" s="92"/>
      <c r="WOG358" s="92"/>
      <c r="WOH358" s="92"/>
      <c r="WOI358" s="92"/>
      <c r="WOJ358" s="92"/>
      <c r="WOK358" s="92"/>
      <c r="WOL358" s="92"/>
      <c r="WOM358" s="92"/>
      <c r="WON358" s="92"/>
      <c r="WOO358" s="92"/>
      <c r="WOP358" s="92"/>
      <c r="WOQ358" s="92"/>
      <c r="WOR358" s="92"/>
      <c r="WOS358" s="92"/>
      <c r="WOT358" s="92"/>
      <c r="WOU358" s="92"/>
      <c r="WOV358" s="92"/>
      <c r="WOW358" s="92"/>
      <c r="WOX358" s="92"/>
      <c r="WOY358" s="92"/>
      <c r="WOZ358" s="92"/>
      <c r="WPA358" s="92"/>
      <c r="WPB358" s="92"/>
      <c r="WPC358" s="92"/>
      <c r="WPD358" s="92"/>
      <c r="WPE358" s="92"/>
      <c r="WPF358" s="92"/>
      <c r="WPG358" s="92"/>
      <c r="WPH358" s="92"/>
      <c r="WPI358" s="92"/>
      <c r="WPJ358" s="92"/>
      <c r="WPK358" s="92"/>
      <c r="WPL358" s="92"/>
      <c r="WPM358" s="92"/>
      <c r="WPN358" s="92"/>
      <c r="WPO358" s="92"/>
      <c r="WPP358" s="92"/>
      <c r="WPQ358" s="92"/>
      <c r="WPR358" s="92"/>
      <c r="WPS358" s="92"/>
      <c r="WPT358" s="92"/>
      <c r="WPU358" s="92"/>
      <c r="WPV358" s="92"/>
      <c r="WPW358" s="92"/>
      <c r="WPX358" s="92"/>
      <c r="WPY358" s="92"/>
      <c r="WPZ358" s="92"/>
      <c r="WQA358" s="92"/>
      <c r="WQB358" s="92"/>
      <c r="WQC358" s="92"/>
      <c r="WQD358" s="92"/>
      <c r="WQE358" s="92"/>
      <c r="WQF358" s="92"/>
      <c r="WQG358" s="92"/>
      <c r="WQH358" s="92"/>
      <c r="WQI358" s="92"/>
      <c r="WQJ358" s="92"/>
      <c r="WQK358" s="92"/>
      <c r="WQL358" s="92"/>
      <c r="WQM358" s="92"/>
      <c r="WQN358" s="92"/>
      <c r="WQO358" s="92"/>
      <c r="WQP358" s="92"/>
      <c r="WQQ358" s="92"/>
      <c r="WQR358" s="92"/>
      <c r="WQS358" s="92"/>
      <c r="WQT358" s="92"/>
      <c r="WQU358" s="92"/>
      <c r="WQV358" s="92"/>
      <c r="WQW358" s="92"/>
      <c r="WQX358" s="92"/>
      <c r="WQY358" s="92"/>
      <c r="WQZ358" s="92"/>
      <c r="WRA358" s="92"/>
      <c r="WRB358" s="92"/>
      <c r="WRC358" s="92"/>
      <c r="WRD358" s="92"/>
      <c r="WRE358" s="92"/>
      <c r="WRF358" s="92"/>
      <c r="WRG358" s="92"/>
      <c r="WRH358" s="92"/>
      <c r="WRI358" s="92"/>
      <c r="WRJ358" s="92"/>
      <c r="WRK358" s="92"/>
      <c r="WRL358" s="92"/>
      <c r="WRM358" s="92"/>
      <c r="WRN358" s="92"/>
      <c r="WRO358" s="92"/>
      <c r="WRP358" s="92"/>
      <c r="WRQ358" s="92"/>
      <c r="WRR358" s="92"/>
      <c r="WRS358" s="92"/>
      <c r="WRT358" s="92"/>
      <c r="WRU358" s="92"/>
      <c r="WRV358" s="92"/>
      <c r="WRW358" s="92"/>
      <c r="WRX358" s="92"/>
      <c r="WRY358" s="92"/>
      <c r="WRZ358" s="92"/>
      <c r="WSA358" s="92"/>
      <c r="WSB358" s="92"/>
      <c r="WSC358" s="92"/>
      <c r="WSD358" s="92"/>
      <c r="WSE358" s="92"/>
      <c r="WSF358" s="92"/>
      <c r="WSG358" s="92"/>
      <c r="WSH358" s="92"/>
      <c r="WSI358" s="92"/>
      <c r="WSJ358" s="92"/>
      <c r="WSK358" s="92"/>
      <c r="WSL358" s="92"/>
      <c r="WSM358" s="92"/>
      <c r="WSN358" s="92"/>
      <c r="WSO358" s="92"/>
      <c r="WSP358" s="92"/>
      <c r="WSQ358" s="92"/>
      <c r="WSR358" s="92"/>
      <c r="WSS358" s="92"/>
      <c r="WST358" s="92"/>
      <c r="WSU358" s="92"/>
      <c r="WSV358" s="92"/>
      <c r="WSW358" s="92"/>
      <c r="WSX358" s="92"/>
      <c r="WSY358" s="92"/>
      <c r="WSZ358" s="92"/>
      <c r="WTA358" s="92"/>
      <c r="WTB358" s="92"/>
      <c r="WTC358" s="92"/>
      <c r="WTD358" s="92"/>
      <c r="WTE358" s="92"/>
      <c r="WTF358" s="92"/>
      <c r="WTG358" s="92"/>
      <c r="WTH358" s="92"/>
      <c r="WTI358" s="92"/>
      <c r="WTJ358" s="92"/>
      <c r="WTK358" s="92"/>
      <c r="WTL358" s="92"/>
      <c r="WTM358" s="92"/>
      <c r="WTN358" s="92"/>
      <c r="WTO358" s="92"/>
      <c r="WTP358" s="92"/>
      <c r="WTQ358" s="92"/>
      <c r="WTR358" s="92"/>
      <c r="WTS358" s="92"/>
      <c r="WTT358" s="92"/>
      <c r="WTU358" s="92"/>
      <c r="WTV358" s="92"/>
      <c r="WTW358" s="92"/>
      <c r="WTX358" s="92"/>
      <c r="WTY358" s="92"/>
      <c r="WTZ358" s="92"/>
      <c r="WUA358" s="92"/>
      <c r="WUB358" s="92"/>
      <c r="WUC358" s="92"/>
      <c r="WUD358" s="92"/>
      <c r="WUE358" s="92"/>
      <c r="WUF358" s="92"/>
      <c r="WUG358" s="92"/>
      <c r="WUH358" s="92"/>
      <c r="WUI358" s="92"/>
      <c r="WUJ358" s="92"/>
      <c r="WUK358" s="92"/>
      <c r="WUL358" s="92"/>
      <c r="WUM358" s="92"/>
      <c r="WUN358" s="92"/>
      <c r="WUO358" s="92"/>
      <c r="WUP358" s="92"/>
      <c r="WUQ358" s="92"/>
      <c r="WUR358" s="92"/>
      <c r="WUS358" s="92"/>
      <c r="WUT358" s="92"/>
      <c r="WUU358" s="92"/>
      <c r="WUV358" s="92"/>
      <c r="WUW358" s="92"/>
      <c r="WUX358" s="92"/>
      <c r="WUY358" s="92"/>
      <c r="WUZ358" s="92"/>
      <c r="WVA358" s="92"/>
      <c r="WVB358" s="92"/>
      <c r="WVC358" s="92"/>
      <c r="WVD358" s="92"/>
      <c r="WVE358" s="92"/>
      <c r="WVF358" s="92"/>
      <c r="WVG358" s="92"/>
      <c r="WVH358" s="92"/>
      <c r="WVI358" s="92"/>
      <c r="WVJ358" s="92"/>
      <c r="WVK358" s="92"/>
      <c r="WVL358" s="92"/>
      <c r="WVM358" s="92"/>
      <c r="WVN358" s="92"/>
      <c r="WVO358" s="92"/>
      <c r="WVP358" s="92"/>
      <c r="WVQ358" s="92"/>
      <c r="WVR358" s="92"/>
      <c r="WVS358" s="92"/>
      <c r="WVT358" s="92"/>
      <c r="WVU358" s="92"/>
      <c r="WVV358" s="92"/>
      <c r="WVW358" s="92"/>
      <c r="WVX358" s="92"/>
      <c r="WVY358" s="92"/>
      <c r="WVZ358" s="92"/>
      <c r="WWA358" s="92"/>
      <c r="WWB358" s="92"/>
      <c r="WWC358" s="92"/>
      <c r="WWD358" s="92"/>
      <c r="WWE358" s="92"/>
      <c r="WWF358" s="92"/>
      <c r="WWG358" s="92"/>
      <c r="WWH358" s="92"/>
      <c r="WWI358" s="92"/>
      <c r="WWJ358" s="92"/>
      <c r="WWK358" s="92"/>
      <c r="WWL358" s="92"/>
      <c r="WWM358" s="92"/>
      <c r="WWN358" s="92"/>
      <c r="WWO358" s="92"/>
      <c r="WWP358" s="92"/>
      <c r="WWQ358" s="92"/>
      <c r="WWR358" s="92"/>
      <c r="WWS358" s="92"/>
      <c r="WWT358" s="92"/>
      <c r="WWU358" s="92"/>
      <c r="WWV358" s="92"/>
      <c r="WWW358" s="92"/>
      <c r="WWX358" s="92"/>
      <c r="WWY358" s="92"/>
      <c r="WWZ358" s="92"/>
      <c r="WXA358" s="92"/>
      <c r="WXB358" s="92"/>
      <c r="WXC358" s="92"/>
      <c r="WXD358" s="92"/>
      <c r="WXE358" s="92"/>
      <c r="WXF358" s="92"/>
      <c r="WXG358" s="92"/>
      <c r="WXH358" s="92"/>
      <c r="WXI358" s="92"/>
      <c r="WXJ358" s="92"/>
      <c r="WXK358" s="92"/>
      <c r="WXL358" s="92"/>
      <c r="WXM358" s="92"/>
      <c r="WXN358" s="92"/>
      <c r="WXO358" s="92"/>
      <c r="WXP358" s="92"/>
      <c r="WXQ358" s="92"/>
      <c r="WXR358" s="92"/>
      <c r="WXS358" s="92"/>
      <c r="WXT358" s="92"/>
      <c r="WXU358" s="92"/>
      <c r="WXV358" s="92"/>
      <c r="WXW358" s="92"/>
      <c r="WXX358" s="92"/>
      <c r="WXY358" s="92"/>
      <c r="WXZ358" s="92"/>
      <c r="WYA358" s="92"/>
      <c r="WYB358" s="92"/>
      <c r="WYC358" s="92"/>
      <c r="WYD358" s="92"/>
      <c r="WYE358" s="92"/>
      <c r="WYF358" s="92"/>
      <c r="WYG358" s="92"/>
      <c r="WYH358" s="92"/>
      <c r="WYI358" s="92"/>
      <c r="WYJ358" s="92"/>
      <c r="WYK358" s="92"/>
      <c r="WYL358" s="92"/>
      <c r="WYM358" s="92"/>
      <c r="WYN358" s="92"/>
      <c r="WYO358" s="92"/>
      <c r="WYP358" s="92"/>
      <c r="WYQ358" s="92"/>
      <c r="WYR358" s="92"/>
      <c r="WYS358" s="92"/>
      <c r="WYT358" s="92"/>
      <c r="WYU358" s="92"/>
      <c r="WYV358" s="92"/>
      <c r="WYW358" s="92"/>
      <c r="WYX358" s="92"/>
      <c r="WYY358" s="92"/>
      <c r="WYZ358" s="92"/>
      <c r="WZA358" s="92"/>
      <c r="WZB358" s="92"/>
      <c r="WZC358" s="92"/>
      <c r="WZD358" s="92"/>
      <c r="WZE358" s="92"/>
      <c r="WZF358" s="92"/>
      <c r="WZG358" s="92"/>
      <c r="WZH358" s="92"/>
      <c r="WZI358" s="92"/>
      <c r="WZJ358" s="92"/>
      <c r="WZK358" s="92"/>
      <c r="WZL358" s="92"/>
      <c r="WZM358" s="92"/>
      <c r="WZN358" s="92"/>
      <c r="WZO358" s="92"/>
      <c r="WZP358" s="92"/>
      <c r="WZQ358" s="92"/>
      <c r="WZR358" s="92"/>
      <c r="WZS358" s="92"/>
      <c r="WZT358" s="92"/>
      <c r="WZU358" s="92"/>
      <c r="WZV358" s="92"/>
      <c r="WZW358" s="92"/>
      <c r="WZX358" s="92"/>
      <c r="WZY358" s="92"/>
      <c r="WZZ358" s="92"/>
      <c r="XAA358" s="92"/>
      <c r="XAB358" s="92"/>
      <c r="XAC358" s="92"/>
      <c r="XAD358" s="92"/>
      <c r="XAE358" s="92"/>
      <c r="XAF358" s="92"/>
      <c r="XAG358" s="92"/>
      <c r="XAH358" s="92"/>
      <c r="XAI358" s="92"/>
      <c r="XAJ358" s="92"/>
      <c r="XAK358" s="92"/>
      <c r="XAL358" s="92"/>
      <c r="XAM358" s="92"/>
      <c r="XAN358" s="92"/>
      <c r="XAO358" s="92"/>
      <c r="XAP358" s="92"/>
      <c r="XAQ358" s="92"/>
      <c r="XAR358" s="92"/>
      <c r="XAS358" s="92"/>
      <c r="XAT358" s="92"/>
      <c r="XAU358" s="92"/>
      <c r="XAV358" s="92"/>
      <c r="XAW358" s="92"/>
      <c r="XAX358" s="92"/>
      <c r="XAY358" s="92"/>
      <c r="XAZ358" s="92"/>
      <c r="XBA358" s="92"/>
      <c r="XBB358" s="92"/>
      <c r="XBC358" s="92"/>
      <c r="XBD358" s="92"/>
      <c r="XBE358" s="92"/>
      <c r="XBF358" s="92"/>
      <c r="XBG358" s="92"/>
      <c r="XBH358" s="92"/>
      <c r="XBI358" s="92"/>
      <c r="XBJ358" s="92"/>
      <c r="XBK358" s="92"/>
      <c r="XBL358" s="92"/>
      <c r="XBM358" s="92"/>
      <c r="XBN358" s="92"/>
      <c r="XBO358" s="92"/>
      <c r="XBP358" s="92"/>
      <c r="XBQ358" s="92"/>
      <c r="XBR358" s="92"/>
      <c r="XBS358" s="92"/>
      <c r="XBT358" s="92"/>
      <c r="XBU358" s="92"/>
      <c r="XBV358" s="92"/>
      <c r="XBW358" s="92"/>
      <c r="XBX358" s="92"/>
      <c r="XBY358" s="92"/>
      <c r="XBZ358" s="92"/>
      <c r="XCA358" s="92"/>
      <c r="XCB358" s="92"/>
      <c r="XCC358" s="92"/>
      <c r="XCD358" s="92"/>
      <c r="XCE358" s="92"/>
      <c r="XCF358" s="92"/>
      <c r="XCG358" s="92"/>
      <c r="XCH358" s="92"/>
      <c r="XCI358" s="92"/>
      <c r="XCJ358" s="92"/>
      <c r="XCK358" s="92"/>
      <c r="XCL358" s="92"/>
      <c r="XCM358" s="92"/>
      <c r="XCN358" s="92"/>
      <c r="XCO358" s="92"/>
      <c r="XCP358" s="92"/>
      <c r="XCQ358" s="92"/>
      <c r="XCR358" s="92"/>
      <c r="XCS358" s="92"/>
      <c r="XCT358" s="92"/>
      <c r="XCU358" s="92"/>
      <c r="XCV358" s="92"/>
      <c r="XCW358" s="92"/>
      <c r="XCX358" s="92"/>
      <c r="XCY358" s="92"/>
      <c r="XCZ358" s="92"/>
      <c r="XDA358" s="92"/>
      <c r="XDB358" s="92"/>
      <c r="XDC358" s="92"/>
      <c r="XDD358" s="92"/>
      <c r="XDE358" s="92"/>
      <c r="XDF358" s="92"/>
      <c r="XDG358" s="92"/>
      <c r="XDH358" s="92"/>
      <c r="XDI358" s="92"/>
      <c r="XDJ358" s="92"/>
      <c r="XDK358" s="92"/>
      <c r="XDL358" s="92"/>
      <c r="XDM358" s="92"/>
      <c r="XDN358" s="92"/>
      <c r="XDO358" s="92"/>
      <c r="XDP358" s="92"/>
      <c r="XDQ358" s="92"/>
      <c r="XDR358" s="92"/>
      <c r="XDS358" s="92"/>
      <c r="XDT358" s="92"/>
      <c r="XDU358" s="92"/>
      <c r="XDV358" s="92"/>
      <c r="XDW358" s="92"/>
      <c r="XDX358" s="92"/>
      <c r="XDY358" s="92"/>
      <c r="XDZ358" s="92"/>
      <c r="XEA358" s="92"/>
      <c r="XEB358" s="92"/>
      <c r="XEC358" s="92"/>
      <c r="XED358" s="92"/>
      <c r="XEE358" s="92"/>
      <c r="XEF358" s="92"/>
      <c r="XEG358" s="92"/>
      <c r="XEH358" s="92"/>
      <c r="XEI358" s="92"/>
      <c r="XEJ358" s="92"/>
      <c r="XEK358" s="92"/>
      <c r="XEL358" s="92"/>
      <c r="XEM358" s="92"/>
      <c r="XEN358" s="92"/>
      <c r="XEO358" s="92"/>
      <c r="XEP358" s="92"/>
      <c r="XEQ358" s="92"/>
      <c r="XER358" s="92"/>
    </row>
    <row r="359" spans="1:16378" s="466" customFormat="1" ht="45" hidden="1">
      <c r="A359" s="464" t="s">
        <v>264</v>
      </c>
      <c r="B359" s="464">
        <v>365</v>
      </c>
      <c r="C359" s="464" t="s">
        <v>449</v>
      </c>
      <c r="D359" s="464"/>
      <c r="E359" s="465" t="s">
        <v>722</v>
      </c>
      <c r="F359" s="465" t="s">
        <v>268</v>
      </c>
      <c r="G359" s="465" t="s">
        <v>267</v>
      </c>
      <c r="H359" s="411" t="s">
        <v>268</v>
      </c>
      <c r="I359" s="412">
        <v>69</v>
      </c>
      <c r="J359" s="412"/>
      <c r="K359" s="464" t="s">
        <v>268</v>
      </c>
      <c r="L359" s="464" t="s">
        <v>80</v>
      </c>
      <c r="M359" s="464" t="s">
        <v>115</v>
      </c>
      <c r="N359" s="414" t="s">
        <v>269</v>
      </c>
      <c r="O359" s="415" t="s">
        <v>253</v>
      </c>
      <c r="P359" s="414">
        <v>2017</v>
      </c>
      <c r="Q359" s="464" t="s">
        <v>117</v>
      </c>
      <c r="R359" s="464"/>
      <c r="S359" s="464"/>
      <c r="T359" s="464"/>
      <c r="U359" s="464"/>
      <c r="V359" s="464"/>
      <c r="W359" s="465"/>
    </row>
    <row r="360" spans="1:16378" s="466" customFormat="1" ht="45" hidden="1">
      <c r="A360" s="464" t="s">
        <v>264</v>
      </c>
      <c r="B360" s="464">
        <v>366</v>
      </c>
      <c r="C360" s="464" t="s">
        <v>449</v>
      </c>
      <c r="D360" s="464"/>
      <c r="E360" s="465" t="s">
        <v>723</v>
      </c>
      <c r="F360" s="465" t="s">
        <v>268</v>
      </c>
      <c r="G360" s="465" t="s">
        <v>267</v>
      </c>
      <c r="H360" s="411" t="s">
        <v>268</v>
      </c>
      <c r="I360" s="412">
        <v>70</v>
      </c>
      <c r="J360" s="412"/>
      <c r="K360" s="464" t="s">
        <v>268</v>
      </c>
      <c r="L360" s="464" t="s">
        <v>724</v>
      </c>
      <c r="M360" s="464" t="s">
        <v>115</v>
      </c>
      <c r="N360" s="414" t="s">
        <v>269</v>
      </c>
      <c r="O360" s="415" t="s">
        <v>253</v>
      </c>
      <c r="P360" s="414">
        <v>2017</v>
      </c>
      <c r="Q360" s="464" t="s">
        <v>117</v>
      </c>
      <c r="R360" s="464"/>
      <c r="S360" s="464"/>
      <c r="T360" s="464"/>
      <c r="U360" s="464"/>
      <c r="V360" s="464"/>
      <c r="W360" s="465"/>
    </row>
    <row r="361" spans="1:16378" s="466" customFormat="1" ht="45" hidden="1">
      <c r="A361" s="464" t="s">
        <v>264</v>
      </c>
      <c r="B361" s="464">
        <v>367</v>
      </c>
      <c r="C361" s="464" t="s">
        <v>449</v>
      </c>
      <c r="D361" s="464"/>
      <c r="E361" s="465" t="s">
        <v>725</v>
      </c>
      <c r="F361" s="465" t="s">
        <v>268</v>
      </c>
      <c r="G361" s="465" t="s">
        <v>253</v>
      </c>
      <c r="H361" s="411" t="s">
        <v>268</v>
      </c>
      <c r="I361" s="412">
        <v>1921</v>
      </c>
      <c r="J361" s="412"/>
      <c r="K361" s="464" t="s">
        <v>268</v>
      </c>
      <c r="L361" s="464" t="s">
        <v>268</v>
      </c>
      <c r="M361" s="464" t="s">
        <v>115</v>
      </c>
      <c r="N361" s="414" t="s">
        <v>269</v>
      </c>
      <c r="O361" s="415" t="s">
        <v>253</v>
      </c>
      <c r="P361" s="414" t="s">
        <v>268</v>
      </c>
      <c r="Q361" s="464" t="s">
        <v>117</v>
      </c>
      <c r="R361" s="464"/>
      <c r="S361" s="464"/>
      <c r="T361" s="464"/>
      <c r="U361" s="464"/>
      <c r="V361" s="464"/>
      <c r="W361" s="465"/>
    </row>
    <row r="362" spans="1:16378" ht="45" hidden="1">
      <c r="A362" s="423" t="s">
        <v>264</v>
      </c>
      <c r="B362" s="423">
        <v>368</v>
      </c>
      <c r="C362" s="423" t="s">
        <v>449</v>
      </c>
      <c r="D362" s="423"/>
      <c r="E362" s="424" t="s">
        <v>726</v>
      </c>
      <c r="F362" s="424" t="s">
        <v>727</v>
      </c>
      <c r="G362" s="424" t="s">
        <v>452</v>
      </c>
      <c r="H362" s="281">
        <v>143221</v>
      </c>
      <c r="I362" s="425" t="s">
        <v>728</v>
      </c>
      <c r="J362" s="425"/>
      <c r="K362" s="426" t="s">
        <v>268</v>
      </c>
      <c r="L362" s="427" t="s">
        <v>82</v>
      </c>
      <c r="M362" s="427" t="s">
        <v>115</v>
      </c>
      <c r="N362" s="427" t="s">
        <v>269</v>
      </c>
      <c r="O362" s="428" t="s">
        <v>253</v>
      </c>
      <c r="P362" s="427">
        <v>2020</v>
      </c>
      <c r="Q362" s="397"/>
      <c r="R362" s="398" t="s">
        <v>15</v>
      </c>
      <c r="S362" s="399"/>
      <c r="T362" s="400"/>
      <c r="U362" s="401"/>
      <c r="V362" s="402"/>
      <c r="W362" s="47"/>
    </row>
    <row r="363" spans="1:16378" s="422" customFormat="1" ht="45" hidden="1">
      <c r="A363" s="408" t="s">
        <v>264</v>
      </c>
      <c r="B363" s="408">
        <v>369</v>
      </c>
      <c r="C363" s="408" t="s">
        <v>449</v>
      </c>
      <c r="D363" s="408"/>
      <c r="E363" s="410" t="s">
        <v>729</v>
      </c>
      <c r="F363" s="409" t="s">
        <v>268</v>
      </c>
      <c r="G363" s="410" t="s">
        <v>267</v>
      </c>
      <c r="H363" s="411" t="s">
        <v>268</v>
      </c>
      <c r="I363" s="412" t="s">
        <v>730</v>
      </c>
      <c r="J363" s="412"/>
      <c r="K363" s="449">
        <v>36372</v>
      </c>
      <c r="L363" s="414" t="s">
        <v>86</v>
      </c>
      <c r="M363" s="414" t="s">
        <v>115</v>
      </c>
      <c r="N363" s="414" t="s">
        <v>731</v>
      </c>
      <c r="O363" s="415" t="s">
        <v>253</v>
      </c>
      <c r="P363" s="414">
        <v>2021</v>
      </c>
      <c r="Q363" s="397"/>
      <c r="R363" s="398" t="s">
        <v>117</v>
      </c>
      <c r="S363" s="399"/>
      <c r="T363" s="400"/>
      <c r="U363" s="401"/>
      <c r="V363" s="402"/>
      <c r="W363" s="280"/>
    </row>
    <row r="364" spans="1:16378" s="422" customFormat="1" ht="45" hidden="1">
      <c r="A364" s="408" t="s">
        <v>264</v>
      </c>
      <c r="B364" s="408">
        <v>370</v>
      </c>
      <c r="C364" s="408" t="s">
        <v>449</v>
      </c>
      <c r="D364" s="408"/>
      <c r="E364" s="410" t="s">
        <v>732</v>
      </c>
      <c r="F364" s="409" t="s">
        <v>268</v>
      </c>
      <c r="G364" s="410" t="s">
        <v>267</v>
      </c>
      <c r="H364" s="411" t="s">
        <v>268</v>
      </c>
      <c r="I364" s="412">
        <v>147</v>
      </c>
      <c r="J364" s="412"/>
      <c r="K364" s="413" t="s">
        <v>268</v>
      </c>
      <c r="L364" s="414" t="s">
        <v>724</v>
      </c>
      <c r="M364" s="414" t="s">
        <v>115</v>
      </c>
      <c r="N364" s="414" t="s">
        <v>268</v>
      </c>
      <c r="O364" s="415" t="s">
        <v>253</v>
      </c>
      <c r="P364" s="414">
        <v>2024</v>
      </c>
      <c r="Q364" s="397"/>
      <c r="R364" s="398"/>
      <c r="S364" s="399" t="s">
        <v>117</v>
      </c>
      <c r="T364" s="400"/>
      <c r="U364" s="401"/>
      <c r="V364" s="402"/>
      <c r="W364" s="280"/>
    </row>
    <row r="365" spans="1:16378" s="466" customFormat="1" ht="45" hidden="1">
      <c r="A365" s="464" t="s">
        <v>264</v>
      </c>
      <c r="B365" s="464">
        <v>371</v>
      </c>
      <c r="C365" s="464" t="s">
        <v>449</v>
      </c>
      <c r="D365" s="464"/>
      <c r="E365" s="465" t="s">
        <v>733</v>
      </c>
      <c r="F365" s="465" t="s">
        <v>734</v>
      </c>
      <c r="G365" s="465" t="s">
        <v>267</v>
      </c>
      <c r="H365" s="281" t="s">
        <v>735</v>
      </c>
      <c r="I365" s="425">
        <v>91</v>
      </c>
      <c r="J365" s="425"/>
      <c r="K365" s="464" t="s">
        <v>268</v>
      </c>
      <c r="L365" s="464" t="s">
        <v>80</v>
      </c>
      <c r="M365" s="464" t="s">
        <v>115</v>
      </c>
      <c r="N365" s="427" t="s">
        <v>269</v>
      </c>
      <c r="O365" s="428" t="s">
        <v>253</v>
      </c>
      <c r="P365" s="427">
        <v>2012</v>
      </c>
      <c r="Q365" s="464" t="s">
        <v>15</v>
      </c>
      <c r="R365" s="464"/>
      <c r="S365" s="464"/>
      <c r="T365" s="464"/>
      <c r="U365" s="464"/>
      <c r="V365" s="464"/>
      <c r="W365" s="465"/>
    </row>
    <row r="366" spans="1:16378" s="466" customFormat="1" ht="45" hidden="1">
      <c r="A366" s="464" t="s">
        <v>264</v>
      </c>
      <c r="B366" s="464">
        <v>372</v>
      </c>
      <c r="C366" s="464" t="s">
        <v>449</v>
      </c>
      <c r="D366" s="464"/>
      <c r="E366" s="465" t="s">
        <v>736</v>
      </c>
      <c r="F366" s="465" t="s">
        <v>268</v>
      </c>
      <c r="G366" s="465" t="s">
        <v>267</v>
      </c>
      <c r="H366" s="411" t="s">
        <v>737</v>
      </c>
      <c r="I366" s="412">
        <v>92</v>
      </c>
      <c r="J366" s="412"/>
      <c r="K366" s="464" t="s">
        <v>268</v>
      </c>
      <c r="L366" s="464" t="s">
        <v>80</v>
      </c>
      <c r="M366" s="464" t="s">
        <v>115</v>
      </c>
      <c r="N366" s="414" t="s">
        <v>269</v>
      </c>
      <c r="O366" s="415" t="s">
        <v>253</v>
      </c>
      <c r="P366" s="414">
        <v>2012</v>
      </c>
      <c r="Q366" s="464" t="s">
        <v>117</v>
      </c>
      <c r="R366" s="464"/>
      <c r="S366" s="464"/>
      <c r="T366" s="464"/>
      <c r="U366" s="464"/>
      <c r="V366" s="464"/>
      <c r="W366" s="465"/>
    </row>
    <row r="367" spans="1:16378" s="466" customFormat="1" ht="45" hidden="1">
      <c r="A367" s="464" t="s">
        <v>264</v>
      </c>
      <c r="B367" s="464">
        <v>373</v>
      </c>
      <c r="C367" s="464" t="s">
        <v>449</v>
      </c>
      <c r="D367" s="464"/>
      <c r="E367" s="465" t="s">
        <v>738</v>
      </c>
      <c r="F367" s="465" t="s">
        <v>739</v>
      </c>
      <c r="G367" s="465" t="s">
        <v>267</v>
      </c>
      <c r="H367" s="281" t="s">
        <v>740</v>
      </c>
      <c r="I367" s="425">
        <v>88</v>
      </c>
      <c r="J367" s="425"/>
      <c r="K367" s="464" t="s">
        <v>268</v>
      </c>
      <c r="L367" s="464" t="s">
        <v>80</v>
      </c>
      <c r="M367" s="464" t="s">
        <v>115</v>
      </c>
      <c r="N367" s="427" t="s">
        <v>269</v>
      </c>
      <c r="O367" s="428" t="s">
        <v>253</v>
      </c>
      <c r="P367" s="427">
        <v>2012</v>
      </c>
      <c r="Q367" s="464" t="s">
        <v>15</v>
      </c>
      <c r="R367" s="464"/>
      <c r="S367" s="464"/>
      <c r="T367" s="464"/>
      <c r="U367" s="464"/>
      <c r="V367" s="464"/>
      <c r="W367" s="465"/>
    </row>
    <row r="368" spans="1:16378" s="466" customFormat="1" ht="45" hidden="1">
      <c r="A368" s="464" t="s">
        <v>264</v>
      </c>
      <c r="B368" s="464">
        <v>374</v>
      </c>
      <c r="C368" s="464" t="s">
        <v>449</v>
      </c>
      <c r="D368" s="464"/>
      <c r="E368" s="465" t="s">
        <v>741</v>
      </c>
      <c r="F368" s="465" t="s">
        <v>253</v>
      </c>
      <c r="G368" s="465" t="s">
        <v>267</v>
      </c>
      <c r="H368" s="277" t="s">
        <v>742</v>
      </c>
      <c r="I368" s="78">
        <v>93</v>
      </c>
      <c r="J368" s="78"/>
      <c r="K368" s="464" t="s">
        <v>268</v>
      </c>
      <c r="L368" s="464" t="s">
        <v>80</v>
      </c>
      <c r="M368" s="464" t="s">
        <v>134</v>
      </c>
      <c r="N368" s="80" t="s">
        <v>269</v>
      </c>
      <c r="O368" s="217" t="s">
        <v>253</v>
      </c>
      <c r="P368" s="80">
        <v>2012</v>
      </c>
      <c r="Q368" s="464"/>
      <c r="R368" s="464"/>
      <c r="S368" s="464"/>
      <c r="T368" s="464"/>
      <c r="U368" s="464"/>
      <c r="V368" s="464"/>
      <c r="W368" s="465"/>
    </row>
    <row r="369" spans="1:23" s="466" customFormat="1" ht="45" hidden="1">
      <c r="A369" s="464" t="s">
        <v>264</v>
      </c>
      <c r="B369" s="464">
        <v>375</v>
      </c>
      <c r="C369" s="464" t="s">
        <v>449</v>
      </c>
      <c r="D369" s="464"/>
      <c r="E369" s="465" t="s">
        <v>743</v>
      </c>
      <c r="F369" s="465" t="s">
        <v>253</v>
      </c>
      <c r="G369" s="465" t="s">
        <v>267</v>
      </c>
      <c r="H369" s="277" t="s">
        <v>744</v>
      </c>
      <c r="I369" s="78">
        <v>94</v>
      </c>
      <c r="J369" s="78"/>
      <c r="K369" s="464" t="s">
        <v>268</v>
      </c>
      <c r="L369" s="464" t="s">
        <v>80</v>
      </c>
      <c r="M369" s="464" t="s">
        <v>134</v>
      </c>
      <c r="N369" s="80" t="s">
        <v>269</v>
      </c>
      <c r="O369" s="217" t="s">
        <v>253</v>
      </c>
      <c r="P369" s="80">
        <v>2012</v>
      </c>
      <c r="Q369" s="464"/>
      <c r="R369" s="464"/>
      <c r="S369" s="464"/>
      <c r="T369" s="464"/>
      <c r="U369" s="464"/>
      <c r="V369" s="464"/>
      <c r="W369" s="465"/>
    </row>
    <row r="370" spans="1:23" s="466" customFormat="1" ht="60" hidden="1">
      <c r="A370" s="464" t="s">
        <v>264</v>
      </c>
      <c r="B370" s="464">
        <v>376</v>
      </c>
      <c r="C370" s="464" t="s">
        <v>449</v>
      </c>
      <c r="D370" s="464"/>
      <c r="E370" s="465" t="s">
        <v>745</v>
      </c>
      <c r="F370" s="465" t="s">
        <v>253</v>
      </c>
      <c r="G370" s="465" t="s">
        <v>267</v>
      </c>
      <c r="H370" s="411" t="s">
        <v>746</v>
      </c>
      <c r="I370" s="412">
        <v>95</v>
      </c>
      <c r="J370" s="412"/>
      <c r="K370" s="464" t="s">
        <v>268</v>
      </c>
      <c r="L370" s="464" t="s">
        <v>80</v>
      </c>
      <c r="M370" s="464" t="s">
        <v>115</v>
      </c>
      <c r="N370" s="414" t="s">
        <v>269</v>
      </c>
      <c r="O370" s="415" t="s">
        <v>253</v>
      </c>
      <c r="P370" s="414">
        <v>2012</v>
      </c>
      <c r="Q370" s="464" t="s">
        <v>117</v>
      </c>
      <c r="R370" s="464"/>
      <c r="S370" s="464"/>
      <c r="T370" s="464"/>
      <c r="U370" s="464"/>
      <c r="V370" s="464"/>
      <c r="W370" s="465"/>
    </row>
    <row r="371" spans="1:23" s="466" customFormat="1" ht="45" hidden="1">
      <c r="A371" s="464" t="s">
        <v>264</v>
      </c>
      <c r="B371" s="464">
        <v>377</v>
      </c>
      <c r="C371" s="464" t="s">
        <v>449</v>
      </c>
      <c r="D371" s="464"/>
      <c r="E371" s="465" t="s">
        <v>747</v>
      </c>
      <c r="F371" s="465" t="s">
        <v>253</v>
      </c>
      <c r="G371" s="465" t="s">
        <v>267</v>
      </c>
      <c r="H371" s="277" t="s">
        <v>748</v>
      </c>
      <c r="I371" s="78">
        <v>89</v>
      </c>
      <c r="J371" s="78"/>
      <c r="K371" s="464" t="s">
        <v>268</v>
      </c>
      <c r="L371" s="464" t="s">
        <v>80</v>
      </c>
      <c r="M371" s="464" t="s">
        <v>134</v>
      </c>
      <c r="N371" s="80" t="s">
        <v>269</v>
      </c>
      <c r="O371" s="217" t="s">
        <v>253</v>
      </c>
      <c r="P371" s="80">
        <v>2012</v>
      </c>
      <c r="Q371" s="464"/>
      <c r="R371" s="464"/>
      <c r="S371" s="464"/>
      <c r="T371" s="464"/>
      <c r="U371" s="464"/>
      <c r="V371" s="464"/>
      <c r="W371" s="465"/>
    </row>
    <row r="372" spans="1:23" s="466" customFormat="1" ht="60" hidden="1">
      <c r="A372" s="464" t="s">
        <v>264</v>
      </c>
      <c r="B372" s="464">
        <v>378</v>
      </c>
      <c r="C372" s="464" t="s">
        <v>449</v>
      </c>
      <c r="D372" s="464"/>
      <c r="E372" s="465" t="s">
        <v>749</v>
      </c>
      <c r="F372" s="465" t="s">
        <v>253</v>
      </c>
      <c r="G372" s="465" t="s">
        <v>267</v>
      </c>
      <c r="H372" s="411" t="s">
        <v>750</v>
      </c>
      <c r="I372" s="412">
        <v>90</v>
      </c>
      <c r="J372" s="412"/>
      <c r="K372" s="464" t="s">
        <v>268</v>
      </c>
      <c r="L372" s="464" t="s">
        <v>80</v>
      </c>
      <c r="M372" s="464" t="s">
        <v>115</v>
      </c>
      <c r="N372" s="414" t="s">
        <v>269</v>
      </c>
      <c r="O372" s="415" t="s">
        <v>253</v>
      </c>
      <c r="P372" s="414">
        <v>2012</v>
      </c>
      <c r="Q372" s="464" t="s">
        <v>117</v>
      </c>
      <c r="R372" s="464"/>
      <c r="S372" s="464"/>
      <c r="T372" s="464"/>
      <c r="U372" s="464"/>
      <c r="V372" s="464"/>
      <c r="W372" s="465"/>
    </row>
    <row r="373" spans="1:23" s="430" customFormat="1" ht="45" hidden="1">
      <c r="A373" s="397" t="s">
        <v>264</v>
      </c>
      <c r="B373" s="397">
        <v>379</v>
      </c>
      <c r="C373" s="397" t="s">
        <v>449</v>
      </c>
      <c r="D373" s="397"/>
      <c r="E373" s="390" t="s">
        <v>751</v>
      </c>
      <c r="F373" s="390" t="s">
        <v>253</v>
      </c>
      <c r="G373" s="390" t="s">
        <v>280</v>
      </c>
      <c r="H373" s="277" t="s">
        <v>253</v>
      </c>
      <c r="I373" s="78">
        <v>115</v>
      </c>
      <c r="J373" s="78"/>
      <c r="K373" s="397" t="s">
        <v>253</v>
      </c>
      <c r="L373" s="397" t="s">
        <v>47</v>
      </c>
      <c r="M373" s="397" t="s">
        <v>134</v>
      </c>
      <c r="N373" s="80" t="s">
        <v>253</v>
      </c>
      <c r="O373" s="217" t="s">
        <v>253</v>
      </c>
      <c r="P373" s="80" t="s">
        <v>253</v>
      </c>
      <c r="Q373" s="397"/>
      <c r="R373" s="397"/>
      <c r="S373" s="397"/>
      <c r="T373" s="397"/>
      <c r="U373" s="397"/>
      <c r="V373" s="397"/>
      <c r="W373" s="390"/>
    </row>
    <row r="374" spans="1:23" s="430" customFormat="1" ht="45" hidden="1">
      <c r="A374" s="397" t="s">
        <v>264</v>
      </c>
      <c r="B374" s="397">
        <v>380</v>
      </c>
      <c r="C374" s="397" t="s">
        <v>449</v>
      </c>
      <c r="D374" s="397"/>
      <c r="E374" s="390" t="s">
        <v>752</v>
      </c>
      <c r="F374" s="390" t="s">
        <v>253</v>
      </c>
      <c r="G374" s="390" t="s">
        <v>280</v>
      </c>
      <c r="H374" s="277" t="s">
        <v>253</v>
      </c>
      <c r="I374" s="78">
        <v>116</v>
      </c>
      <c r="J374" s="78"/>
      <c r="K374" s="397" t="s">
        <v>253</v>
      </c>
      <c r="L374" s="397" t="s">
        <v>47</v>
      </c>
      <c r="M374" s="397" t="s">
        <v>134</v>
      </c>
      <c r="N374" s="80" t="s">
        <v>253</v>
      </c>
      <c r="O374" s="217" t="s">
        <v>253</v>
      </c>
      <c r="P374" s="80" t="s">
        <v>253</v>
      </c>
      <c r="Q374" s="397"/>
      <c r="R374" s="397"/>
      <c r="S374" s="397"/>
      <c r="T374" s="397"/>
      <c r="U374" s="397"/>
      <c r="V374" s="397"/>
      <c r="W374" s="390"/>
    </row>
    <row r="375" spans="1:23" ht="45" hidden="1">
      <c r="A375" s="423" t="s">
        <v>264</v>
      </c>
      <c r="B375" s="423">
        <v>381</v>
      </c>
      <c r="C375" s="423" t="s">
        <v>449</v>
      </c>
      <c r="D375" s="423"/>
      <c r="E375" s="424" t="s">
        <v>753</v>
      </c>
      <c r="F375" s="424" t="s">
        <v>739</v>
      </c>
      <c r="G375" s="424" t="s">
        <v>280</v>
      </c>
      <c r="H375" s="281" t="s">
        <v>754</v>
      </c>
      <c r="I375" s="425">
        <v>123</v>
      </c>
      <c r="J375" s="425"/>
      <c r="K375" s="426" t="s">
        <v>268</v>
      </c>
      <c r="L375" s="427" t="s">
        <v>47</v>
      </c>
      <c r="M375" s="427" t="s">
        <v>115</v>
      </c>
      <c r="N375" s="427" t="s">
        <v>269</v>
      </c>
      <c r="O375" s="428" t="s">
        <v>253</v>
      </c>
      <c r="P375" s="427">
        <v>2016</v>
      </c>
      <c r="Q375" s="397"/>
      <c r="R375" s="398" t="s">
        <v>15</v>
      </c>
      <c r="S375" s="399"/>
      <c r="T375" s="400"/>
      <c r="U375" s="401"/>
      <c r="V375" s="402"/>
      <c r="W375" s="47"/>
    </row>
    <row r="376" spans="1:23" s="471" customFormat="1" ht="45" hidden="1">
      <c r="A376" s="397" t="s">
        <v>264</v>
      </c>
      <c r="B376" s="397">
        <v>382</v>
      </c>
      <c r="C376" s="397" t="s">
        <v>449</v>
      </c>
      <c r="D376" s="397"/>
      <c r="E376" s="390" t="s">
        <v>755</v>
      </c>
      <c r="F376" s="390" t="s">
        <v>631</v>
      </c>
      <c r="G376" s="390" t="s">
        <v>280</v>
      </c>
      <c r="H376" s="277" t="s">
        <v>756</v>
      </c>
      <c r="I376" s="78">
        <v>796</v>
      </c>
      <c r="J376" s="78"/>
      <c r="K376" s="397" t="s">
        <v>268</v>
      </c>
      <c r="L376" s="397" t="s">
        <v>82</v>
      </c>
      <c r="M376" s="397" t="s">
        <v>134</v>
      </c>
      <c r="N376" s="80" t="s">
        <v>269</v>
      </c>
      <c r="O376" s="217" t="s">
        <v>253</v>
      </c>
      <c r="P376" s="80">
        <v>2022</v>
      </c>
      <c r="Q376" s="397"/>
      <c r="R376" s="397"/>
      <c r="S376" s="397"/>
      <c r="T376" s="397"/>
      <c r="U376" s="397"/>
      <c r="V376" s="397"/>
      <c r="W376" s="390"/>
    </row>
    <row r="377" spans="1:23" s="471" customFormat="1" ht="45" hidden="1">
      <c r="A377" s="397" t="s">
        <v>264</v>
      </c>
      <c r="B377" s="397">
        <v>383</v>
      </c>
      <c r="C377" s="397" t="s">
        <v>449</v>
      </c>
      <c r="D377" s="397"/>
      <c r="E377" s="390" t="s">
        <v>757</v>
      </c>
      <c r="F377" s="390" t="s">
        <v>631</v>
      </c>
      <c r="G377" s="390" t="s">
        <v>280</v>
      </c>
      <c r="H377" s="277" t="s">
        <v>253</v>
      </c>
      <c r="I377" s="78">
        <v>1455</v>
      </c>
      <c r="J377" s="78"/>
      <c r="K377" s="397" t="s">
        <v>268</v>
      </c>
      <c r="L377" s="397" t="s">
        <v>82</v>
      </c>
      <c r="M377" s="397" t="s">
        <v>134</v>
      </c>
      <c r="N377" s="80" t="s">
        <v>269</v>
      </c>
      <c r="O377" s="217" t="s">
        <v>253</v>
      </c>
      <c r="P377" s="80" t="s">
        <v>268</v>
      </c>
      <c r="Q377" s="397"/>
      <c r="R377" s="397"/>
      <c r="S377" s="397"/>
      <c r="T377" s="397"/>
      <c r="U377" s="397"/>
      <c r="V377" s="397"/>
      <c r="W377" s="390"/>
    </row>
    <row r="378" spans="1:23" s="471" customFormat="1" ht="45" hidden="1">
      <c r="A378" s="397" t="s">
        <v>264</v>
      </c>
      <c r="B378" s="397">
        <v>384</v>
      </c>
      <c r="C378" s="397" t="s">
        <v>449</v>
      </c>
      <c r="D378" s="397"/>
      <c r="E378" s="390" t="s">
        <v>758</v>
      </c>
      <c r="F378" s="390" t="s">
        <v>631</v>
      </c>
      <c r="G378" s="390" t="s">
        <v>280</v>
      </c>
      <c r="H378" s="277" t="s">
        <v>759</v>
      </c>
      <c r="I378" s="78">
        <v>1456</v>
      </c>
      <c r="J378" s="78"/>
      <c r="K378" s="397" t="s">
        <v>268</v>
      </c>
      <c r="L378" s="397" t="s">
        <v>760</v>
      </c>
      <c r="M378" s="397" t="s">
        <v>134</v>
      </c>
      <c r="N378" s="80" t="s">
        <v>269</v>
      </c>
      <c r="O378" s="217" t="s">
        <v>253</v>
      </c>
      <c r="P378" s="80" t="s">
        <v>268</v>
      </c>
      <c r="Q378" s="397"/>
      <c r="R378" s="397"/>
      <c r="S378" s="397"/>
      <c r="T378" s="397"/>
      <c r="U378" s="397"/>
      <c r="V378" s="397"/>
      <c r="W378" s="390"/>
    </row>
    <row r="379" spans="1:23" s="471" customFormat="1" ht="45" hidden="1">
      <c r="A379" s="397" t="s">
        <v>264</v>
      </c>
      <c r="B379" s="397">
        <v>385</v>
      </c>
      <c r="C379" s="397" t="s">
        <v>449</v>
      </c>
      <c r="D379" s="397"/>
      <c r="E379" s="390" t="s">
        <v>761</v>
      </c>
      <c r="F379" s="390" t="s">
        <v>253</v>
      </c>
      <c r="G379" s="390" t="s">
        <v>76</v>
      </c>
      <c r="H379" s="277" t="s">
        <v>268</v>
      </c>
      <c r="I379" s="78">
        <v>99</v>
      </c>
      <c r="J379" s="78"/>
      <c r="K379" s="462">
        <v>33969</v>
      </c>
      <c r="L379" s="397" t="s">
        <v>253</v>
      </c>
      <c r="M379" s="397" t="s">
        <v>134</v>
      </c>
      <c r="N379" s="80" t="s">
        <v>269</v>
      </c>
      <c r="O379" s="217" t="s">
        <v>253</v>
      </c>
      <c r="P379" s="80">
        <v>2025</v>
      </c>
      <c r="Q379" s="397"/>
      <c r="R379" s="397"/>
      <c r="S379" s="397"/>
      <c r="T379" s="397"/>
      <c r="U379" s="397"/>
      <c r="V379" s="397"/>
      <c r="W379" s="390"/>
    </row>
    <row r="380" spans="1:23" s="422" customFormat="1" ht="45" hidden="1">
      <c r="A380" s="408" t="s">
        <v>264</v>
      </c>
      <c r="B380" s="408">
        <v>386</v>
      </c>
      <c r="C380" s="408" t="s">
        <v>449</v>
      </c>
      <c r="D380" s="408"/>
      <c r="E380" s="410" t="s">
        <v>762</v>
      </c>
      <c r="F380" s="410" t="s">
        <v>763</v>
      </c>
      <c r="G380" s="410" t="s">
        <v>280</v>
      </c>
      <c r="H380" s="411" t="s">
        <v>268</v>
      </c>
      <c r="I380" s="412">
        <v>138</v>
      </c>
      <c r="J380" s="412"/>
      <c r="K380" s="449">
        <v>39546</v>
      </c>
      <c r="L380" s="414" t="s">
        <v>86</v>
      </c>
      <c r="M380" s="414" t="s">
        <v>115</v>
      </c>
      <c r="N380" s="414" t="s">
        <v>269</v>
      </c>
      <c r="O380" s="415" t="s">
        <v>253</v>
      </c>
      <c r="P380" s="414">
        <v>2018</v>
      </c>
      <c r="Q380" s="397" t="s">
        <v>117</v>
      </c>
      <c r="R380" s="398"/>
      <c r="S380" s="399"/>
      <c r="T380" s="400"/>
      <c r="U380" s="401"/>
      <c r="V380" s="402"/>
      <c r="W380" s="280"/>
    </row>
    <row r="381" spans="1:23" s="422" customFormat="1" ht="45" hidden="1">
      <c r="A381" s="423" t="s">
        <v>264</v>
      </c>
      <c r="B381" s="423">
        <v>387</v>
      </c>
      <c r="C381" s="423" t="s">
        <v>449</v>
      </c>
      <c r="D381" s="423"/>
      <c r="E381" s="424" t="s">
        <v>764</v>
      </c>
      <c r="F381" s="424" t="s">
        <v>739</v>
      </c>
      <c r="G381" s="424" t="s">
        <v>280</v>
      </c>
      <c r="H381" s="281" t="s">
        <v>765</v>
      </c>
      <c r="I381" s="425">
        <v>834</v>
      </c>
      <c r="J381" s="425"/>
      <c r="K381" s="426" t="s">
        <v>268</v>
      </c>
      <c r="L381" s="427" t="s">
        <v>268</v>
      </c>
      <c r="M381" s="427" t="s">
        <v>115</v>
      </c>
      <c r="N381" s="427" t="s">
        <v>269</v>
      </c>
      <c r="O381" s="428" t="s">
        <v>253</v>
      </c>
      <c r="P381" s="427">
        <v>2017</v>
      </c>
      <c r="Q381" s="397" t="s">
        <v>15</v>
      </c>
      <c r="R381" s="398"/>
      <c r="S381" s="399"/>
      <c r="T381" s="400"/>
      <c r="U381" s="401"/>
      <c r="V381" s="402"/>
      <c r="W381" s="47"/>
    </row>
    <row r="382" spans="1:23" s="422" customFormat="1" ht="45" hidden="1">
      <c r="A382" s="408" t="s">
        <v>264</v>
      </c>
      <c r="B382" s="408">
        <v>388</v>
      </c>
      <c r="C382" s="408" t="s">
        <v>449</v>
      </c>
      <c r="D382" s="408"/>
      <c r="E382" s="410" t="s">
        <v>766</v>
      </c>
      <c r="F382" s="409" t="s">
        <v>268</v>
      </c>
      <c r="G382" s="410" t="s">
        <v>280</v>
      </c>
      <c r="H382" s="411" t="s">
        <v>268</v>
      </c>
      <c r="I382" s="412">
        <v>53</v>
      </c>
      <c r="J382" s="412"/>
      <c r="K382" s="413" t="s">
        <v>268</v>
      </c>
      <c r="L382" s="414" t="s">
        <v>268</v>
      </c>
      <c r="M382" s="414" t="s">
        <v>268</v>
      </c>
      <c r="N382" s="414" t="s">
        <v>269</v>
      </c>
      <c r="O382" s="415" t="s">
        <v>253</v>
      </c>
      <c r="P382" s="414" t="s">
        <v>268</v>
      </c>
      <c r="Q382" s="397" t="s">
        <v>117</v>
      </c>
      <c r="R382" s="398"/>
      <c r="S382" s="399"/>
      <c r="T382" s="400"/>
      <c r="U382" s="401"/>
      <c r="V382" s="402"/>
      <c r="W382" s="280"/>
    </row>
    <row r="383" spans="1:23" s="471" customFormat="1" ht="45" hidden="1">
      <c r="A383" s="397" t="s">
        <v>264</v>
      </c>
      <c r="B383" s="397">
        <v>389</v>
      </c>
      <c r="C383" s="397" t="s">
        <v>449</v>
      </c>
      <c r="D383" s="397"/>
      <c r="E383" s="390" t="s">
        <v>767</v>
      </c>
      <c r="F383" s="390" t="s">
        <v>631</v>
      </c>
      <c r="G383" s="390" t="s">
        <v>280</v>
      </c>
      <c r="H383" s="277" t="s">
        <v>268</v>
      </c>
      <c r="I383" s="78">
        <v>82</v>
      </c>
      <c r="J383" s="78"/>
      <c r="K383" s="397" t="s">
        <v>268</v>
      </c>
      <c r="L383" s="397" t="s">
        <v>268</v>
      </c>
      <c r="M383" s="397" t="s">
        <v>134</v>
      </c>
      <c r="N383" s="80" t="s">
        <v>269</v>
      </c>
      <c r="O383" s="217" t="s">
        <v>253</v>
      </c>
      <c r="P383" s="80">
        <v>2012</v>
      </c>
      <c r="Q383" s="397"/>
      <c r="R383" s="397"/>
      <c r="S383" s="397"/>
      <c r="T383" s="397"/>
      <c r="U383" s="397"/>
      <c r="V383" s="397"/>
      <c r="W383" s="390"/>
    </row>
    <row r="384" spans="1:23" s="422" customFormat="1" ht="45" hidden="1">
      <c r="A384" s="423" t="s">
        <v>264</v>
      </c>
      <c r="B384" s="423">
        <v>390</v>
      </c>
      <c r="C384" s="423" t="s">
        <v>449</v>
      </c>
      <c r="D384" s="423"/>
      <c r="E384" s="424" t="s">
        <v>768</v>
      </c>
      <c r="F384" s="424" t="s">
        <v>624</v>
      </c>
      <c r="G384" s="424" t="s">
        <v>452</v>
      </c>
      <c r="H384" s="281" t="s">
        <v>268</v>
      </c>
      <c r="I384" s="425">
        <v>1204</v>
      </c>
      <c r="J384" s="425"/>
      <c r="K384" s="426" t="s">
        <v>268</v>
      </c>
      <c r="L384" s="427" t="s">
        <v>86</v>
      </c>
      <c r="M384" s="427" t="s">
        <v>115</v>
      </c>
      <c r="N384" s="427" t="s">
        <v>269</v>
      </c>
      <c r="O384" s="428" t="s">
        <v>253</v>
      </c>
      <c r="P384" s="427">
        <v>2024</v>
      </c>
      <c r="Q384" s="397" t="s">
        <v>15</v>
      </c>
      <c r="R384" s="398"/>
      <c r="S384" s="399"/>
      <c r="T384" s="400"/>
      <c r="U384" s="401"/>
      <c r="V384" s="402"/>
      <c r="W384" s="47"/>
    </row>
    <row r="385" spans="1:23" s="422" customFormat="1" ht="45" hidden="1">
      <c r="A385" s="423" t="s">
        <v>264</v>
      </c>
      <c r="B385" s="423">
        <v>391</v>
      </c>
      <c r="C385" s="423" t="s">
        <v>449</v>
      </c>
      <c r="D385" s="423"/>
      <c r="E385" s="424" t="s">
        <v>769</v>
      </c>
      <c r="F385" s="424" t="s">
        <v>770</v>
      </c>
      <c r="G385" s="424" t="s">
        <v>452</v>
      </c>
      <c r="H385" s="281">
        <v>9680114</v>
      </c>
      <c r="I385" s="425">
        <v>2075</v>
      </c>
      <c r="J385" s="425"/>
      <c r="K385" s="426" t="s">
        <v>268</v>
      </c>
      <c r="L385" s="427" t="s">
        <v>80</v>
      </c>
      <c r="M385" s="427" t="s">
        <v>115</v>
      </c>
      <c r="N385" s="427" t="s">
        <v>269</v>
      </c>
      <c r="O385" s="428" t="s">
        <v>253</v>
      </c>
      <c r="P385" s="427">
        <v>2031</v>
      </c>
      <c r="Q385" s="397"/>
      <c r="R385" s="398"/>
      <c r="S385" s="399"/>
      <c r="T385" s="400"/>
      <c r="U385" s="401"/>
      <c r="V385" s="402" t="s">
        <v>15</v>
      </c>
      <c r="W385" s="47"/>
    </row>
    <row r="386" spans="1:23" s="422" customFormat="1" ht="45" hidden="1">
      <c r="A386" s="423" t="s">
        <v>264</v>
      </c>
      <c r="B386" s="423">
        <v>392</v>
      </c>
      <c r="C386" s="423" t="s">
        <v>449</v>
      </c>
      <c r="D386" s="423"/>
      <c r="E386" s="424" t="s">
        <v>771</v>
      </c>
      <c r="F386" s="424" t="s">
        <v>770</v>
      </c>
      <c r="G386" s="424" t="s">
        <v>452</v>
      </c>
      <c r="H386" s="281">
        <v>9680990</v>
      </c>
      <c r="I386" s="425">
        <v>1577</v>
      </c>
      <c r="J386" s="425"/>
      <c r="K386" s="426" t="s">
        <v>268</v>
      </c>
      <c r="L386" s="427" t="s">
        <v>80</v>
      </c>
      <c r="M386" s="427" t="s">
        <v>115</v>
      </c>
      <c r="N386" s="427" t="s">
        <v>269</v>
      </c>
      <c r="O386" s="428" t="s">
        <v>253</v>
      </c>
      <c r="P386" s="427">
        <v>2031</v>
      </c>
      <c r="Q386" s="397"/>
      <c r="R386" s="398"/>
      <c r="S386" s="399"/>
      <c r="T386" s="400"/>
      <c r="U386" s="401"/>
      <c r="V386" s="402" t="s">
        <v>15</v>
      </c>
      <c r="W386" s="47"/>
    </row>
    <row r="387" spans="1:23" s="471" customFormat="1" ht="45" hidden="1">
      <c r="A387" s="397" t="s">
        <v>264</v>
      </c>
      <c r="B387" s="397">
        <v>393</v>
      </c>
      <c r="C387" s="397" t="s">
        <v>449</v>
      </c>
      <c r="D387" s="397"/>
      <c r="E387" s="390" t="s">
        <v>772</v>
      </c>
      <c r="F387" s="390" t="s">
        <v>253</v>
      </c>
      <c r="G387" s="390" t="s">
        <v>452</v>
      </c>
      <c r="H387" s="277" t="s">
        <v>268</v>
      </c>
      <c r="I387" s="78">
        <v>1659</v>
      </c>
      <c r="J387" s="78"/>
      <c r="K387" s="397" t="s">
        <v>268</v>
      </c>
      <c r="L387" s="397" t="s">
        <v>268</v>
      </c>
      <c r="M387" s="397" t="s">
        <v>134</v>
      </c>
      <c r="N387" s="80" t="s">
        <v>269</v>
      </c>
      <c r="O387" s="217" t="s">
        <v>253</v>
      </c>
      <c r="P387" s="80" t="s">
        <v>268</v>
      </c>
      <c r="Q387" s="397"/>
      <c r="R387" s="397"/>
      <c r="S387" s="397"/>
      <c r="T387" s="397"/>
      <c r="U387" s="397"/>
      <c r="V387" s="397"/>
      <c r="W387" s="390"/>
    </row>
    <row r="388" spans="1:23" s="422" customFormat="1" ht="45" hidden="1">
      <c r="A388" s="408" t="s">
        <v>264</v>
      </c>
      <c r="B388" s="408">
        <v>394</v>
      </c>
      <c r="C388" s="408" t="s">
        <v>449</v>
      </c>
      <c r="D388" s="408"/>
      <c r="E388" s="410" t="s">
        <v>773</v>
      </c>
      <c r="F388" s="409" t="s">
        <v>253</v>
      </c>
      <c r="G388" s="410" t="s">
        <v>280</v>
      </c>
      <c r="H388" s="411" t="s">
        <v>268</v>
      </c>
      <c r="I388" s="412" t="s">
        <v>774</v>
      </c>
      <c r="J388" s="412"/>
      <c r="K388" s="449">
        <v>30650</v>
      </c>
      <c r="L388" s="414" t="s">
        <v>268</v>
      </c>
      <c r="M388" s="414" t="s">
        <v>115</v>
      </c>
      <c r="N388" s="414" t="s">
        <v>269</v>
      </c>
      <c r="O388" s="415" t="s">
        <v>253</v>
      </c>
      <c r="P388" s="414">
        <v>2023</v>
      </c>
      <c r="Q388" s="397" t="s">
        <v>117</v>
      </c>
      <c r="R388" s="398"/>
      <c r="S388" s="399"/>
      <c r="T388" s="400"/>
      <c r="U388" s="401"/>
      <c r="V388" s="402"/>
      <c r="W388" s="280"/>
    </row>
    <row r="389" spans="1:23" s="422" customFormat="1" ht="45" hidden="1">
      <c r="A389" s="408" t="s">
        <v>264</v>
      </c>
      <c r="B389" s="408">
        <v>395</v>
      </c>
      <c r="C389" s="408" t="s">
        <v>449</v>
      </c>
      <c r="D389" s="408"/>
      <c r="E389" s="410" t="s">
        <v>775</v>
      </c>
      <c r="F389" s="409" t="s">
        <v>253</v>
      </c>
      <c r="G389" s="410" t="s">
        <v>280</v>
      </c>
      <c r="H389" s="411" t="s">
        <v>776</v>
      </c>
      <c r="I389" s="412" t="s">
        <v>777</v>
      </c>
      <c r="J389" s="412"/>
      <c r="K389" s="449">
        <v>31593</v>
      </c>
      <c r="L389" s="414" t="s">
        <v>80</v>
      </c>
      <c r="M389" s="414" t="s">
        <v>115</v>
      </c>
      <c r="N389" s="414" t="s">
        <v>269</v>
      </c>
      <c r="O389" s="415" t="s">
        <v>253</v>
      </c>
      <c r="P389" s="414">
        <v>2020</v>
      </c>
      <c r="Q389" s="397" t="s">
        <v>117</v>
      </c>
      <c r="R389" s="398"/>
      <c r="S389" s="399"/>
      <c r="T389" s="400"/>
      <c r="U389" s="401"/>
      <c r="V389" s="402"/>
      <c r="W389" s="280"/>
    </row>
    <row r="390" spans="1:23" s="422" customFormat="1" ht="45" hidden="1">
      <c r="A390" s="408" t="s">
        <v>264</v>
      </c>
      <c r="B390" s="408">
        <v>396</v>
      </c>
      <c r="C390" s="408" t="s">
        <v>449</v>
      </c>
      <c r="D390" s="408"/>
      <c r="E390" s="410" t="s">
        <v>778</v>
      </c>
      <c r="F390" s="409" t="s">
        <v>253</v>
      </c>
      <c r="G390" s="410" t="s">
        <v>280</v>
      </c>
      <c r="H390" s="411" t="s">
        <v>779</v>
      </c>
      <c r="I390" s="412" t="s">
        <v>780</v>
      </c>
      <c r="J390" s="412"/>
      <c r="K390" s="449">
        <v>38848</v>
      </c>
      <c r="L390" s="414" t="s">
        <v>80</v>
      </c>
      <c r="M390" s="414" t="s">
        <v>115</v>
      </c>
      <c r="N390" s="414" t="s">
        <v>781</v>
      </c>
      <c r="O390" s="415" t="s">
        <v>253</v>
      </c>
      <c r="P390" s="414">
        <v>2017</v>
      </c>
      <c r="Q390" s="397" t="s">
        <v>117</v>
      </c>
      <c r="R390" s="398"/>
      <c r="S390" s="399"/>
      <c r="T390" s="400"/>
      <c r="U390" s="401"/>
      <c r="V390" s="402"/>
      <c r="W390" s="280"/>
    </row>
    <row r="391" spans="1:23" s="422" customFormat="1" ht="45" hidden="1">
      <c r="A391" s="408" t="s">
        <v>264</v>
      </c>
      <c r="B391" s="408">
        <v>397</v>
      </c>
      <c r="C391" s="408" t="s">
        <v>449</v>
      </c>
      <c r="D391" s="408"/>
      <c r="E391" s="410" t="s">
        <v>782</v>
      </c>
      <c r="F391" s="409" t="s">
        <v>253</v>
      </c>
      <c r="G391" s="410" t="s">
        <v>280</v>
      </c>
      <c r="H391" s="411" t="s">
        <v>779</v>
      </c>
      <c r="I391" s="412" t="s">
        <v>783</v>
      </c>
      <c r="J391" s="412"/>
      <c r="K391" s="449">
        <v>38848</v>
      </c>
      <c r="L391" s="414" t="s">
        <v>80</v>
      </c>
      <c r="M391" s="414" t="s">
        <v>115</v>
      </c>
      <c r="N391" s="414" t="s">
        <v>781</v>
      </c>
      <c r="O391" s="415" t="s">
        <v>253</v>
      </c>
      <c r="P391" s="414">
        <v>2016</v>
      </c>
      <c r="Q391" s="397" t="s">
        <v>117</v>
      </c>
      <c r="R391" s="398"/>
      <c r="S391" s="399"/>
      <c r="T391" s="400"/>
      <c r="U391" s="401"/>
      <c r="V391" s="402"/>
      <c r="W391" s="280"/>
    </row>
    <row r="392" spans="1:23" s="422" customFormat="1" ht="45" hidden="1">
      <c r="A392" s="408" t="s">
        <v>264</v>
      </c>
      <c r="B392" s="408">
        <v>398</v>
      </c>
      <c r="C392" s="408" t="s">
        <v>449</v>
      </c>
      <c r="D392" s="408"/>
      <c r="E392" s="410" t="s">
        <v>784</v>
      </c>
      <c r="F392" s="409" t="s">
        <v>253</v>
      </c>
      <c r="G392" s="410" t="s">
        <v>280</v>
      </c>
      <c r="H392" s="411" t="s">
        <v>268</v>
      </c>
      <c r="I392" s="412">
        <v>68</v>
      </c>
      <c r="J392" s="412"/>
      <c r="K392" s="449" t="s">
        <v>268</v>
      </c>
      <c r="L392" s="414" t="s">
        <v>80</v>
      </c>
      <c r="M392" s="414" t="s">
        <v>115</v>
      </c>
      <c r="N392" s="414" t="s">
        <v>269</v>
      </c>
      <c r="O392" s="415" t="s">
        <v>253</v>
      </c>
      <c r="P392" s="414">
        <v>2022</v>
      </c>
      <c r="Q392" s="397" t="s">
        <v>117</v>
      </c>
      <c r="R392" s="398"/>
      <c r="S392" s="399"/>
      <c r="T392" s="400"/>
      <c r="U392" s="401"/>
      <c r="V392" s="402"/>
      <c r="W392" s="280"/>
    </row>
    <row r="393" spans="1:23" s="422" customFormat="1" ht="45" hidden="1">
      <c r="A393" s="408" t="s">
        <v>264</v>
      </c>
      <c r="B393" s="408">
        <v>399</v>
      </c>
      <c r="C393" s="408" t="s">
        <v>449</v>
      </c>
      <c r="D393" s="408"/>
      <c r="E393" s="410" t="s">
        <v>785</v>
      </c>
      <c r="F393" s="409" t="s">
        <v>253</v>
      </c>
      <c r="G393" s="410" t="s">
        <v>280</v>
      </c>
      <c r="H393" s="411" t="s">
        <v>268</v>
      </c>
      <c r="I393" s="412">
        <v>789</v>
      </c>
      <c r="J393" s="412"/>
      <c r="K393" s="413" t="s">
        <v>268</v>
      </c>
      <c r="L393" s="414" t="s">
        <v>80</v>
      </c>
      <c r="M393" s="414" t="s">
        <v>115</v>
      </c>
      <c r="N393" s="414" t="s">
        <v>269</v>
      </c>
      <c r="O393" s="415" t="s">
        <v>253</v>
      </c>
      <c r="P393" s="414">
        <v>2020</v>
      </c>
      <c r="Q393" s="397" t="s">
        <v>117</v>
      </c>
      <c r="R393" s="398"/>
      <c r="S393" s="399"/>
      <c r="T393" s="400"/>
      <c r="U393" s="401"/>
      <c r="V393" s="402"/>
      <c r="W393" s="280"/>
    </row>
    <row r="394" spans="1:23" s="471" customFormat="1" ht="45" hidden="1">
      <c r="A394" s="397" t="s">
        <v>264</v>
      </c>
      <c r="B394" s="397">
        <v>400</v>
      </c>
      <c r="C394" s="397" t="s">
        <v>449</v>
      </c>
      <c r="D394" s="397"/>
      <c r="E394" s="390" t="s">
        <v>786</v>
      </c>
      <c r="F394" s="390" t="s">
        <v>653</v>
      </c>
      <c r="G394" s="390" t="s">
        <v>303</v>
      </c>
      <c r="H394" s="277" t="s">
        <v>268</v>
      </c>
      <c r="I394" s="78">
        <v>118</v>
      </c>
      <c r="J394" s="78"/>
      <c r="K394" s="462">
        <v>38518</v>
      </c>
      <c r="L394" s="397" t="s">
        <v>268</v>
      </c>
      <c r="M394" s="397" t="s">
        <v>134</v>
      </c>
      <c r="N394" s="273" t="s">
        <v>269</v>
      </c>
      <c r="O394" s="217" t="s">
        <v>253</v>
      </c>
      <c r="P394" s="80">
        <v>2018</v>
      </c>
      <c r="Q394" s="397" t="s">
        <v>15</v>
      </c>
      <c r="R394" s="397"/>
      <c r="S394" s="397"/>
      <c r="T394" s="397"/>
      <c r="U394" s="397"/>
      <c r="V394" s="397"/>
      <c r="W394" s="390"/>
    </row>
    <row r="395" spans="1:23" s="466" customFormat="1" ht="45" hidden="1">
      <c r="A395" s="464" t="s">
        <v>264</v>
      </c>
      <c r="B395" s="464">
        <v>401</v>
      </c>
      <c r="C395" s="464" t="s">
        <v>449</v>
      </c>
      <c r="D395" s="464"/>
      <c r="E395" s="465" t="s">
        <v>787</v>
      </c>
      <c r="F395" s="465" t="s">
        <v>253</v>
      </c>
      <c r="G395" s="465" t="s">
        <v>303</v>
      </c>
      <c r="H395" s="282" t="s">
        <v>268</v>
      </c>
      <c r="I395" s="278" t="s">
        <v>788</v>
      </c>
      <c r="J395" s="278"/>
      <c r="K395" s="485">
        <v>40892</v>
      </c>
      <c r="L395" s="464" t="s">
        <v>268</v>
      </c>
      <c r="M395" s="464" t="s">
        <v>134</v>
      </c>
      <c r="N395" s="224" t="s">
        <v>269</v>
      </c>
      <c r="O395" s="279" t="s">
        <v>253</v>
      </c>
      <c r="P395" s="224">
        <v>2021</v>
      </c>
      <c r="Q395" s="464" t="s">
        <v>117</v>
      </c>
      <c r="R395" s="464"/>
      <c r="S395" s="464"/>
      <c r="T395" s="464"/>
      <c r="U395" s="464"/>
      <c r="V395" s="464"/>
      <c r="W395" s="465"/>
    </row>
    <row r="396" spans="1:23" s="422" customFormat="1" ht="45" hidden="1">
      <c r="A396" s="408" t="s">
        <v>264</v>
      </c>
      <c r="B396" s="408">
        <v>402</v>
      </c>
      <c r="C396" s="408" t="s">
        <v>449</v>
      </c>
      <c r="D396" s="408"/>
      <c r="E396" s="410" t="s">
        <v>789</v>
      </c>
      <c r="F396" s="409" t="s">
        <v>253</v>
      </c>
      <c r="G396" s="410" t="s">
        <v>280</v>
      </c>
      <c r="H396" s="411" t="s">
        <v>790</v>
      </c>
      <c r="I396" s="412">
        <v>800</v>
      </c>
      <c r="J396" s="412"/>
      <c r="K396" s="449">
        <v>41625</v>
      </c>
      <c r="L396" s="414" t="s">
        <v>268</v>
      </c>
      <c r="M396" s="414" t="s">
        <v>268</v>
      </c>
      <c r="N396" s="414" t="s">
        <v>269</v>
      </c>
      <c r="O396" s="415" t="s">
        <v>253</v>
      </c>
      <c r="P396" s="414">
        <v>2023</v>
      </c>
      <c r="Q396" s="397" t="s">
        <v>117</v>
      </c>
      <c r="R396" s="398"/>
      <c r="S396" s="399"/>
      <c r="T396" s="400"/>
      <c r="U396" s="401"/>
      <c r="V396" s="402"/>
      <c r="W396" s="280"/>
    </row>
    <row r="397" spans="1:23" s="422" customFormat="1" ht="45" hidden="1">
      <c r="A397" s="423" t="s">
        <v>264</v>
      </c>
      <c r="B397" s="423">
        <v>403</v>
      </c>
      <c r="C397" s="423" t="s">
        <v>449</v>
      </c>
      <c r="D397" s="423"/>
      <c r="E397" s="424" t="s">
        <v>791</v>
      </c>
      <c r="F397" s="424" t="s">
        <v>770</v>
      </c>
      <c r="G397" s="424" t="s">
        <v>280</v>
      </c>
      <c r="H397" s="281" t="s">
        <v>792</v>
      </c>
      <c r="I397" s="425">
        <v>799</v>
      </c>
      <c r="J397" s="425"/>
      <c r="K397" s="276">
        <v>41633</v>
      </c>
      <c r="L397" s="427" t="s">
        <v>80</v>
      </c>
      <c r="M397" s="427" t="s">
        <v>115</v>
      </c>
      <c r="N397" s="427" t="s">
        <v>793</v>
      </c>
      <c r="O397" s="428" t="s">
        <v>253</v>
      </c>
      <c r="P397" s="427">
        <v>2023</v>
      </c>
      <c r="Q397" s="397" t="s">
        <v>15</v>
      </c>
      <c r="R397" s="398"/>
      <c r="S397" s="399"/>
      <c r="T397" s="400"/>
      <c r="U397" s="401"/>
      <c r="V397" s="402"/>
      <c r="W397" s="47"/>
    </row>
    <row r="398" spans="1:23" s="466" customFormat="1" ht="45" hidden="1">
      <c r="A398" s="464" t="s">
        <v>264</v>
      </c>
      <c r="B398" s="464">
        <v>404</v>
      </c>
      <c r="C398" s="464" t="s">
        <v>449</v>
      </c>
      <c r="D398" s="464"/>
      <c r="E398" s="465" t="s">
        <v>794</v>
      </c>
      <c r="F398" s="465" t="s">
        <v>253</v>
      </c>
      <c r="G398" s="465" t="s">
        <v>280</v>
      </c>
      <c r="H398" s="411" t="s">
        <v>268</v>
      </c>
      <c r="I398" s="412">
        <v>186</v>
      </c>
      <c r="J398" s="412"/>
      <c r="K398" s="464" t="s">
        <v>268</v>
      </c>
      <c r="L398" s="464" t="s">
        <v>268</v>
      </c>
      <c r="M398" s="464" t="s">
        <v>268</v>
      </c>
      <c r="N398" s="414" t="s">
        <v>268</v>
      </c>
      <c r="O398" s="415" t="s">
        <v>253</v>
      </c>
      <c r="P398" s="414" t="s">
        <v>268</v>
      </c>
      <c r="Q398" s="464"/>
      <c r="R398" s="464"/>
      <c r="S398" s="464"/>
      <c r="T398" s="464"/>
      <c r="U398" s="464"/>
      <c r="V398" s="464"/>
      <c r="W398" s="465" t="s">
        <v>248</v>
      </c>
    </row>
    <row r="399" spans="1:23" s="422" customFormat="1" ht="45" hidden="1">
      <c r="A399" s="423" t="s">
        <v>264</v>
      </c>
      <c r="B399" s="423">
        <v>405</v>
      </c>
      <c r="C399" s="423" t="s">
        <v>449</v>
      </c>
      <c r="D399" s="423"/>
      <c r="E399" s="424" t="s">
        <v>795</v>
      </c>
      <c r="F399" s="424" t="s">
        <v>796</v>
      </c>
      <c r="G399" s="424" t="s">
        <v>280</v>
      </c>
      <c r="H399" s="281" t="s">
        <v>268</v>
      </c>
      <c r="I399" s="425">
        <v>74</v>
      </c>
      <c r="J399" s="425"/>
      <c r="K399" s="426" t="s">
        <v>268</v>
      </c>
      <c r="L399" s="427" t="s">
        <v>80</v>
      </c>
      <c r="M399" s="427" t="s">
        <v>115</v>
      </c>
      <c r="N399" s="427" t="s">
        <v>269</v>
      </c>
      <c r="O399" s="428" t="s">
        <v>253</v>
      </c>
      <c r="P399" s="427">
        <v>2022</v>
      </c>
      <c r="Q399" s="452" t="s">
        <v>15</v>
      </c>
      <c r="R399" s="398"/>
      <c r="S399" s="399"/>
      <c r="T399" s="400"/>
      <c r="U399" s="401"/>
      <c r="V399" s="402"/>
      <c r="W399" s="47"/>
    </row>
    <row r="400" spans="1:23" s="422" customFormat="1" ht="45" hidden="1">
      <c r="A400" s="423" t="s">
        <v>264</v>
      </c>
      <c r="B400" s="423">
        <v>406</v>
      </c>
      <c r="C400" s="423" t="s">
        <v>449</v>
      </c>
      <c r="D400" s="423"/>
      <c r="E400" s="424" t="s">
        <v>797</v>
      </c>
      <c r="F400" s="424" t="s">
        <v>798</v>
      </c>
      <c r="G400" s="424" t="s">
        <v>280</v>
      </c>
      <c r="H400" s="281" t="s">
        <v>268</v>
      </c>
      <c r="I400" s="425">
        <v>788</v>
      </c>
      <c r="J400" s="425"/>
      <c r="K400" s="426" t="s">
        <v>268</v>
      </c>
      <c r="L400" s="427" t="s">
        <v>760</v>
      </c>
      <c r="M400" s="427" t="s">
        <v>115</v>
      </c>
      <c r="N400" s="427" t="s">
        <v>269</v>
      </c>
      <c r="O400" s="428" t="s">
        <v>253</v>
      </c>
      <c r="P400" s="427">
        <v>2017</v>
      </c>
      <c r="Q400" s="397" t="s">
        <v>15</v>
      </c>
      <c r="R400" s="398"/>
      <c r="S400" s="399"/>
      <c r="T400" s="400"/>
      <c r="U400" s="401"/>
      <c r="V400" s="402"/>
      <c r="W400" s="47"/>
    </row>
    <row r="401" spans="1:23" s="471" customFormat="1" ht="45" hidden="1">
      <c r="A401" s="397" t="s">
        <v>264</v>
      </c>
      <c r="B401" s="397">
        <v>407</v>
      </c>
      <c r="C401" s="397" t="s">
        <v>449</v>
      </c>
      <c r="D401" s="397"/>
      <c r="E401" s="390" t="s">
        <v>799</v>
      </c>
      <c r="F401" s="390" t="s">
        <v>631</v>
      </c>
      <c r="G401" s="390" t="s">
        <v>280</v>
      </c>
      <c r="H401" s="277" t="s">
        <v>800</v>
      </c>
      <c r="I401" s="78">
        <v>175</v>
      </c>
      <c r="J401" s="78"/>
      <c r="K401" s="397" t="s">
        <v>268</v>
      </c>
      <c r="L401" s="397" t="s">
        <v>268</v>
      </c>
      <c r="M401" s="397" t="s">
        <v>134</v>
      </c>
      <c r="N401" s="80" t="s">
        <v>269</v>
      </c>
      <c r="O401" s="217" t="s">
        <v>253</v>
      </c>
      <c r="P401" s="80">
        <v>2017</v>
      </c>
      <c r="Q401" s="397"/>
      <c r="R401" s="397"/>
      <c r="S401" s="397"/>
      <c r="T401" s="397"/>
      <c r="U401" s="397"/>
      <c r="V401" s="397"/>
      <c r="W401" s="390"/>
    </row>
    <row r="402" spans="1:23" s="422" customFormat="1" ht="45" hidden="1">
      <c r="A402" s="423" t="s">
        <v>264</v>
      </c>
      <c r="B402" s="423">
        <v>408</v>
      </c>
      <c r="C402" s="423" t="s">
        <v>449</v>
      </c>
      <c r="D402" s="423"/>
      <c r="E402" s="424" t="s">
        <v>801</v>
      </c>
      <c r="F402" s="424" t="s">
        <v>676</v>
      </c>
      <c r="G402" s="424" t="s">
        <v>280</v>
      </c>
      <c r="H402" s="281" t="s">
        <v>802</v>
      </c>
      <c r="I402" s="425">
        <v>832</v>
      </c>
      <c r="J402" s="425"/>
      <c r="K402" s="426" t="s">
        <v>268</v>
      </c>
      <c r="L402" s="427" t="s">
        <v>724</v>
      </c>
      <c r="M402" s="427" t="s">
        <v>115</v>
      </c>
      <c r="N402" s="427" t="s">
        <v>269</v>
      </c>
      <c r="O402" s="428" t="s">
        <v>253</v>
      </c>
      <c r="P402" s="427">
        <v>2015</v>
      </c>
      <c r="Q402" s="397" t="s">
        <v>15</v>
      </c>
      <c r="R402" s="398"/>
      <c r="S402" s="399"/>
      <c r="T402" s="400"/>
      <c r="U402" s="401"/>
      <c r="V402" s="402"/>
      <c r="W402" s="47"/>
    </row>
    <row r="403" spans="1:23" s="422" customFormat="1" ht="45" hidden="1">
      <c r="A403" s="423" t="s">
        <v>264</v>
      </c>
      <c r="B403" s="423">
        <v>409</v>
      </c>
      <c r="C403" s="423" t="s">
        <v>449</v>
      </c>
      <c r="D403" s="423"/>
      <c r="E403" s="424" t="s">
        <v>803</v>
      </c>
      <c r="F403" s="424" t="s">
        <v>634</v>
      </c>
      <c r="G403" s="424" t="s">
        <v>280</v>
      </c>
      <c r="H403" s="281" t="s">
        <v>804</v>
      </c>
      <c r="I403" s="425">
        <v>786</v>
      </c>
      <c r="J403" s="425"/>
      <c r="K403" s="426" t="s">
        <v>268</v>
      </c>
      <c r="L403" s="427" t="s">
        <v>80</v>
      </c>
      <c r="M403" s="427" t="s">
        <v>115</v>
      </c>
      <c r="N403" s="427" t="s">
        <v>269</v>
      </c>
      <c r="O403" s="428" t="s">
        <v>253</v>
      </c>
      <c r="P403" s="427">
        <v>2019</v>
      </c>
      <c r="Q403" s="397" t="s">
        <v>15</v>
      </c>
      <c r="R403" s="398"/>
      <c r="S403" s="399"/>
      <c r="T403" s="400"/>
      <c r="U403" s="401"/>
      <c r="V403" s="402"/>
      <c r="W403" s="47"/>
    </row>
    <row r="404" spans="1:23" s="471" customFormat="1" ht="45" hidden="1">
      <c r="A404" s="397" t="s">
        <v>264</v>
      </c>
      <c r="B404" s="397">
        <v>410</v>
      </c>
      <c r="C404" s="397" t="s">
        <v>449</v>
      </c>
      <c r="D404" s="397"/>
      <c r="E404" s="390" t="s">
        <v>805</v>
      </c>
      <c r="F404" s="390" t="s">
        <v>631</v>
      </c>
      <c r="G404" s="390" t="s">
        <v>280</v>
      </c>
      <c r="H404" s="277" t="s">
        <v>806</v>
      </c>
      <c r="I404" s="78">
        <v>1082</v>
      </c>
      <c r="J404" s="78"/>
      <c r="K404" s="397" t="s">
        <v>268</v>
      </c>
      <c r="L404" s="397" t="s">
        <v>80</v>
      </c>
      <c r="M404" s="397" t="s">
        <v>134</v>
      </c>
      <c r="N404" s="80" t="s">
        <v>269</v>
      </c>
      <c r="O404" s="217" t="s">
        <v>253</v>
      </c>
      <c r="P404" s="80">
        <v>2016</v>
      </c>
      <c r="Q404" s="397"/>
      <c r="R404" s="397"/>
      <c r="S404" s="397"/>
      <c r="T404" s="397"/>
      <c r="U404" s="397"/>
      <c r="V404" s="397"/>
      <c r="W404" s="390"/>
    </row>
    <row r="405" spans="1:23" s="471" customFormat="1" ht="45" hidden="1">
      <c r="A405" s="397" t="s">
        <v>264</v>
      </c>
      <c r="B405" s="397">
        <v>411</v>
      </c>
      <c r="C405" s="397" t="s">
        <v>449</v>
      </c>
      <c r="D405" s="397"/>
      <c r="E405" s="390" t="s">
        <v>807</v>
      </c>
      <c r="F405" s="390" t="s">
        <v>631</v>
      </c>
      <c r="G405" s="390" t="s">
        <v>280</v>
      </c>
      <c r="H405" s="277" t="s">
        <v>808</v>
      </c>
      <c r="I405" s="78">
        <v>1078</v>
      </c>
      <c r="J405" s="78"/>
      <c r="K405" s="397" t="s">
        <v>268</v>
      </c>
      <c r="L405" s="397" t="s">
        <v>80</v>
      </c>
      <c r="M405" s="397" t="s">
        <v>134</v>
      </c>
      <c r="N405" s="80" t="s">
        <v>269</v>
      </c>
      <c r="O405" s="217" t="s">
        <v>253</v>
      </c>
      <c r="P405" s="80">
        <v>2019</v>
      </c>
      <c r="Q405" s="397"/>
      <c r="R405" s="397"/>
      <c r="S405" s="397"/>
      <c r="T405" s="397"/>
      <c r="U405" s="397"/>
      <c r="V405" s="397"/>
      <c r="W405" s="390"/>
    </row>
    <row r="406" spans="1:23" s="471" customFormat="1" ht="45" hidden="1">
      <c r="A406" s="397" t="s">
        <v>264</v>
      </c>
      <c r="B406" s="397">
        <v>412</v>
      </c>
      <c r="C406" s="397" t="s">
        <v>449</v>
      </c>
      <c r="D406" s="397"/>
      <c r="E406" s="390" t="s">
        <v>809</v>
      </c>
      <c r="F406" s="390" t="s">
        <v>631</v>
      </c>
      <c r="G406" s="390" t="s">
        <v>280</v>
      </c>
      <c r="H406" s="277" t="s">
        <v>810</v>
      </c>
      <c r="I406" s="78">
        <v>1080</v>
      </c>
      <c r="J406" s="78"/>
      <c r="K406" s="397" t="s">
        <v>268</v>
      </c>
      <c r="L406" s="397" t="s">
        <v>80</v>
      </c>
      <c r="M406" s="397" t="s">
        <v>134</v>
      </c>
      <c r="N406" s="80" t="s">
        <v>269</v>
      </c>
      <c r="O406" s="217" t="s">
        <v>253</v>
      </c>
      <c r="P406" s="80">
        <v>2017</v>
      </c>
      <c r="Q406" s="397"/>
      <c r="R406" s="397"/>
      <c r="S406" s="397"/>
      <c r="T406" s="397"/>
      <c r="U406" s="397"/>
      <c r="V406" s="397"/>
      <c r="W406" s="390"/>
    </row>
    <row r="407" spans="1:23" s="471" customFormat="1" ht="45" hidden="1">
      <c r="A407" s="397" t="s">
        <v>264</v>
      </c>
      <c r="B407" s="397">
        <v>413</v>
      </c>
      <c r="C407" s="397" t="s">
        <v>449</v>
      </c>
      <c r="D407" s="397"/>
      <c r="E407" s="390" t="s">
        <v>811</v>
      </c>
      <c r="F407" s="390" t="s">
        <v>631</v>
      </c>
      <c r="G407" s="390" t="s">
        <v>280</v>
      </c>
      <c r="H407" s="277" t="s">
        <v>812</v>
      </c>
      <c r="I407" s="78">
        <v>176</v>
      </c>
      <c r="J407" s="78"/>
      <c r="K407" s="397" t="s">
        <v>268</v>
      </c>
      <c r="L407" s="397" t="s">
        <v>80</v>
      </c>
      <c r="M407" s="397" t="s">
        <v>134</v>
      </c>
      <c r="N407" s="80" t="s">
        <v>269</v>
      </c>
      <c r="O407" s="217" t="s">
        <v>253</v>
      </c>
      <c r="P407" s="80">
        <v>2016</v>
      </c>
      <c r="Q407" s="397"/>
      <c r="R407" s="397"/>
      <c r="S407" s="397"/>
      <c r="T407" s="397"/>
      <c r="U407" s="397"/>
      <c r="V407" s="397"/>
      <c r="W407" s="390"/>
    </row>
    <row r="408" spans="1:23" s="471" customFormat="1" ht="45" hidden="1">
      <c r="A408" s="397" t="s">
        <v>264</v>
      </c>
      <c r="B408" s="397">
        <v>414</v>
      </c>
      <c r="C408" s="397" t="s">
        <v>449</v>
      </c>
      <c r="D408" s="397"/>
      <c r="E408" s="390" t="s">
        <v>813</v>
      </c>
      <c r="F408" s="390" t="s">
        <v>631</v>
      </c>
      <c r="G408" s="390" t="s">
        <v>280</v>
      </c>
      <c r="H408" s="277" t="s">
        <v>814</v>
      </c>
      <c r="I408" s="78">
        <v>1081</v>
      </c>
      <c r="J408" s="78"/>
      <c r="K408" s="397" t="s">
        <v>268</v>
      </c>
      <c r="L408" s="397" t="s">
        <v>80</v>
      </c>
      <c r="M408" s="397" t="s">
        <v>134</v>
      </c>
      <c r="N408" s="80" t="s">
        <v>269</v>
      </c>
      <c r="O408" s="217" t="s">
        <v>253</v>
      </c>
      <c r="P408" s="80">
        <v>2016</v>
      </c>
      <c r="Q408" s="397"/>
      <c r="R408" s="397"/>
      <c r="S408" s="397"/>
      <c r="T408" s="397"/>
      <c r="U408" s="397"/>
      <c r="V408" s="397"/>
      <c r="W408" s="390"/>
    </row>
    <row r="409" spans="1:23" s="471" customFormat="1" ht="45" hidden="1">
      <c r="A409" s="397" t="s">
        <v>264</v>
      </c>
      <c r="B409" s="397">
        <v>415</v>
      </c>
      <c r="C409" s="397" t="s">
        <v>449</v>
      </c>
      <c r="D409" s="397"/>
      <c r="E409" s="390" t="s">
        <v>815</v>
      </c>
      <c r="F409" s="390" t="s">
        <v>631</v>
      </c>
      <c r="G409" s="390" t="s">
        <v>280</v>
      </c>
      <c r="H409" s="277" t="s">
        <v>816</v>
      </c>
      <c r="I409" s="78">
        <v>1077</v>
      </c>
      <c r="J409" s="78"/>
      <c r="K409" s="397" t="s">
        <v>268</v>
      </c>
      <c r="L409" s="397" t="s">
        <v>80</v>
      </c>
      <c r="M409" s="397" t="s">
        <v>134</v>
      </c>
      <c r="N409" s="80" t="s">
        <v>269</v>
      </c>
      <c r="O409" s="217" t="s">
        <v>253</v>
      </c>
      <c r="P409" s="80">
        <v>2019</v>
      </c>
      <c r="Q409" s="397"/>
      <c r="R409" s="397"/>
      <c r="S409" s="397"/>
      <c r="T409" s="397"/>
      <c r="U409" s="397"/>
      <c r="V409" s="397"/>
      <c r="W409" s="390"/>
    </row>
    <row r="410" spans="1:23" s="422" customFormat="1" ht="45" hidden="1">
      <c r="A410" s="423" t="s">
        <v>264</v>
      </c>
      <c r="B410" s="423">
        <v>416</v>
      </c>
      <c r="C410" s="423" t="s">
        <v>449</v>
      </c>
      <c r="D410" s="423"/>
      <c r="E410" s="424" t="s">
        <v>817</v>
      </c>
      <c r="F410" s="424" t="s">
        <v>643</v>
      </c>
      <c r="G410" s="424" t="s">
        <v>303</v>
      </c>
      <c r="H410" s="281" t="s">
        <v>268</v>
      </c>
      <c r="I410" s="425">
        <v>141</v>
      </c>
      <c r="J410" s="425"/>
      <c r="K410" s="426" t="s">
        <v>253</v>
      </c>
      <c r="L410" s="427" t="s">
        <v>47</v>
      </c>
      <c r="M410" s="427" t="s">
        <v>115</v>
      </c>
      <c r="N410" s="427" t="s">
        <v>269</v>
      </c>
      <c r="O410" s="428" t="s">
        <v>253</v>
      </c>
      <c r="P410" s="427">
        <v>2022</v>
      </c>
      <c r="Q410" s="397"/>
      <c r="R410" s="398" t="s">
        <v>15</v>
      </c>
      <c r="S410" s="399"/>
      <c r="T410" s="400"/>
      <c r="U410" s="401"/>
      <c r="V410" s="402"/>
      <c r="W410" s="47"/>
    </row>
    <row r="411" spans="1:23" s="422" customFormat="1" ht="45" hidden="1">
      <c r="A411" s="423" t="s">
        <v>264</v>
      </c>
      <c r="B411" s="423">
        <v>417</v>
      </c>
      <c r="C411" s="423" t="s">
        <v>449</v>
      </c>
      <c r="D411" s="423"/>
      <c r="E411" s="424" t="s">
        <v>818</v>
      </c>
      <c r="F411" s="424" t="s">
        <v>643</v>
      </c>
      <c r="G411" s="424" t="s">
        <v>303</v>
      </c>
      <c r="H411" s="281" t="s">
        <v>268</v>
      </c>
      <c r="I411" s="425">
        <v>140</v>
      </c>
      <c r="J411" s="425"/>
      <c r="K411" s="426" t="s">
        <v>819</v>
      </c>
      <c r="L411" s="427" t="s">
        <v>760</v>
      </c>
      <c r="M411" s="427" t="s">
        <v>115</v>
      </c>
      <c r="N411" s="427" t="s">
        <v>269</v>
      </c>
      <c r="O411" s="428" t="s">
        <v>253</v>
      </c>
      <c r="P411" s="427">
        <v>2020</v>
      </c>
      <c r="Q411" s="397"/>
      <c r="R411" s="398" t="s">
        <v>15</v>
      </c>
      <c r="S411" s="399"/>
      <c r="T411" s="400"/>
      <c r="U411" s="401"/>
      <c r="V411" s="402"/>
      <c r="W411" s="47"/>
    </row>
    <row r="412" spans="1:23" s="422" customFormat="1" ht="45" hidden="1">
      <c r="A412" s="423" t="s">
        <v>264</v>
      </c>
      <c r="B412" s="423">
        <v>418</v>
      </c>
      <c r="C412" s="423" t="s">
        <v>449</v>
      </c>
      <c r="D412" s="423"/>
      <c r="E412" s="424" t="s">
        <v>820</v>
      </c>
      <c r="F412" s="424" t="s">
        <v>821</v>
      </c>
      <c r="G412" s="424" t="s">
        <v>303</v>
      </c>
      <c r="H412" s="281" t="s">
        <v>268</v>
      </c>
      <c r="I412" s="425">
        <v>139</v>
      </c>
      <c r="J412" s="425"/>
      <c r="K412" s="426" t="s">
        <v>76</v>
      </c>
      <c r="L412" s="427" t="s">
        <v>760</v>
      </c>
      <c r="M412" s="427" t="s">
        <v>115</v>
      </c>
      <c r="N412" s="427" t="s">
        <v>269</v>
      </c>
      <c r="O412" s="428" t="s">
        <v>253</v>
      </c>
      <c r="P412" s="427">
        <v>2015</v>
      </c>
      <c r="Q412" s="397"/>
      <c r="R412" s="398" t="s">
        <v>15</v>
      </c>
      <c r="S412" s="399"/>
      <c r="T412" s="400"/>
      <c r="U412" s="401"/>
      <c r="V412" s="402"/>
      <c r="W412" s="47"/>
    </row>
    <row r="413" spans="1:23" s="422" customFormat="1" ht="45" hidden="1">
      <c r="A413" s="423" t="s">
        <v>264</v>
      </c>
      <c r="B413" s="423">
        <v>419</v>
      </c>
      <c r="C413" s="423" t="s">
        <v>449</v>
      </c>
      <c r="D413" s="423"/>
      <c r="E413" s="424" t="s">
        <v>822</v>
      </c>
      <c r="F413" s="424" t="s">
        <v>643</v>
      </c>
      <c r="G413" s="424" t="s">
        <v>303</v>
      </c>
      <c r="H413" s="281" t="s">
        <v>268</v>
      </c>
      <c r="I413" s="425">
        <v>144</v>
      </c>
      <c r="J413" s="425"/>
      <c r="K413" s="426" t="s">
        <v>268</v>
      </c>
      <c r="L413" s="427" t="s">
        <v>760</v>
      </c>
      <c r="M413" s="427" t="s">
        <v>115</v>
      </c>
      <c r="N413" s="427" t="s">
        <v>269</v>
      </c>
      <c r="O413" s="428" t="s">
        <v>253</v>
      </c>
      <c r="P413" s="427">
        <v>2020</v>
      </c>
      <c r="Q413" s="397"/>
      <c r="R413" s="398" t="s">
        <v>15</v>
      </c>
      <c r="S413" s="399"/>
      <c r="T413" s="400"/>
      <c r="U413" s="401"/>
      <c r="V413" s="402"/>
      <c r="W413" s="47"/>
    </row>
    <row r="414" spans="1:23" s="471" customFormat="1" ht="45" hidden="1">
      <c r="A414" s="397" t="s">
        <v>264</v>
      </c>
      <c r="B414" s="397">
        <v>420</v>
      </c>
      <c r="C414" s="397" t="s">
        <v>449</v>
      </c>
      <c r="D414" s="397"/>
      <c r="E414" s="390" t="s">
        <v>823</v>
      </c>
      <c r="F414" s="390" t="s">
        <v>631</v>
      </c>
      <c r="G414" s="390" t="s">
        <v>280</v>
      </c>
      <c r="H414" s="281" t="s">
        <v>824</v>
      </c>
      <c r="I414" s="78">
        <v>795</v>
      </c>
      <c r="J414" s="78"/>
      <c r="K414" s="397" t="s">
        <v>268</v>
      </c>
      <c r="L414" s="397" t="s">
        <v>268</v>
      </c>
      <c r="M414" s="397" t="s">
        <v>134</v>
      </c>
      <c r="N414" s="80" t="s">
        <v>269</v>
      </c>
      <c r="O414" s="217" t="s">
        <v>253</v>
      </c>
      <c r="P414" s="80">
        <v>2024</v>
      </c>
      <c r="Q414" s="397"/>
      <c r="R414" s="397"/>
      <c r="S414" s="397"/>
      <c r="T414" s="397"/>
      <c r="U414" s="397"/>
      <c r="V414" s="397"/>
      <c r="W414" s="390"/>
    </row>
    <row r="415" spans="1:23" s="471" customFormat="1" ht="45" hidden="1">
      <c r="A415" s="397" t="s">
        <v>264</v>
      </c>
      <c r="B415" s="397">
        <v>421</v>
      </c>
      <c r="C415" s="397" t="s">
        <v>449</v>
      </c>
      <c r="D415" s="397"/>
      <c r="E415" s="390" t="s">
        <v>825</v>
      </c>
      <c r="F415" s="390" t="s">
        <v>826</v>
      </c>
      <c r="G415" s="390" t="s">
        <v>280</v>
      </c>
      <c r="H415" s="277" t="s">
        <v>827</v>
      </c>
      <c r="I415" s="78">
        <v>785</v>
      </c>
      <c r="J415" s="78"/>
      <c r="K415" s="397" t="s">
        <v>268</v>
      </c>
      <c r="L415" s="397" t="s">
        <v>268</v>
      </c>
      <c r="M415" s="397" t="s">
        <v>134</v>
      </c>
      <c r="N415" s="80" t="s">
        <v>269</v>
      </c>
      <c r="O415" s="217" t="s">
        <v>253</v>
      </c>
      <c r="P415" s="80">
        <v>2019</v>
      </c>
      <c r="Q415" s="397" t="s">
        <v>15</v>
      </c>
      <c r="R415" s="397"/>
      <c r="S415" s="397"/>
      <c r="T415" s="397"/>
      <c r="U415" s="397"/>
      <c r="V415" s="397"/>
      <c r="W415" s="390"/>
    </row>
    <row r="416" spans="1:23" s="422" customFormat="1" ht="45">
      <c r="A416" s="423" t="s">
        <v>264</v>
      </c>
      <c r="B416" s="423">
        <v>422</v>
      </c>
      <c r="C416" s="423" t="s">
        <v>527</v>
      </c>
      <c r="D416" s="423" t="s">
        <v>167</v>
      </c>
      <c r="E416" s="424" t="s">
        <v>828</v>
      </c>
      <c r="F416" s="424" t="s">
        <v>829</v>
      </c>
      <c r="G416" s="424" t="s">
        <v>280</v>
      </c>
      <c r="H416" s="281" t="s">
        <v>253</v>
      </c>
      <c r="I416" s="453" t="s">
        <v>253</v>
      </c>
      <c r="J416" s="453"/>
      <c r="K416" s="454">
        <v>2022</v>
      </c>
      <c r="L416" s="455" t="s">
        <v>830</v>
      </c>
      <c r="M416" s="455" t="s">
        <v>549</v>
      </c>
      <c r="N416" s="455" t="s">
        <v>831</v>
      </c>
      <c r="O416" s="428"/>
      <c r="P416" s="427" t="s">
        <v>253</v>
      </c>
      <c r="Q416" s="397"/>
      <c r="R416" s="398"/>
      <c r="S416" s="399"/>
      <c r="T416" s="400"/>
      <c r="U416" s="401"/>
      <c r="V416" s="402"/>
      <c r="W416" s="47"/>
    </row>
    <row r="417" spans="1:23" s="422" customFormat="1" ht="45">
      <c r="A417" s="423" t="s">
        <v>264</v>
      </c>
      <c r="B417" s="423">
        <v>423</v>
      </c>
      <c r="C417" s="423" t="s">
        <v>527</v>
      </c>
      <c r="D417" s="423" t="s">
        <v>1</v>
      </c>
      <c r="E417" s="424" t="s">
        <v>832</v>
      </c>
      <c r="F417" s="424" t="s">
        <v>829</v>
      </c>
      <c r="G417" s="424" t="s">
        <v>833</v>
      </c>
      <c r="H417" s="281">
        <v>3477</v>
      </c>
      <c r="I417" s="425" t="s">
        <v>253</v>
      </c>
      <c r="J417" s="425"/>
      <c r="K417" s="426" t="s">
        <v>253</v>
      </c>
      <c r="L417" s="427" t="s">
        <v>19</v>
      </c>
      <c r="M417" s="427" t="s">
        <v>549</v>
      </c>
      <c r="N417" s="427" t="s">
        <v>253</v>
      </c>
      <c r="O417" s="428"/>
      <c r="P417" s="427">
        <v>2020</v>
      </c>
      <c r="Q417" s="397"/>
      <c r="R417" s="398" t="s">
        <v>15</v>
      </c>
      <c r="S417" s="399"/>
      <c r="T417" s="400"/>
      <c r="U417" s="401"/>
      <c r="V417" s="402"/>
      <c r="W417" s="47"/>
    </row>
    <row r="418" spans="1:23" s="422" customFormat="1" ht="45">
      <c r="A418" s="423" t="s">
        <v>264</v>
      </c>
      <c r="B418" s="423">
        <v>424</v>
      </c>
      <c r="C418" s="423" t="s">
        <v>527</v>
      </c>
      <c r="D418" s="423" t="s">
        <v>167</v>
      </c>
      <c r="E418" s="424" t="s">
        <v>834</v>
      </c>
      <c r="F418" s="424" t="s">
        <v>829</v>
      </c>
      <c r="G418" s="424" t="s">
        <v>280</v>
      </c>
      <c r="H418" s="281" t="s">
        <v>253</v>
      </c>
      <c r="I418" s="425" t="s">
        <v>253</v>
      </c>
      <c r="J418" s="425"/>
      <c r="K418" s="426" t="s">
        <v>253</v>
      </c>
      <c r="L418" s="427" t="s">
        <v>19</v>
      </c>
      <c r="M418" s="427" t="s">
        <v>549</v>
      </c>
      <c r="N418" s="427" t="s">
        <v>253</v>
      </c>
      <c r="O418" s="428"/>
      <c r="P418" s="427">
        <v>2030</v>
      </c>
      <c r="Q418" s="397"/>
      <c r="R418" s="398" t="s">
        <v>15</v>
      </c>
      <c r="S418" s="399"/>
      <c r="T418" s="400"/>
      <c r="U418" s="401"/>
      <c r="V418" s="402"/>
      <c r="W418" s="47"/>
    </row>
    <row r="419" spans="1:23" s="422" customFormat="1" ht="45">
      <c r="A419" s="423" t="s">
        <v>264</v>
      </c>
      <c r="B419" s="423">
        <v>425</v>
      </c>
      <c r="C419" s="423" t="s">
        <v>527</v>
      </c>
      <c r="D419" s="423" t="s">
        <v>1</v>
      </c>
      <c r="E419" s="424" t="s">
        <v>835</v>
      </c>
      <c r="F419" s="424" t="s">
        <v>836</v>
      </c>
      <c r="G419" s="424" t="s">
        <v>833</v>
      </c>
      <c r="H419" s="281">
        <v>3468</v>
      </c>
      <c r="I419" s="425">
        <v>11274</v>
      </c>
      <c r="J419" s="425"/>
      <c r="K419" s="426">
        <v>2008</v>
      </c>
      <c r="L419" s="427" t="s">
        <v>19</v>
      </c>
      <c r="M419" s="427" t="s">
        <v>549</v>
      </c>
      <c r="N419" s="427" t="s">
        <v>837</v>
      </c>
      <c r="O419" s="428"/>
      <c r="P419" s="427">
        <v>2020</v>
      </c>
      <c r="Q419" s="397"/>
      <c r="R419" s="398"/>
      <c r="S419" s="399"/>
      <c r="T419" s="400"/>
      <c r="U419" s="401"/>
      <c r="V419" s="402"/>
      <c r="W419" s="47"/>
    </row>
    <row r="420" spans="1:23" s="422" customFormat="1" ht="45">
      <c r="A420" s="423" t="s">
        <v>264</v>
      </c>
      <c r="B420" s="423">
        <v>426</v>
      </c>
      <c r="C420" s="423" t="s">
        <v>527</v>
      </c>
      <c r="D420" s="423" t="s">
        <v>1</v>
      </c>
      <c r="E420" s="424" t="s">
        <v>838</v>
      </c>
      <c r="F420" s="424" t="s">
        <v>829</v>
      </c>
      <c r="G420" s="424" t="s">
        <v>833</v>
      </c>
      <c r="H420" s="281" t="s">
        <v>253</v>
      </c>
      <c r="I420" s="425" t="s">
        <v>253</v>
      </c>
      <c r="J420" s="425"/>
      <c r="K420" s="426">
        <v>2017</v>
      </c>
      <c r="L420" s="427" t="s">
        <v>19</v>
      </c>
      <c r="M420" s="427" t="s">
        <v>549</v>
      </c>
      <c r="N420" s="427" t="s">
        <v>839</v>
      </c>
      <c r="O420" s="428"/>
      <c r="P420" s="427">
        <v>2027</v>
      </c>
      <c r="Q420" s="397"/>
      <c r="R420" s="398"/>
      <c r="S420" s="399"/>
      <c r="T420" s="400"/>
      <c r="U420" s="401"/>
      <c r="V420" s="402"/>
      <c r="W420" s="47"/>
    </row>
    <row r="421" spans="1:23" s="422" customFormat="1" ht="45">
      <c r="A421" s="423" t="s">
        <v>264</v>
      </c>
      <c r="B421" s="423">
        <v>427</v>
      </c>
      <c r="C421" s="423" t="s">
        <v>527</v>
      </c>
      <c r="D421" s="423" t="s">
        <v>272</v>
      </c>
      <c r="E421" s="432" t="s">
        <v>840</v>
      </c>
      <c r="F421" s="424" t="s">
        <v>270</v>
      </c>
      <c r="G421" s="424" t="s">
        <v>833</v>
      </c>
      <c r="H421" s="281">
        <v>2020933</v>
      </c>
      <c r="I421" s="425" t="s">
        <v>253</v>
      </c>
      <c r="J421" s="425"/>
      <c r="K421" s="426" t="s">
        <v>253</v>
      </c>
      <c r="L421" s="427" t="s">
        <v>19</v>
      </c>
      <c r="M421" s="427" t="s">
        <v>841</v>
      </c>
      <c r="N421" s="427" t="s">
        <v>253</v>
      </c>
      <c r="O421" s="428"/>
      <c r="P421" s="427" t="s">
        <v>253</v>
      </c>
      <c r="Q421" s="397"/>
      <c r="R421" s="398"/>
      <c r="S421" s="399"/>
      <c r="T421" s="400"/>
      <c r="U421" s="401"/>
      <c r="V421" s="402"/>
      <c r="W421" s="47"/>
    </row>
    <row r="422" spans="1:23" s="422" customFormat="1" ht="45">
      <c r="A422" s="423" t="s">
        <v>264</v>
      </c>
      <c r="B422" s="423">
        <v>428</v>
      </c>
      <c r="C422" s="423" t="s">
        <v>527</v>
      </c>
      <c r="D422" s="423" t="s">
        <v>272</v>
      </c>
      <c r="E422" s="432" t="s">
        <v>842</v>
      </c>
      <c r="F422" s="424" t="s">
        <v>270</v>
      </c>
      <c r="G422" s="424" t="s">
        <v>280</v>
      </c>
      <c r="H422" s="281"/>
      <c r="I422" s="425" t="s">
        <v>253</v>
      </c>
      <c r="J422" s="425"/>
      <c r="K422" s="426" t="s">
        <v>253</v>
      </c>
      <c r="L422" s="427"/>
      <c r="M422" s="427"/>
      <c r="N422" s="427" t="s">
        <v>253</v>
      </c>
      <c r="O422" s="428"/>
      <c r="P422" s="427"/>
      <c r="Q422" s="397"/>
      <c r="R422" s="398"/>
      <c r="S422" s="399"/>
      <c r="T422" s="400"/>
      <c r="U422" s="401"/>
      <c r="V422" s="402"/>
      <c r="W422" s="47"/>
    </row>
    <row r="423" spans="1:23" s="422" customFormat="1" ht="45">
      <c r="A423" s="423" t="s">
        <v>264</v>
      </c>
      <c r="B423" s="423">
        <v>429</v>
      </c>
      <c r="C423" s="423" t="s">
        <v>527</v>
      </c>
      <c r="D423" s="423" t="s">
        <v>167</v>
      </c>
      <c r="E423" s="424" t="s">
        <v>843</v>
      </c>
      <c r="F423" s="424" t="s">
        <v>829</v>
      </c>
      <c r="G423" s="424" t="s">
        <v>280</v>
      </c>
      <c r="H423" s="281">
        <v>310135</v>
      </c>
      <c r="I423" s="425" t="s">
        <v>253</v>
      </c>
      <c r="J423" s="425"/>
      <c r="K423" s="426" t="s">
        <v>253</v>
      </c>
      <c r="L423" s="427" t="s">
        <v>19</v>
      </c>
      <c r="M423" s="427" t="s">
        <v>549</v>
      </c>
      <c r="N423" s="427" t="s">
        <v>253</v>
      </c>
      <c r="O423" s="428"/>
      <c r="P423" s="427">
        <v>2023</v>
      </c>
      <c r="Q423" s="397"/>
      <c r="R423" s="398"/>
      <c r="S423" s="399"/>
      <c r="T423" s="400"/>
      <c r="U423" s="401"/>
      <c r="V423" s="402"/>
      <c r="W423" s="47"/>
    </row>
    <row r="424" spans="1:23" s="422" customFormat="1" ht="45">
      <c r="A424" s="423" t="s">
        <v>264</v>
      </c>
      <c r="B424" s="423">
        <v>430</v>
      </c>
      <c r="C424" s="423" t="s">
        <v>527</v>
      </c>
      <c r="D424" s="423" t="s">
        <v>167</v>
      </c>
      <c r="E424" s="424" t="s">
        <v>844</v>
      </c>
      <c r="F424" s="424" t="s">
        <v>829</v>
      </c>
      <c r="G424" s="424" t="s">
        <v>280</v>
      </c>
      <c r="H424" s="281" t="s">
        <v>845</v>
      </c>
      <c r="I424" s="425" t="s">
        <v>253</v>
      </c>
      <c r="J424" s="425"/>
      <c r="K424" s="426" t="s">
        <v>253</v>
      </c>
      <c r="L424" s="427" t="s">
        <v>19</v>
      </c>
      <c r="M424" s="427" t="s">
        <v>549</v>
      </c>
      <c r="N424" s="427" t="s">
        <v>253</v>
      </c>
      <c r="O424" s="428"/>
      <c r="P424" s="427" t="s">
        <v>253</v>
      </c>
      <c r="Q424" s="397"/>
      <c r="R424" s="398"/>
      <c r="S424" s="399"/>
      <c r="T424" s="400"/>
      <c r="U424" s="401"/>
      <c r="V424" s="402"/>
      <c r="W424" s="47"/>
    </row>
    <row r="425" spans="1:23" s="422" customFormat="1" ht="45">
      <c r="A425" s="423" t="s">
        <v>264</v>
      </c>
      <c r="B425" s="423">
        <v>431</v>
      </c>
      <c r="C425" s="423" t="s">
        <v>527</v>
      </c>
      <c r="D425" s="423" t="s">
        <v>167</v>
      </c>
      <c r="E425" s="432" t="s">
        <v>846</v>
      </c>
      <c r="F425" s="424" t="s">
        <v>523</v>
      </c>
      <c r="G425" s="424" t="s">
        <v>280</v>
      </c>
      <c r="H425" s="281"/>
      <c r="I425" s="425" t="s">
        <v>253</v>
      </c>
      <c r="J425" s="425"/>
      <c r="K425" s="426" t="s">
        <v>253</v>
      </c>
      <c r="L425" s="427"/>
      <c r="M425" s="427"/>
      <c r="N425" s="427"/>
      <c r="O425" s="428"/>
      <c r="P425" s="427"/>
      <c r="Q425" s="397"/>
      <c r="R425" s="398"/>
      <c r="S425" s="399"/>
      <c r="T425" s="400"/>
      <c r="U425" s="401"/>
      <c r="V425" s="402"/>
      <c r="W425" s="47"/>
    </row>
    <row r="426" spans="1:23" s="422" customFormat="1" ht="45">
      <c r="A426" s="423" t="s">
        <v>264</v>
      </c>
      <c r="B426" s="423">
        <v>432</v>
      </c>
      <c r="C426" s="423" t="s">
        <v>527</v>
      </c>
      <c r="D426" s="423" t="s">
        <v>167</v>
      </c>
      <c r="E426" s="432" t="s">
        <v>847</v>
      </c>
      <c r="F426" s="424" t="s">
        <v>829</v>
      </c>
      <c r="G426" s="424" t="s">
        <v>280</v>
      </c>
      <c r="H426" s="281"/>
      <c r="I426" s="425" t="s">
        <v>253</v>
      </c>
      <c r="J426" s="425"/>
      <c r="K426" s="426" t="s">
        <v>253</v>
      </c>
      <c r="L426" s="427"/>
      <c r="M426" s="427"/>
      <c r="N426" s="427"/>
      <c r="O426" s="428"/>
      <c r="P426" s="427"/>
      <c r="Q426" s="397"/>
      <c r="R426" s="398"/>
      <c r="S426" s="399"/>
      <c r="T426" s="400"/>
      <c r="U426" s="401"/>
      <c r="V426" s="402"/>
      <c r="W426" s="47"/>
    </row>
    <row r="427" spans="1:23" s="471" customFormat="1" ht="45">
      <c r="A427" s="397" t="s">
        <v>264</v>
      </c>
      <c r="B427" s="397">
        <v>433</v>
      </c>
      <c r="C427" s="397" t="s">
        <v>527</v>
      </c>
      <c r="D427" s="397" t="s">
        <v>1</v>
      </c>
      <c r="E427" s="390" t="s">
        <v>848</v>
      </c>
      <c r="F427" s="390" t="s">
        <v>829</v>
      </c>
      <c r="G427" s="390" t="s">
        <v>833</v>
      </c>
      <c r="H427" s="277" t="s">
        <v>849</v>
      </c>
      <c r="I427" s="271">
        <v>11294</v>
      </c>
      <c r="J427" s="271"/>
      <c r="K427" s="486">
        <v>2009</v>
      </c>
      <c r="L427" s="486" t="s">
        <v>19</v>
      </c>
      <c r="M427" s="486" t="s">
        <v>530</v>
      </c>
      <c r="N427" s="272" t="s">
        <v>850</v>
      </c>
      <c r="O427" s="272"/>
      <c r="P427" s="272">
        <v>2019</v>
      </c>
      <c r="Q427" s="397"/>
      <c r="R427" s="397"/>
      <c r="S427" s="397"/>
      <c r="T427" s="397"/>
      <c r="U427" s="397"/>
      <c r="V427" s="397"/>
      <c r="W427" s="390"/>
    </row>
    <row r="428" spans="1:23" s="422" customFormat="1" ht="45">
      <c r="A428" s="423" t="s">
        <v>264</v>
      </c>
      <c r="B428" s="423">
        <v>434</v>
      </c>
      <c r="C428" s="423" t="s">
        <v>527</v>
      </c>
      <c r="D428" s="423" t="s">
        <v>272</v>
      </c>
      <c r="E428" s="424" t="s">
        <v>851</v>
      </c>
      <c r="F428" s="424" t="s">
        <v>270</v>
      </c>
      <c r="G428" s="424" t="s">
        <v>253</v>
      </c>
      <c r="H428" s="281" t="s">
        <v>253</v>
      </c>
      <c r="I428" s="425"/>
      <c r="J428" s="425"/>
      <c r="K428" s="426"/>
      <c r="L428" s="427"/>
      <c r="M428" s="427"/>
      <c r="N428" s="427"/>
      <c r="O428" s="428"/>
      <c r="P428" s="427"/>
      <c r="Q428" s="397"/>
      <c r="R428" s="398"/>
      <c r="S428" s="399"/>
      <c r="T428" s="400"/>
      <c r="U428" s="401"/>
      <c r="V428" s="402"/>
      <c r="W428" s="47"/>
    </row>
    <row r="429" spans="1:23" s="422" customFormat="1" ht="45">
      <c r="A429" s="423" t="s">
        <v>264</v>
      </c>
      <c r="B429" s="423">
        <v>435</v>
      </c>
      <c r="C429" s="423" t="s">
        <v>527</v>
      </c>
      <c r="D429" s="423" t="s">
        <v>167</v>
      </c>
      <c r="E429" s="424" t="s">
        <v>852</v>
      </c>
      <c r="F429" s="424" t="s">
        <v>829</v>
      </c>
      <c r="G429" s="424" t="s">
        <v>853</v>
      </c>
      <c r="H429" s="277"/>
      <c r="I429" s="78" t="s">
        <v>253</v>
      </c>
      <c r="J429" s="78"/>
      <c r="K429" s="426" t="s">
        <v>253</v>
      </c>
      <c r="L429" s="427" t="s">
        <v>253</v>
      </c>
      <c r="M429" s="427" t="s">
        <v>841</v>
      </c>
      <c r="N429" s="80" t="s">
        <v>253</v>
      </c>
      <c r="O429" s="217"/>
      <c r="P429" s="80"/>
      <c r="Q429" s="397"/>
      <c r="R429" s="398"/>
      <c r="S429" s="399"/>
      <c r="T429" s="400"/>
      <c r="U429" s="401"/>
      <c r="V429" s="402"/>
      <c r="W429" s="47"/>
    </row>
    <row r="430" spans="1:23" ht="45">
      <c r="A430" s="423" t="s">
        <v>264</v>
      </c>
      <c r="B430" s="423">
        <v>436</v>
      </c>
      <c r="C430" s="423" t="s">
        <v>527</v>
      </c>
      <c r="D430" s="423" t="s">
        <v>167</v>
      </c>
      <c r="E430" s="424" t="s">
        <v>854</v>
      </c>
      <c r="F430" s="424" t="s">
        <v>829</v>
      </c>
      <c r="G430" s="424" t="s">
        <v>853</v>
      </c>
      <c r="H430" s="277"/>
      <c r="I430" s="78" t="s">
        <v>253</v>
      </c>
      <c r="J430" s="78"/>
      <c r="K430" s="426" t="s">
        <v>253</v>
      </c>
      <c r="L430" s="427" t="s">
        <v>253</v>
      </c>
      <c r="M430" s="427" t="s">
        <v>841</v>
      </c>
      <c r="N430" s="80" t="s">
        <v>253</v>
      </c>
      <c r="O430" s="217"/>
      <c r="P430" s="80"/>
      <c r="Q430" s="397"/>
      <c r="R430" s="398"/>
      <c r="S430" s="399"/>
      <c r="T430" s="400"/>
      <c r="U430" s="401"/>
      <c r="V430" s="402"/>
      <c r="W430" s="47"/>
    </row>
    <row r="431" spans="1:23" ht="45">
      <c r="A431" s="423" t="s">
        <v>264</v>
      </c>
      <c r="B431" s="423">
        <v>437</v>
      </c>
      <c r="C431" s="423" t="s">
        <v>527</v>
      </c>
      <c r="D431" s="423" t="s">
        <v>167</v>
      </c>
      <c r="E431" s="432" t="s">
        <v>855</v>
      </c>
      <c r="F431" s="424" t="s">
        <v>523</v>
      </c>
      <c r="G431" s="424" t="s">
        <v>853</v>
      </c>
      <c r="H431" s="281"/>
      <c r="I431" s="425" t="s">
        <v>253</v>
      </c>
      <c r="J431" s="425"/>
      <c r="K431" s="426" t="s">
        <v>253</v>
      </c>
      <c r="L431" s="427"/>
      <c r="M431" s="427"/>
      <c r="N431" s="427" t="s">
        <v>253</v>
      </c>
      <c r="O431" s="428"/>
      <c r="P431" s="427"/>
      <c r="Q431" s="397"/>
      <c r="R431" s="398"/>
      <c r="S431" s="399"/>
      <c r="T431" s="400"/>
      <c r="U431" s="401"/>
      <c r="V431" s="402"/>
      <c r="W431" s="47"/>
    </row>
    <row r="432" spans="1:23" ht="45">
      <c r="A432" s="423" t="s">
        <v>264</v>
      </c>
      <c r="B432" s="423">
        <v>438</v>
      </c>
      <c r="C432" s="423" t="s">
        <v>527</v>
      </c>
      <c r="D432" s="423" t="s">
        <v>167</v>
      </c>
      <c r="E432" s="432" t="s">
        <v>856</v>
      </c>
      <c r="F432" s="424" t="s">
        <v>523</v>
      </c>
      <c r="G432" s="424" t="s">
        <v>853</v>
      </c>
      <c r="H432" s="281"/>
      <c r="I432" s="425" t="s">
        <v>253</v>
      </c>
      <c r="J432" s="425"/>
      <c r="K432" s="426" t="s">
        <v>253</v>
      </c>
      <c r="L432" s="427"/>
      <c r="M432" s="427"/>
      <c r="N432" s="427" t="s">
        <v>253</v>
      </c>
      <c r="O432" s="428"/>
      <c r="P432" s="427"/>
      <c r="Q432" s="397"/>
      <c r="R432" s="398"/>
      <c r="S432" s="399"/>
      <c r="T432" s="400"/>
      <c r="U432" s="401"/>
      <c r="V432" s="402"/>
      <c r="W432" s="47"/>
    </row>
    <row r="433" spans="1:23" ht="45">
      <c r="A433" s="423" t="s">
        <v>264</v>
      </c>
      <c r="B433" s="423">
        <v>439</v>
      </c>
      <c r="C433" s="423" t="s">
        <v>527</v>
      </c>
      <c r="D433" s="423" t="s">
        <v>167</v>
      </c>
      <c r="E433" s="424" t="s">
        <v>857</v>
      </c>
      <c r="F433" s="424" t="s">
        <v>829</v>
      </c>
      <c r="G433" s="424" t="s">
        <v>853</v>
      </c>
      <c r="H433" s="281"/>
      <c r="I433" s="425" t="s">
        <v>253</v>
      </c>
      <c r="J433" s="425"/>
      <c r="K433" s="426" t="s">
        <v>253</v>
      </c>
      <c r="L433" s="427" t="s">
        <v>19</v>
      </c>
      <c r="M433" s="427" t="s">
        <v>549</v>
      </c>
      <c r="N433" s="427" t="s">
        <v>253</v>
      </c>
      <c r="O433" s="428"/>
      <c r="P433" s="427"/>
      <c r="Q433" s="397"/>
      <c r="R433" s="398"/>
      <c r="S433" s="399"/>
      <c r="T433" s="400"/>
      <c r="U433" s="401"/>
      <c r="V433" s="402"/>
      <c r="W433" s="47"/>
    </row>
    <row r="434" spans="1:23" ht="45">
      <c r="A434" s="423" t="s">
        <v>264</v>
      </c>
      <c r="B434" s="423">
        <v>440</v>
      </c>
      <c r="C434" s="423" t="s">
        <v>527</v>
      </c>
      <c r="D434" s="423" t="s">
        <v>167</v>
      </c>
      <c r="E434" s="432" t="s">
        <v>858</v>
      </c>
      <c r="F434" s="424" t="s">
        <v>523</v>
      </c>
      <c r="G434" s="424" t="s">
        <v>853</v>
      </c>
      <c r="H434" s="281"/>
      <c r="I434" s="425" t="s">
        <v>253</v>
      </c>
      <c r="J434" s="425"/>
      <c r="K434" s="426" t="s">
        <v>253</v>
      </c>
      <c r="L434" s="427"/>
      <c r="M434" s="427"/>
      <c r="N434" s="427" t="s">
        <v>253</v>
      </c>
      <c r="O434" s="428"/>
      <c r="P434" s="427"/>
      <c r="Q434" s="397"/>
      <c r="R434" s="398"/>
      <c r="S434" s="399"/>
      <c r="T434" s="400"/>
      <c r="U434" s="401"/>
      <c r="V434" s="402"/>
      <c r="W434" s="47"/>
    </row>
    <row r="435" spans="1:23" ht="45">
      <c r="A435" s="423" t="s">
        <v>264</v>
      </c>
      <c r="B435" s="423">
        <v>441</v>
      </c>
      <c r="C435" s="423" t="s">
        <v>527</v>
      </c>
      <c r="D435" s="423" t="s">
        <v>167</v>
      </c>
      <c r="E435" s="424" t="s">
        <v>859</v>
      </c>
      <c r="F435" s="424" t="s">
        <v>829</v>
      </c>
      <c r="G435" s="424" t="s">
        <v>853</v>
      </c>
      <c r="H435" s="281"/>
      <c r="I435" s="425" t="s">
        <v>253</v>
      </c>
      <c r="J435" s="425"/>
      <c r="K435" s="426" t="s">
        <v>253</v>
      </c>
      <c r="L435" s="427" t="s">
        <v>14</v>
      </c>
      <c r="M435" s="427" t="s">
        <v>549</v>
      </c>
      <c r="N435" s="427" t="s">
        <v>253</v>
      </c>
      <c r="O435" s="428"/>
      <c r="P435" s="427"/>
      <c r="Q435" s="397"/>
      <c r="R435" s="398"/>
      <c r="S435" s="399"/>
      <c r="T435" s="400"/>
      <c r="U435" s="401"/>
      <c r="V435" s="402"/>
      <c r="W435" s="47"/>
    </row>
    <row r="436" spans="1:23" ht="45">
      <c r="A436" s="423" t="s">
        <v>264</v>
      </c>
      <c r="B436" s="423">
        <v>442</v>
      </c>
      <c r="C436" s="423" t="s">
        <v>527</v>
      </c>
      <c r="D436" s="423" t="s">
        <v>167</v>
      </c>
      <c r="E436" s="424" t="s">
        <v>860</v>
      </c>
      <c r="F436" s="424" t="s">
        <v>829</v>
      </c>
      <c r="G436" s="424" t="s">
        <v>853</v>
      </c>
      <c r="H436" s="281"/>
      <c r="I436" s="425" t="s">
        <v>253</v>
      </c>
      <c r="J436" s="425"/>
      <c r="K436" s="426">
        <v>2007</v>
      </c>
      <c r="L436" s="427" t="s">
        <v>19</v>
      </c>
      <c r="M436" s="427" t="s">
        <v>841</v>
      </c>
      <c r="N436" s="427" t="s">
        <v>861</v>
      </c>
      <c r="O436" s="428"/>
      <c r="P436" s="427">
        <v>2019</v>
      </c>
      <c r="Q436" s="397"/>
      <c r="R436" s="398"/>
      <c r="S436" s="399"/>
      <c r="T436" s="400"/>
      <c r="U436" s="401"/>
      <c r="V436" s="402"/>
      <c r="W436" s="47"/>
    </row>
    <row r="437" spans="1:23" ht="45">
      <c r="A437" s="423" t="s">
        <v>264</v>
      </c>
      <c r="B437" s="423">
        <v>443</v>
      </c>
      <c r="C437" s="423" t="s">
        <v>527</v>
      </c>
      <c r="D437" s="423" t="s">
        <v>1</v>
      </c>
      <c r="E437" s="424" t="s">
        <v>862</v>
      </c>
      <c r="F437" s="424" t="s">
        <v>863</v>
      </c>
      <c r="G437" s="424" t="s">
        <v>833</v>
      </c>
      <c r="H437" s="277">
        <v>1497170</v>
      </c>
      <c r="I437" s="78" t="s">
        <v>253</v>
      </c>
      <c r="J437" s="78"/>
      <c r="K437" s="426" t="s">
        <v>253</v>
      </c>
      <c r="L437" s="427" t="s">
        <v>253</v>
      </c>
      <c r="M437" s="427" t="s">
        <v>253</v>
      </c>
      <c r="N437" s="80" t="s">
        <v>253</v>
      </c>
      <c r="O437" s="217"/>
      <c r="P437" s="80">
        <v>2027</v>
      </c>
      <c r="Q437" s="397"/>
      <c r="R437" s="398"/>
      <c r="S437" s="399"/>
      <c r="T437" s="400"/>
      <c r="U437" s="401"/>
      <c r="V437" s="402"/>
      <c r="W437" s="47"/>
    </row>
    <row r="438" spans="1:23" ht="45">
      <c r="A438" s="423" t="s">
        <v>264</v>
      </c>
      <c r="B438" s="423">
        <v>444</v>
      </c>
      <c r="C438" s="423" t="s">
        <v>527</v>
      </c>
      <c r="D438" s="423" t="s">
        <v>1</v>
      </c>
      <c r="E438" s="424" t="s">
        <v>864</v>
      </c>
      <c r="F438" s="424" t="s">
        <v>523</v>
      </c>
      <c r="G438" s="424" t="s">
        <v>833</v>
      </c>
      <c r="H438" s="281">
        <v>139.59200000000001</v>
      </c>
      <c r="I438" s="425">
        <v>10863</v>
      </c>
      <c r="J438" s="425"/>
      <c r="K438" s="426">
        <v>2006</v>
      </c>
      <c r="L438" s="427" t="s">
        <v>19</v>
      </c>
      <c r="M438" s="427" t="s">
        <v>549</v>
      </c>
      <c r="N438" s="444" t="s">
        <v>781</v>
      </c>
      <c r="O438" s="428"/>
      <c r="P438" s="427">
        <v>2018</v>
      </c>
      <c r="Q438" s="397"/>
      <c r="R438" s="398"/>
      <c r="S438" s="399"/>
      <c r="T438" s="400"/>
      <c r="U438" s="401"/>
      <c r="V438" s="402"/>
      <c r="W438" s="47"/>
    </row>
    <row r="439" spans="1:23" ht="45">
      <c r="A439" s="423" t="s">
        <v>264</v>
      </c>
      <c r="B439" s="423">
        <v>445</v>
      </c>
      <c r="C439" s="423" t="s">
        <v>527</v>
      </c>
      <c r="D439" s="423" t="s">
        <v>167</v>
      </c>
      <c r="E439" s="424" t="s">
        <v>865</v>
      </c>
      <c r="F439" s="424" t="s">
        <v>829</v>
      </c>
      <c r="G439" s="424" t="s">
        <v>280</v>
      </c>
      <c r="H439" s="281" t="s">
        <v>253</v>
      </c>
      <c r="I439" s="425" t="s">
        <v>253</v>
      </c>
      <c r="J439" s="425"/>
      <c r="K439" s="426">
        <v>2001</v>
      </c>
      <c r="L439" s="427"/>
      <c r="M439" s="427" t="s">
        <v>841</v>
      </c>
      <c r="N439" s="427" t="s">
        <v>866</v>
      </c>
      <c r="O439" s="428"/>
      <c r="P439" s="427">
        <v>2018</v>
      </c>
      <c r="Q439" s="397"/>
      <c r="R439" s="398"/>
      <c r="S439" s="399"/>
      <c r="T439" s="400"/>
      <c r="U439" s="401"/>
      <c r="V439" s="402"/>
      <c r="W439" s="47"/>
    </row>
    <row r="440" spans="1:23" ht="45">
      <c r="A440" s="423" t="s">
        <v>264</v>
      </c>
      <c r="B440" s="423">
        <v>446</v>
      </c>
      <c r="C440" s="423" t="s">
        <v>527</v>
      </c>
      <c r="D440" s="423" t="s">
        <v>167</v>
      </c>
      <c r="E440" s="424" t="s">
        <v>867</v>
      </c>
      <c r="F440" s="424" t="s">
        <v>829</v>
      </c>
      <c r="G440" s="424" t="s">
        <v>280</v>
      </c>
      <c r="H440" s="281" t="s">
        <v>253</v>
      </c>
      <c r="I440" s="425" t="s">
        <v>253</v>
      </c>
      <c r="J440" s="425"/>
      <c r="K440" s="426">
        <v>2014</v>
      </c>
      <c r="L440" s="427"/>
      <c r="M440" s="427" t="s">
        <v>841</v>
      </c>
      <c r="N440" s="427" t="s">
        <v>868</v>
      </c>
      <c r="O440" s="428"/>
      <c r="P440" s="427">
        <v>2024</v>
      </c>
      <c r="Q440" s="397"/>
      <c r="R440" s="398"/>
      <c r="S440" s="399"/>
      <c r="T440" s="400"/>
      <c r="U440" s="401"/>
      <c r="V440" s="402"/>
      <c r="W440" s="47"/>
    </row>
    <row r="441" spans="1:23" ht="45">
      <c r="A441" s="423" t="s">
        <v>264</v>
      </c>
      <c r="B441" s="423">
        <v>447</v>
      </c>
      <c r="C441" s="423" t="s">
        <v>527</v>
      </c>
      <c r="D441" s="423" t="s">
        <v>272</v>
      </c>
      <c r="E441" s="424" t="s">
        <v>869</v>
      </c>
      <c r="F441" s="424" t="s">
        <v>523</v>
      </c>
      <c r="G441" s="424" t="s">
        <v>280</v>
      </c>
      <c r="H441" s="281" t="s">
        <v>253</v>
      </c>
      <c r="I441" s="425" t="s">
        <v>253</v>
      </c>
      <c r="J441" s="425"/>
      <c r="K441" s="426"/>
      <c r="L441" s="427"/>
      <c r="M441" s="427" t="s">
        <v>841</v>
      </c>
      <c r="N441" s="427"/>
      <c r="O441" s="428"/>
      <c r="P441" s="427"/>
      <c r="Q441" s="397"/>
      <c r="R441" s="398"/>
      <c r="S441" s="399"/>
      <c r="T441" s="400"/>
      <c r="U441" s="401"/>
      <c r="V441" s="402"/>
      <c r="W441" s="47"/>
    </row>
    <row r="442" spans="1:23" ht="45">
      <c r="A442" s="423" t="s">
        <v>264</v>
      </c>
      <c r="B442" s="423">
        <v>448</v>
      </c>
      <c r="C442" s="423" t="s">
        <v>527</v>
      </c>
      <c r="D442" s="423" t="s">
        <v>1</v>
      </c>
      <c r="E442" s="432" t="s">
        <v>870</v>
      </c>
      <c r="F442" s="424"/>
      <c r="G442" s="424" t="s">
        <v>833</v>
      </c>
      <c r="H442" s="281"/>
      <c r="I442" s="425"/>
      <c r="J442" s="425"/>
      <c r="K442" s="426">
        <v>2023</v>
      </c>
      <c r="L442" s="427"/>
      <c r="M442" s="427" t="s">
        <v>549</v>
      </c>
      <c r="N442" s="427" t="s">
        <v>871</v>
      </c>
      <c r="O442" s="428"/>
      <c r="P442" s="427">
        <v>2023</v>
      </c>
      <c r="Q442" s="397"/>
      <c r="R442" s="398"/>
      <c r="S442" s="399"/>
      <c r="T442" s="400"/>
      <c r="U442" s="401"/>
      <c r="V442" s="402"/>
      <c r="W442" s="47"/>
    </row>
    <row r="443" spans="1:23" ht="45">
      <c r="A443" s="423" t="s">
        <v>264</v>
      </c>
      <c r="B443" s="423">
        <v>449</v>
      </c>
      <c r="C443" s="423" t="s">
        <v>527</v>
      </c>
      <c r="D443" s="423" t="s">
        <v>1</v>
      </c>
      <c r="E443" s="424" t="s">
        <v>872</v>
      </c>
      <c r="F443" s="424" t="s">
        <v>523</v>
      </c>
      <c r="G443" s="424" t="s">
        <v>833</v>
      </c>
      <c r="H443" s="281">
        <v>3697</v>
      </c>
      <c r="I443" s="425">
        <v>11425</v>
      </c>
      <c r="J443" s="425"/>
      <c r="K443" s="426">
        <v>2014</v>
      </c>
      <c r="L443" s="427" t="s">
        <v>14</v>
      </c>
      <c r="M443" s="427" t="s">
        <v>841</v>
      </c>
      <c r="N443" s="427" t="s">
        <v>868</v>
      </c>
      <c r="O443" s="428"/>
      <c r="P443" s="427">
        <v>2024</v>
      </c>
      <c r="Q443" s="397"/>
      <c r="R443" s="398"/>
      <c r="S443" s="399"/>
      <c r="T443" s="400"/>
      <c r="U443" s="401"/>
      <c r="V443" s="402"/>
      <c r="W443" s="47"/>
    </row>
    <row r="444" spans="1:23" ht="45">
      <c r="A444" s="423" t="s">
        <v>264</v>
      </c>
      <c r="B444" s="423">
        <v>450</v>
      </c>
      <c r="C444" s="423" t="s">
        <v>527</v>
      </c>
      <c r="D444" s="423" t="s">
        <v>167</v>
      </c>
      <c r="E444" s="424" t="s">
        <v>873</v>
      </c>
      <c r="F444" s="424" t="s">
        <v>523</v>
      </c>
      <c r="G444" s="424" t="s">
        <v>280</v>
      </c>
      <c r="H444" s="281" t="s">
        <v>253</v>
      </c>
      <c r="I444" s="425" t="s">
        <v>253</v>
      </c>
      <c r="J444" s="425"/>
      <c r="K444" s="426"/>
      <c r="L444" s="427" t="s">
        <v>19</v>
      </c>
      <c r="M444" s="427" t="s">
        <v>549</v>
      </c>
      <c r="N444" s="427" t="s">
        <v>253</v>
      </c>
      <c r="O444" s="428"/>
      <c r="P444" s="427" t="s">
        <v>253</v>
      </c>
      <c r="Q444" s="397"/>
      <c r="R444" s="398"/>
      <c r="S444" s="399"/>
      <c r="T444" s="400"/>
      <c r="U444" s="401"/>
      <c r="V444" s="402"/>
      <c r="W444" s="47"/>
    </row>
    <row r="445" spans="1:23" s="430" customFormat="1" ht="45">
      <c r="A445" s="397" t="s">
        <v>264</v>
      </c>
      <c r="B445" s="397">
        <v>451</v>
      </c>
      <c r="C445" s="397" t="s">
        <v>527</v>
      </c>
      <c r="D445" s="397" t="s">
        <v>1</v>
      </c>
      <c r="E445" s="390" t="s">
        <v>874</v>
      </c>
      <c r="F445" s="390" t="s">
        <v>523</v>
      </c>
      <c r="G445" s="390" t="s">
        <v>833</v>
      </c>
      <c r="H445" s="277" t="s">
        <v>253</v>
      </c>
      <c r="I445" s="78" t="s">
        <v>253</v>
      </c>
      <c r="J445" s="78"/>
      <c r="K445" s="397" t="s">
        <v>253</v>
      </c>
      <c r="L445" s="397" t="s">
        <v>19</v>
      </c>
      <c r="M445" s="397" t="s">
        <v>530</v>
      </c>
      <c r="N445" s="80" t="s">
        <v>253</v>
      </c>
      <c r="O445" s="217"/>
      <c r="P445" s="80">
        <v>2024</v>
      </c>
      <c r="Q445" s="397"/>
      <c r="R445" s="397"/>
      <c r="S445" s="397"/>
      <c r="T445" s="397"/>
      <c r="U445" s="397"/>
      <c r="V445" s="397"/>
      <c r="W445" s="390"/>
    </row>
    <row r="446" spans="1:23" ht="45">
      <c r="A446" s="423" t="s">
        <v>264</v>
      </c>
      <c r="B446" s="423">
        <v>452</v>
      </c>
      <c r="C446" s="423" t="s">
        <v>527</v>
      </c>
      <c r="D446" s="423" t="s">
        <v>1</v>
      </c>
      <c r="E446" s="424" t="s">
        <v>875</v>
      </c>
      <c r="F446" s="424" t="s">
        <v>829</v>
      </c>
      <c r="G446" s="424" t="s">
        <v>833</v>
      </c>
      <c r="H446" s="281" t="s">
        <v>253</v>
      </c>
      <c r="I446" s="425" t="s">
        <v>253</v>
      </c>
      <c r="J446" s="425"/>
      <c r="K446" s="426" t="s">
        <v>253</v>
      </c>
      <c r="L446" s="427" t="s">
        <v>19</v>
      </c>
      <c r="M446" s="427" t="s">
        <v>549</v>
      </c>
      <c r="N446" s="427" t="s">
        <v>253</v>
      </c>
      <c r="O446" s="428"/>
      <c r="P446" s="427" t="s">
        <v>253</v>
      </c>
      <c r="Q446" s="397"/>
      <c r="R446" s="398"/>
      <c r="S446" s="399"/>
      <c r="T446" s="400"/>
      <c r="U446" s="401"/>
      <c r="V446" s="402"/>
      <c r="W446" s="47"/>
    </row>
    <row r="447" spans="1:23" ht="45">
      <c r="A447" s="423" t="s">
        <v>264</v>
      </c>
      <c r="B447" s="423">
        <v>453</v>
      </c>
      <c r="C447" s="423" t="s">
        <v>527</v>
      </c>
      <c r="D447" s="423" t="s">
        <v>272</v>
      </c>
      <c r="E447" s="424" t="s">
        <v>876</v>
      </c>
      <c r="F447" s="424"/>
      <c r="G447" s="424" t="s">
        <v>833</v>
      </c>
      <c r="H447" s="281"/>
      <c r="I447" s="425"/>
      <c r="J447" s="425"/>
      <c r="K447" s="426"/>
      <c r="L447" s="427"/>
      <c r="M447" s="427"/>
      <c r="N447" s="427"/>
      <c r="O447" s="428"/>
      <c r="P447" s="427"/>
      <c r="Q447" s="397"/>
      <c r="R447" s="398"/>
      <c r="S447" s="399"/>
      <c r="T447" s="400"/>
      <c r="U447" s="401"/>
      <c r="V447" s="402"/>
      <c r="W447" s="47"/>
    </row>
    <row r="448" spans="1:23" ht="45">
      <c r="A448" s="423" t="s">
        <v>264</v>
      </c>
      <c r="B448" s="423">
        <v>454</v>
      </c>
      <c r="C448" s="423" t="s">
        <v>527</v>
      </c>
      <c r="D448" s="423" t="s">
        <v>167</v>
      </c>
      <c r="E448" s="424" t="s">
        <v>877</v>
      </c>
      <c r="F448" s="424" t="s">
        <v>829</v>
      </c>
      <c r="G448" s="424" t="s">
        <v>280</v>
      </c>
      <c r="H448" s="456" t="s">
        <v>253</v>
      </c>
      <c r="I448" s="425" t="s">
        <v>253</v>
      </c>
      <c r="J448" s="425"/>
      <c r="K448" s="426" t="s">
        <v>253</v>
      </c>
      <c r="L448" s="427" t="s">
        <v>19</v>
      </c>
      <c r="M448" s="427" t="s">
        <v>841</v>
      </c>
      <c r="N448" s="427" t="s">
        <v>253</v>
      </c>
      <c r="O448" s="428"/>
      <c r="P448" s="427" t="s">
        <v>253</v>
      </c>
      <c r="Q448" s="397"/>
      <c r="R448" s="398"/>
      <c r="S448" s="399"/>
      <c r="T448" s="400"/>
      <c r="U448" s="401"/>
      <c r="V448" s="402"/>
      <c r="W448" s="47"/>
    </row>
    <row r="449" spans="1:23" ht="45">
      <c r="A449" s="423" t="s">
        <v>264</v>
      </c>
      <c r="B449" s="423">
        <v>455</v>
      </c>
      <c r="C449" s="423" t="s">
        <v>527</v>
      </c>
      <c r="D449" s="423" t="s">
        <v>272</v>
      </c>
      <c r="E449" s="424" t="s">
        <v>878</v>
      </c>
      <c r="F449" s="424"/>
      <c r="G449" s="457" t="s">
        <v>280</v>
      </c>
      <c r="H449" s="281"/>
      <c r="I449" s="458"/>
      <c r="J449" s="425"/>
      <c r="K449" s="426"/>
      <c r="L449" s="427"/>
      <c r="M449" s="427"/>
      <c r="N449" s="427"/>
      <c r="O449" s="428"/>
      <c r="P449" s="427"/>
      <c r="Q449" s="397"/>
      <c r="R449" s="398"/>
      <c r="S449" s="399"/>
      <c r="T449" s="400"/>
      <c r="U449" s="401"/>
      <c r="V449" s="402"/>
      <c r="W449" s="47"/>
    </row>
    <row r="450" spans="1:23" ht="45">
      <c r="A450" s="423" t="s">
        <v>264</v>
      </c>
      <c r="B450" s="423">
        <v>456</v>
      </c>
      <c r="C450" s="423" t="s">
        <v>527</v>
      </c>
      <c r="D450" s="423" t="s">
        <v>272</v>
      </c>
      <c r="E450" s="424" t="s">
        <v>879</v>
      </c>
      <c r="F450" s="424"/>
      <c r="G450" s="457" t="s">
        <v>833</v>
      </c>
      <c r="H450" s="281"/>
      <c r="I450" s="458"/>
      <c r="J450" s="425"/>
      <c r="K450" s="426"/>
      <c r="L450" s="427"/>
      <c r="M450" s="427"/>
      <c r="N450" s="427"/>
      <c r="O450" s="428"/>
      <c r="P450" s="427"/>
      <c r="Q450" s="397"/>
      <c r="R450" s="398"/>
      <c r="S450" s="399"/>
      <c r="T450" s="400"/>
      <c r="U450" s="401"/>
      <c r="V450" s="402"/>
      <c r="W450" s="47"/>
    </row>
    <row r="451" spans="1:23" ht="45">
      <c r="A451" s="423" t="s">
        <v>264</v>
      </c>
      <c r="B451" s="423">
        <v>457</v>
      </c>
      <c r="C451" s="423" t="s">
        <v>527</v>
      </c>
      <c r="D451" s="423" t="s">
        <v>272</v>
      </c>
      <c r="E451" s="424" t="s">
        <v>880</v>
      </c>
      <c r="F451" s="424"/>
      <c r="G451" s="457" t="s">
        <v>833</v>
      </c>
      <c r="H451" s="281"/>
      <c r="I451" s="458"/>
      <c r="J451" s="425"/>
      <c r="K451" s="426"/>
      <c r="L451" s="427"/>
      <c r="M451" s="427"/>
      <c r="N451" s="427"/>
      <c r="O451" s="428"/>
      <c r="P451" s="427"/>
      <c r="Q451" s="397"/>
      <c r="R451" s="398"/>
      <c r="S451" s="399"/>
      <c r="T451" s="400"/>
      <c r="U451" s="401"/>
      <c r="V451" s="402"/>
      <c r="W451" s="47"/>
    </row>
    <row r="452" spans="1:23" s="430" customFormat="1" ht="45">
      <c r="A452" s="397" t="s">
        <v>264</v>
      </c>
      <c r="B452" s="397">
        <v>458</v>
      </c>
      <c r="C452" s="397" t="s">
        <v>527</v>
      </c>
      <c r="D452" s="397" t="s">
        <v>272</v>
      </c>
      <c r="E452" s="390" t="s">
        <v>881</v>
      </c>
      <c r="F452" s="390"/>
      <c r="G452" s="487" t="s">
        <v>833</v>
      </c>
      <c r="H452" s="281"/>
      <c r="I452" s="458"/>
      <c r="J452" s="425"/>
      <c r="K452" s="397"/>
      <c r="L452" s="397"/>
      <c r="M452" s="397"/>
      <c r="N452" s="427"/>
      <c r="O452" s="428"/>
      <c r="P452" s="427"/>
      <c r="Q452" s="397"/>
      <c r="R452" s="397"/>
      <c r="S452" s="397"/>
      <c r="T452" s="397"/>
      <c r="U452" s="397"/>
      <c r="V452" s="397"/>
      <c r="W452" s="390"/>
    </row>
    <row r="453" spans="1:23" ht="45">
      <c r="A453" s="423" t="s">
        <v>264</v>
      </c>
      <c r="B453" s="423">
        <v>459</v>
      </c>
      <c r="C453" s="423" t="s">
        <v>527</v>
      </c>
      <c r="D453" s="423" t="s">
        <v>167</v>
      </c>
      <c r="E453" s="424" t="s">
        <v>882</v>
      </c>
      <c r="F453" s="424" t="s">
        <v>523</v>
      </c>
      <c r="G453" s="424" t="s">
        <v>280</v>
      </c>
      <c r="H453" s="459" t="s">
        <v>253</v>
      </c>
      <c r="I453" s="425" t="s">
        <v>253</v>
      </c>
      <c r="J453" s="425"/>
      <c r="K453" s="426">
        <v>2027</v>
      </c>
      <c r="L453" s="427" t="s">
        <v>19</v>
      </c>
      <c r="M453" s="427" t="s">
        <v>841</v>
      </c>
      <c r="N453" s="427" t="s">
        <v>883</v>
      </c>
      <c r="O453" s="428"/>
      <c r="P453" s="427">
        <v>2027</v>
      </c>
      <c r="Q453" s="397"/>
      <c r="R453" s="398"/>
      <c r="S453" s="399"/>
      <c r="T453" s="400"/>
      <c r="U453" s="401"/>
      <c r="V453" s="402"/>
      <c r="W453" s="47"/>
    </row>
    <row r="454" spans="1:23" ht="45">
      <c r="A454" s="423" t="s">
        <v>264</v>
      </c>
      <c r="B454" s="423">
        <v>460</v>
      </c>
      <c r="C454" s="423" t="s">
        <v>527</v>
      </c>
      <c r="D454" s="423" t="s">
        <v>167</v>
      </c>
      <c r="E454" s="424" t="s">
        <v>884</v>
      </c>
      <c r="F454" s="424" t="s">
        <v>829</v>
      </c>
      <c r="G454" s="424" t="s">
        <v>280</v>
      </c>
      <c r="H454" s="281" t="s">
        <v>253</v>
      </c>
      <c r="I454" s="425" t="s">
        <v>253</v>
      </c>
      <c r="J454" s="425"/>
      <c r="K454" s="426" t="s">
        <v>253</v>
      </c>
      <c r="L454" s="427" t="s">
        <v>19</v>
      </c>
      <c r="M454" s="427" t="s">
        <v>841</v>
      </c>
      <c r="N454" s="427" t="s">
        <v>253</v>
      </c>
      <c r="O454" s="428"/>
      <c r="P454" s="427" t="s">
        <v>253</v>
      </c>
      <c r="Q454" s="397"/>
      <c r="R454" s="398"/>
      <c r="S454" s="399"/>
      <c r="T454" s="400"/>
      <c r="U454" s="401"/>
      <c r="V454" s="402"/>
      <c r="W454" s="47"/>
    </row>
    <row r="455" spans="1:23" s="422" customFormat="1" ht="45">
      <c r="A455" s="423" t="s">
        <v>264</v>
      </c>
      <c r="B455" s="423">
        <v>461</v>
      </c>
      <c r="C455" s="423" t="s">
        <v>527</v>
      </c>
      <c r="D455" s="423" t="s">
        <v>1</v>
      </c>
      <c r="E455" s="424" t="s">
        <v>885</v>
      </c>
      <c r="F455" s="424" t="s">
        <v>829</v>
      </c>
      <c r="G455" s="424" t="s">
        <v>833</v>
      </c>
      <c r="H455" s="281">
        <v>814.82799999999997</v>
      </c>
      <c r="I455" s="425">
        <v>11617</v>
      </c>
      <c r="J455" s="425"/>
      <c r="K455" s="426">
        <v>2019</v>
      </c>
      <c r="L455" s="427" t="s">
        <v>19</v>
      </c>
      <c r="M455" s="427" t="s">
        <v>841</v>
      </c>
      <c r="N455" s="427" t="s">
        <v>886</v>
      </c>
      <c r="O455" s="428"/>
      <c r="P455" s="427">
        <v>2029</v>
      </c>
      <c r="Q455" s="397"/>
      <c r="R455" s="398"/>
      <c r="S455" s="399"/>
      <c r="T455" s="400"/>
      <c r="U455" s="401"/>
      <c r="V455" s="402"/>
      <c r="W455" s="47"/>
    </row>
    <row r="456" spans="1:23" s="471" customFormat="1" ht="45">
      <c r="A456" s="397" t="s">
        <v>264</v>
      </c>
      <c r="B456" s="397">
        <v>462</v>
      </c>
      <c r="C456" s="397" t="s">
        <v>527</v>
      </c>
      <c r="D456" s="397" t="s">
        <v>153</v>
      </c>
      <c r="E456" s="390" t="s">
        <v>887</v>
      </c>
      <c r="F456" s="390"/>
      <c r="G456" s="390" t="s">
        <v>253</v>
      </c>
      <c r="H456" s="281" t="s">
        <v>253</v>
      </c>
      <c r="I456" s="425"/>
      <c r="J456" s="425"/>
      <c r="K456" s="397"/>
      <c r="L456" s="397"/>
      <c r="M456" s="397"/>
      <c r="N456" s="427"/>
      <c r="O456" s="428"/>
      <c r="P456" s="427"/>
      <c r="Q456" s="397"/>
      <c r="R456" s="397"/>
      <c r="S456" s="397"/>
      <c r="T456" s="397"/>
      <c r="U456" s="397"/>
      <c r="V456" s="397"/>
      <c r="W456" s="390"/>
    </row>
    <row r="457" spans="1:23" s="422" customFormat="1" ht="45">
      <c r="A457" s="423" t="s">
        <v>264</v>
      </c>
      <c r="B457" s="423">
        <v>463</v>
      </c>
      <c r="C457" s="423" t="s">
        <v>527</v>
      </c>
      <c r="D457" s="423" t="s">
        <v>167</v>
      </c>
      <c r="E457" s="424" t="s">
        <v>888</v>
      </c>
      <c r="F457" s="424" t="s">
        <v>829</v>
      </c>
      <c r="G457" s="424" t="s">
        <v>280</v>
      </c>
      <c r="H457" s="281" t="s">
        <v>253</v>
      </c>
      <c r="I457" s="425" t="s">
        <v>253</v>
      </c>
      <c r="J457" s="425"/>
      <c r="K457" s="426">
        <v>2014</v>
      </c>
      <c r="L457" s="427" t="s">
        <v>19</v>
      </c>
      <c r="M457" s="427" t="s">
        <v>841</v>
      </c>
      <c r="N457" s="427" t="s">
        <v>868</v>
      </c>
      <c r="O457" s="428"/>
      <c r="P457" s="427">
        <v>2024</v>
      </c>
      <c r="Q457" s="397"/>
      <c r="R457" s="398"/>
      <c r="S457" s="399"/>
      <c r="T457" s="400"/>
      <c r="U457" s="401"/>
      <c r="V457" s="402"/>
      <c r="W457" s="47"/>
    </row>
    <row r="458" spans="1:23" s="422" customFormat="1" ht="45">
      <c r="A458" s="423" t="s">
        <v>264</v>
      </c>
      <c r="B458" s="423">
        <v>464</v>
      </c>
      <c r="C458" s="423" t="s">
        <v>527</v>
      </c>
      <c r="D458" s="423" t="s">
        <v>167</v>
      </c>
      <c r="E458" s="424" t="s">
        <v>889</v>
      </c>
      <c r="F458" s="424" t="s">
        <v>829</v>
      </c>
      <c r="G458" s="424" t="s">
        <v>280</v>
      </c>
      <c r="H458" s="281" t="s">
        <v>890</v>
      </c>
      <c r="I458" s="425" t="s">
        <v>253</v>
      </c>
      <c r="J458" s="425"/>
      <c r="K458" s="426">
        <v>2014</v>
      </c>
      <c r="L458" s="427" t="s">
        <v>19</v>
      </c>
      <c r="M458" s="427" t="s">
        <v>841</v>
      </c>
      <c r="N458" s="427" t="s">
        <v>868</v>
      </c>
      <c r="O458" s="428"/>
      <c r="P458" s="427">
        <v>2018</v>
      </c>
      <c r="Q458" s="397"/>
      <c r="R458" s="398"/>
      <c r="S458" s="399"/>
      <c r="T458" s="400"/>
      <c r="U458" s="401"/>
      <c r="V458" s="402"/>
      <c r="W458" s="47"/>
    </row>
    <row r="459" spans="1:23" s="422" customFormat="1" ht="45">
      <c r="A459" s="423" t="s">
        <v>264</v>
      </c>
      <c r="B459" s="423">
        <v>465</v>
      </c>
      <c r="C459" s="423" t="s">
        <v>527</v>
      </c>
      <c r="D459" s="423" t="s">
        <v>167</v>
      </c>
      <c r="E459" s="424" t="s">
        <v>891</v>
      </c>
      <c r="F459" s="424" t="s">
        <v>523</v>
      </c>
      <c r="G459" s="424" t="s">
        <v>280</v>
      </c>
      <c r="H459" s="277" t="s">
        <v>253</v>
      </c>
      <c r="I459" s="78" t="s">
        <v>253</v>
      </c>
      <c r="J459" s="78"/>
      <c r="K459" s="426" t="s">
        <v>253</v>
      </c>
      <c r="L459" s="427" t="s">
        <v>253</v>
      </c>
      <c r="M459" s="427" t="s">
        <v>253</v>
      </c>
      <c r="N459" s="80" t="s">
        <v>253</v>
      </c>
      <c r="O459" s="217"/>
      <c r="P459" s="80">
        <v>2027</v>
      </c>
      <c r="Q459" s="397"/>
      <c r="R459" s="398"/>
      <c r="S459" s="399"/>
      <c r="T459" s="400"/>
      <c r="U459" s="401"/>
      <c r="V459" s="402"/>
      <c r="W459" s="47"/>
    </row>
    <row r="460" spans="1:23" s="422" customFormat="1" ht="45">
      <c r="A460" s="423" t="s">
        <v>264</v>
      </c>
      <c r="B460" s="423">
        <v>466</v>
      </c>
      <c r="C460" s="423" t="s">
        <v>527</v>
      </c>
      <c r="D460" s="423" t="s">
        <v>272</v>
      </c>
      <c r="E460" s="424" t="s">
        <v>892</v>
      </c>
      <c r="F460" s="424"/>
      <c r="G460" s="424" t="s">
        <v>280</v>
      </c>
      <c r="H460" s="281" t="s">
        <v>253</v>
      </c>
      <c r="I460" s="425"/>
      <c r="J460" s="425"/>
      <c r="K460" s="426"/>
      <c r="L460" s="427"/>
      <c r="M460" s="427"/>
      <c r="N460" s="427"/>
      <c r="O460" s="428"/>
      <c r="P460" s="427"/>
      <c r="Q460" s="397"/>
      <c r="R460" s="398"/>
      <c r="S460" s="399"/>
      <c r="T460" s="400"/>
      <c r="U460" s="401"/>
      <c r="V460" s="402"/>
      <c r="W460" s="47"/>
    </row>
    <row r="461" spans="1:23" s="471" customFormat="1" ht="45">
      <c r="A461" s="397" t="s">
        <v>264</v>
      </c>
      <c r="B461" s="397">
        <v>467</v>
      </c>
      <c r="C461" s="397" t="s">
        <v>527</v>
      </c>
      <c r="D461" s="397" t="s">
        <v>253</v>
      </c>
      <c r="E461" s="390" t="s">
        <v>893</v>
      </c>
      <c r="F461" s="390" t="s">
        <v>253</v>
      </c>
      <c r="G461" s="390" t="s">
        <v>253</v>
      </c>
      <c r="H461" s="277" t="s">
        <v>253</v>
      </c>
      <c r="I461" s="78" t="s">
        <v>253</v>
      </c>
      <c r="J461" s="78"/>
      <c r="K461" s="397" t="s">
        <v>253</v>
      </c>
      <c r="L461" s="397" t="s">
        <v>253</v>
      </c>
      <c r="M461" s="397" t="s">
        <v>253</v>
      </c>
      <c r="N461" s="80" t="s">
        <v>253</v>
      </c>
      <c r="O461" s="217" t="s">
        <v>253</v>
      </c>
      <c r="P461" s="80" t="s">
        <v>253</v>
      </c>
      <c r="Q461" s="397"/>
      <c r="R461" s="397"/>
      <c r="S461" s="397"/>
      <c r="T461" s="397"/>
      <c r="U461" s="397"/>
      <c r="V461" s="397"/>
      <c r="W461" s="390" t="s">
        <v>894</v>
      </c>
    </row>
    <row r="462" spans="1:23" s="422" customFormat="1" ht="45">
      <c r="A462" s="423" t="s">
        <v>264</v>
      </c>
      <c r="B462" s="423">
        <v>468</v>
      </c>
      <c r="C462" s="423" t="s">
        <v>527</v>
      </c>
      <c r="D462" s="423" t="s">
        <v>167</v>
      </c>
      <c r="E462" s="432" t="s">
        <v>895</v>
      </c>
      <c r="F462" s="424" t="s">
        <v>523</v>
      </c>
      <c r="G462" s="424" t="s">
        <v>280</v>
      </c>
      <c r="H462" s="281" t="s">
        <v>253</v>
      </c>
      <c r="I462" s="425" t="s">
        <v>253</v>
      </c>
      <c r="J462" s="425"/>
      <c r="K462" s="426"/>
      <c r="L462" s="427"/>
      <c r="M462" s="427"/>
      <c r="N462" s="427"/>
      <c r="O462" s="428"/>
      <c r="P462" s="427">
        <v>2027</v>
      </c>
      <c r="Q462" s="397"/>
      <c r="R462" s="398"/>
      <c r="S462" s="399"/>
      <c r="T462" s="400"/>
      <c r="U462" s="401"/>
      <c r="V462" s="402"/>
      <c r="W462" s="47"/>
    </row>
    <row r="463" spans="1:23" s="422" customFormat="1" ht="45">
      <c r="A463" s="423" t="s">
        <v>264</v>
      </c>
      <c r="B463" s="423">
        <v>469</v>
      </c>
      <c r="C463" s="423" t="s">
        <v>527</v>
      </c>
      <c r="D463" s="423" t="s">
        <v>1</v>
      </c>
      <c r="E463" s="424" t="s">
        <v>896</v>
      </c>
      <c r="F463" s="424" t="s">
        <v>523</v>
      </c>
      <c r="G463" s="424" t="s">
        <v>833</v>
      </c>
      <c r="H463" s="281" t="s">
        <v>897</v>
      </c>
      <c r="I463" s="425">
        <v>10367</v>
      </c>
      <c r="J463" s="425"/>
      <c r="K463" s="426">
        <v>2019</v>
      </c>
      <c r="L463" s="427" t="s">
        <v>19</v>
      </c>
      <c r="M463" s="427" t="s">
        <v>841</v>
      </c>
      <c r="N463" s="427" t="s">
        <v>898</v>
      </c>
      <c r="O463" s="428" t="s">
        <v>253</v>
      </c>
      <c r="P463" s="427">
        <v>2019</v>
      </c>
      <c r="Q463" s="397"/>
      <c r="R463" s="398"/>
      <c r="S463" s="399"/>
      <c r="T463" s="400"/>
      <c r="U463" s="401"/>
      <c r="V463" s="402"/>
      <c r="W463" s="47"/>
    </row>
    <row r="464" spans="1:23" s="422" customFormat="1" ht="45">
      <c r="A464" s="423" t="s">
        <v>264</v>
      </c>
      <c r="B464" s="423">
        <v>470</v>
      </c>
      <c r="C464" s="423" t="s">
        <v>527</v>
      </c>
      <c r="D464" s="423" t="s">
        <v>167</v>
      </c>
      <c r="E464" s="424" t="s">
        <v>899</v>
      </c>
      <c r="F464" s="424" t="s">
        <v>270</v>
      </c>
      <c r="G464" s="424" t="s">
        <v>280</v>
      </c>
      <c r="H464" s="281" t="s">
        <v>253</v>
      </c>
      <c r="I464" s="425" t="s">
        <v>253</v>
      </c>
      <c r="J464" s="425"/>
      <c r="K464" s="426"/>
      <c r="L464" s="427"/>
      <c r="M464" s="427"/>
      <c r="N464" s="427"/>
      <c r="O464" s="428"/>
      <c r="P464" s="427"/>
      <c r="Q464" s="397"/>
      <c r="R464" s="398"/>
      <c r="S464" s="399"/>
      <c r="T464" s="400"/>
      <c r="U464" s="401"/>
      <c r="V464" s="402"/>
      <c r="W464" s="47"/>
    </row>
    <row r="465" spans="1:23" s="422" customFormat="1" ht="45">
      <c r="A465" s="423" t="s">
        <v>264</v>
      </c>
      <c r="B465" s="423">
        <v>471</v>
      </c>
      <c r="C465" s="423" t="s">
        <v>527</v>
      </c>
      <c r="D465" s="423" t="s">
        <v>1</v>
      </c>
      <c r="E465" s="424" t="s">
        <v>900</v>
      </c>
      <c r="F465" s="424" t="s">
        <v>270</v>
      </c>
      <c r="G465" s="424" t="s">
        <v>270</v>
      </c>
      <c r="H465" s="281"/>
      <c r="I465" s="425">
        <v>11367</v>
      </c>
      <c r="J465" s="425"/>
      <c r="K465" s="426">
        <v>2012</v>
      </c>
      <c r="L465" s="427" t="s">
        <v>133</v>
      </c>
      <c r="M465" s="427" t="s">
        <v>841</v>
      </c>
      <c r="N465" s="427" t="s">
        <v>901</v>
      </c>
      <c r="O465" s="428"/>
      <c r="P465" s="427">
        <v>2022</v>
      </c>
      <c r="Q465" s="397"/>
      <c r="R465" s="398"/>
      <c r="S465" s="399"/>
      <c r="T465" s="400"/>
      <c r="U465" s="401"/>
      <c r="V465" s="402"/>
      <c r="W465" s="47"/>
    </row>
    <row r="466" spans="1:23" s="422" customFormat="1" ht="45">
      <c r="A466" s="423" t="s">
        <v>264</v>
      </c>
      <c r="B466" s="423">
        <v>472</v>
      </c>
      <c r="C466" s="423" t="s">
        <v>527</v>
      </c>
      <c r="D466" s="423" t="s">
        <v>167</v>
      </c>
      <c r="E466" s="424" t="s">
        <v>902</v>
      </c>
      <c r="F466" s="424" t="s">
        <v>829</v>
      </c>
      <c r="G466" s="424" t="s">
        <v>280</v>
      </c>
      <c r="H466" s="281"/>
      <c r="I466" s="425"/>
      <c r="J466" s="425"/>
      <c r="K466" s="426"/>
      <c r="L466" s="427" t="s">
        <v>47</v>
      </c>
      <c r="M466" s="427" t="s">
        <v>549</v>
      </c>
      <c r="N466" s="427" t="s">
        <v>253</v>
      </c>
      <c r="O466" s="428" t="s">
        <v>253</v>
      </c>
      <c r="P466" s="427" t="s">
        <v>133</v>
      </c>
      <c r="Q466" s="397"/>
      <c r="R466" s="398"/>
      <c r="S466" s="399"/>
      <c r="T466" s="400"/>
      <c r="U466" s="401"/>
      <c r="V466" s="402"/>
      <c r="W466" s="47"/>
    </row>
    <row r="467" spans="1:23" s="422" customFormat="1" ht="45">
      <c r="A467" s="423" t="s">
        <v>264</v>
      </c>
      <c r="B467" s="423">
        <v>473</v>
      </c>
      <c r="C467" s="423" t="s">
        <v>527</v>
      </c>
      <c r="D467" s="423" t="s">
        <v>1</v>
      </c>
      <c r="E467" s="424" t="s">
        <v>903</v>
      </c>
      <c r="F467" s="424" t="s">
        <v>523</v>
      </c>
      <c r="G467" s="424" t="s">
        <v>833</v>
      </c>
      <c r="H467" s="277" t="s">
        <v>849</v>
      </c>
      <c r="I467" s="78" t="s">
        <v>253</v>
      </c>
      <c r="J467" s="78"/>
      <c r="K467" s="426">
        <v>1997</v>
      </c>
      <c r="L467" s="427" t="s">
        <v>830</v>
      </c>
      <c r="M467" s="427" t="s">
        <v>841</v>
      </c>
      <c r="N467" s="80" t="s">
        <v>904</v>
      </c>
      <c r="O467" s="274"/>
      <c r="P467" s="80">
        <v>2019</v>
      </c>
      <c r="Q467" s="397"/>
      <c r="R467" s="398"/>
      <c r="S467" s="399"/>
      <c r="T467" s="400"/>
      <c r="U467" s="401"/>
      <c r="V467" s="402"/>
      <c r="W467" s="47"/>
    </row>
    <row r="468" spans="1:23" s="422" customFormat="1" ht="45">
      <c r="A468" s="423" t="s">
        <v>264</v>
      </c>
      <c r="B468" s="423">
        <v>474</v>
      </c>
      <c r="C468" s="423" t="s">
        <v>527</v>
      </c>
      <c r="D468" s="423" t="s">
        <v>1</v>
      </c>
      <c r="E468" s="424" t="s">
        <v>905</v>
      </c>
      <c r="F468" s="424" t="s">
        <v>523</v>
      </c>
      <c r="G468" s="424" t="s">
        <v>833</v>
      </c>
      <c r="H468" s="281">
        <v>23063</v>
      </c>
      <c r="I468" s="425">
        <v>11618</v>
      </c>
      <c r="J468" s="425"/>
      <c r="K468" s="426">
        <v>2017</v>
      </c>
      <c r="L468" s="427" t="s">
        <v>47</v>
      </c>
      <c r="M468" s="427" t="s">
        <v>841</v>
      </c>
      <c r="N468" s="427" t="s">
        <v>906</v>
      </c>
      <c r="O468" s="428"/>
      <c r="P468" s="427">
        <v>2027</v>
      </c>
      <c r="Q468" s="397"/>
      <c r="R468" s="398"/>
      <c r="S468" s="399"/>
      <c r="T468" s="400"/>
      <c r="U468" s="401"/>
      <c r="V468" s="402"/>
      <c r="W468" s="47"/>
    </row>
    <row r="469" spans="1:23" s="422" customFormat="1" ht="45">
      <c r="A469" s="423" t="s">
        <v>264</v>
      </c>
      <c r="B469" s="423">
        <v>475</v>
      </c>
      <c r="C469" s="423" t="s">
        <v>527</v>
      </c>
      <c r="D469" s="423" t="s">
        <v>167</v>
      </c>
      <c r="E469" s="424" t="s">
        <v>907</v>
      </c>
      <c r="F469" s="424" t="s">
        <v>270</v>
      </c>
      <c r="G469" s="424" t="s">
        <v>280</v>
      </c>
      <c r="H469" s="281" t="s">
        <v>253</v>
      </c>
      <c r="I469" s="425" t="s">
        <v>253</v>
      </c>
      <c r="J469" s="425"/>
      <c r="K469" s="426" t="s">
        <v>253</v>
      </c>
      <c r="L469" s="427"/>
      <c r="M469" s="427"/>
      <c r="N469" s="427" t="s">
        <v>253</v>
      </c>
      <c r="O469" s="428"/>
      <c r="P469" s="427"/>
      <c r="Q469" s="397"/>
      <c r="R469" s="398"/>
      <c r="S469" s="399"/>
      <c r="T469" s="400"/>
      <c r="U469" s="401"/>
      <c r="V469" s="402"/>
      <c r="W469" s="47"/>
    </row>
    <row r="470" spans="1:23" s="422" customFormat="1" ht="45">
      <c r="A470" s="423" t="s">
        <v>264</v>
      </c>
      <c r="B470" s="423">
        <v>476</v>
      </c>
      <c r="C470" s="423" t="s">
        <v>527</v>
      </c>
      <c r="D470" s="423" t="s">
        <v>167</v>
      </c>
      <c r="E470" s="424" t="s">
        <v>908</v>
      </c>
      <c r="F470" s="424" t="s">
        <v>253</v>
      </c>
      <c r="G470" s="424" t="s">
        <v>280</v>
      </c>
      <c r="H470" s="277" t="s">
        <v>253</v>
      </c>
      <c r="I470" s="78" t="s">
        <v>253</v>
      </c>
      <c r="J470" s="78"/>
      <c r="K470" s="426">
        <v>2016</v>
      </c>
      <c r="L470" s="427" t="s">
        <v>19</v>
      </c>
      <c r="M470" s="427"/>
      <c r="N470" s="80" t="s">
        <v>909</v>
      </c>
      <c r="O470" s="217"/>
      <c r="P470" s="80">
        <v>2026</v>
      </c>
      <c r="Q470" s="397"/>
      <c r="R470" s="398"/>
      <c r="S470" s="399"/>
      <c r="T470" s="400"/>
      <c r="U470" s="401"/>
      <c r="V470" s="402"/>
      <c r="W470" s="47"/>
    </row>
    <row r="471" spans="1:23" s="422" customFormat="1" ht="45">
      <c r="A471" s="423" t="s">
        <v>264</v>
      </c>
      <c r="B471" s="423">
        <v>477</v>
      </c>
      <c r="C471" s="423" t="s">
        <v>527</v>
      </c>
      <c r="D471" s="423" t="s">
        <v>1</v>
      </c>
      <c r="E471" s="424" t="s">
        <v>910</v>
      </c>
      <c r="F471" s="424" t="s">
        <v>523</v>
      </c>
      <c r="G471" s="424" t="s">
        <v>833</v>
      </c>
      <c r="H471" s="281">
        <v>372440</v>
      </c>
      <c r="I471" s="425">
        <v>11536</v>
      </c>
      <c r="J471" s="425"/>
      <c r="K471" s="426">
        <v>2017</v>
      </c>
      <c r="L471" s="427" t="s">
        <v>19</v>
      </c>
      <c r="M471" s="427" t="s">
        <v>841</v>
      </c>
      <c r="N471" s="444" t="s">
        <v>911</v>
      </c>
      <c r="O471" s="428"/>
      <c r="P471" s="427">
        <v>2027</v>
      </c>
      <c r="Q471" s="397"/>
      <c r="R471" s="398"/>
      <c r="S471" s="399"/>
      <c r="T471" s="400"/>
      <c r="U471" s="401"/>
      <c r="V471" s="402"/>
      <c r="W471" s="47"/>
    </row>
    <row r="472" spans="1:23" s="422" customFormat="1" ht="45">
      <c r="A472" s="423" t="s">
        <v>264</v>
      </c>
      <c r="B472" s="423">
        <v>478</v>
      </c>
      <c r="C472" s="423" t="s">
        <v>527</v>
      </c>
      <c r="D472" s="423" t="s">
        <v>1</v>
      </c>
      <c r="E472" s="424" t="s">
        <v>912</v>
      </c>
      <c r="F472" s="424" t="s">
        <v>829</v>
      </c>
      <c r="G472" s="424" t="s">
        <v>833</v>
      </c>
      <c r="H472" s="281">
        <v>2018831</v>
      </c>
      <c r="I472" s="425">
        <v>10776</v>
      </c>
      <c r="J472" s="425"/>
      <c r="K472" s="426">
        <v>2008</v>
      </c>
      <c r="L472" s="427" t="s">
        <v>19</v>
      </c>
      <c r="M472" s="427" t="s">
        <v>841</v>
      </c>
      <c r="N472" s="427" t="s">
        <v>913</v>
      </c>
      <c r="O472" s="428"/>
      <c r="P472" s="427">
        <v>2028</v>
      </c>
      <c r="Q472" s="397"/>
      <c r="R472" s="398"/>
      <c r="S472" s="399"/>
      <c r="T472" s="400"/>
      <c r="U472" s="401"/>
      <c r="V472" s="402"/>
      <c r="W472" s="47"/>
    </row>
    <row r="473" spans="1:23" s="422" customFormat="1" ht="45">
      <c r="A473" s="423" t="s">
        <v>264</v>
      </c>
      <c r="B473" s="423">
        <v>479</v>
      </c>
      <c r="C473" s="423" t="s">
        <v>527</v>
      </c>
      <c r="D473" s="423" t="s">
        <v>1</v>
      </c>
      <c r="E473" s="424" t="s">
        <v>914</v>
      </c>
      <c r="F473" s="424" t="s">
        <v>523</v>
      </c>
      <c r="G473" s="424" t="s">
        <v>833</v>
      </c>
      <c r="H473" s="281">
        <v>2010050</v>
      </c>
      <c r="I473" s="425">
        <v>10776</v>
      </c>
      <c r="J473" s="425"/>
      <c r="K473" s="426">
        <v>2001</v>
      </c>
      <c r="L473" s="427" t="s">
        <v>19</v>
      </c>
      <c r="M473" s="427" t="s">
        <v>841</v>
      </c>
      <c r="N473" s="427" t="s">
        <v>915</v>
      </c>
      <c r="O473" s="428"/>
      <c r="P473" s="427">
        <v>2020</v>
      </c>
      <c r="Q473" s="397"/>
      <c r="R473" s="398"/>
      <c r="S473" s="399"/>
      <c r="T473" s="400"/>
      <c r="U473" s="401"/>
      <c r="V473" s="402"/>
      <c r="W473" s="47"/>
    </row>
    <row r="474" spans="1:23" s="422" customFormat="1" ht="45">
      <c r="A474" s="423" t="s">
        <v>264</v>
      </c>
      <c r="B474" s="423">
        <v>480</v>
      </c>
      <c r="C474" s="423" t="s">
        <v>527</v>
      </c>
      <c r="D474" s="423" t="s">
        <v>1</v>
      </c>
      <c r="E474" s="424" t="s">
        <v>916</v>
      </c>
      <c r="F474" s="424" t="s">
        <v>523</v>
      </c>
      <c r="G474" s="424" t="s">
        <v>833</v>
      </c>
      <c r="H474" s="281">
        <v>2070412</v>
      </c>
      <c r="I474" s="425" t="s">
        <v>253</v>
      </c>
      <c r="J474" s="425"/>
      <c r="K474" s="426">
        <v>2007</v>
      </c>
      <c r="L474" s="427" t="s">
        <v>19</v>
      </c>
      <c r="M474" s="427" t="s">
        <v>841</v>
      </c>
      <c r="N474" s="427">
        <v>2007</v>
      </c>
      <c r="O474" s="428"/>
      <c r="P474" s="427">
        <v>2020</v>
      </c>
      <c r="Q474" s="397"/>
      <c r="R474" s="398"/>
      <c r="S474" s="399"/>
      <c r="T474" s="400"/>
      <c r="U474" s="401"/>
      <c r="V474" s="402"/>
      <c r="W474" s="47"/>
    </row>
    <row r="475" spans="1:23" s="422" customFormat="1" ht="45">
      <c r="A475" s="423" t="s">
        <v>264</v>
      </c>
      <c r="B475" s="423">
        <v>481</v>
      </c>
      <c r="C475" s="423" t="s">
        <v>527</v>
      </c>
      <c r="D475" s="423" t="s">
        <v>1</v>
      </c>
      <c r="E475" s="424" t="s">
        <v>917</v>
      </c>
      <c r="F475" s="424" t="s">
        <v>829</v>
      </c>
      <c r="G475" s="424" t="s">
        <v>833</v>
      </c>
      <c r="H475" s="281">
        <v>2016735</v>
      </c>
      <c r="I475" s="425" t="s">
        <v>253</v>
      </c>
      <c r="J475" s="425"/>
      <c r="K475" s="426">
        <v>2017</v>
      </c>
      <c r="L475" s="427" t="s">
        <v>19</v>
      </c>
      <c r="M475" s="427" t="s">
        <v>841</v>
      </c>
      <c r="N475" s="427" t="s">
        <v>918</v>
      </c>
      <c r="O475" s="428"/>
      <c r="P475" s="427">
        <v>2027</v>
      </c>
      <c r="Q475" s="397"/>
      <c r="R475" s="398"/>
      <c r="S475" s="399"/>
      <c r="T475" s="400"/>
      <c r="U475" s="401"/>
      <c r="V475" s="402"/>
      <c r="W475" s="47"/>
    </row>
    <row r="476" spans="1:23" s="422" customFormat="1" ht="45">
      <c r="A476" s="423" t="s">
        <v>264</v>
      </c>
      <c r="B476" s="423">
        <v>482</v>
      </c>
      <c r="C476" s="423" t="s">
        <v>527</v>
      </c>
      <c r="D476" s="423" t="s">
        <v>253</v>
      </c>
      <c r="E476" s="432" t="s">
        <v>919</v>
      </c>
      <c r="F476" s="424" t="s">
        <v>523</v>
      </c>
      <c r="G476" s="424" t="s">
        <v>833</v>
      </c>
      <c r="H476" s="281" t="s">
        <v>253</v>
      </c>
      <c r="I476" s="425"/>
      <c r="J476" s="425"/>
      <c r="K476" s="426"/>
      <c r="L476" s="427"/>
      <c r="M476" s="427" t="s">
        <v>841</v>
      </c>
      <c r="N476" s="427"/>
      <c r="O476" s="428"/>
      <c r="P476" s="427"/>
      <c r="Q476" s="397"/>
      <c r="R476" s="398"/>
      <c r="S476" s="399"/>
      <c r="T476" s="400"/>
      <c r="U476" s="401"/>
      <c r="V476" s="402"/>
      <c r="W476" s="47"/>
    </row>
    <row r="477" spans="1:23" s="422" customFormat="1" ht="45">
      <c r="A477" s="423" t="s">
        <v>264</v>
      </c>
      <c r="B477" s="423">
        <v>483</v>
      </c>
      <c r="C477" s="423" t="s">
        <v>527</v>
      </c>
      <c r="D477" s="423" t="s">
        <v>253</v>
      </c>
      <c r="E477" s="432" t="s">
        <v>920</v>
      </c>
      <c r="F477" s="424" t="s">
        <v>523</v>
      </c>
      <c r="G477" s="424" t="s">
        <v>833</v>
      </c>
      <c r="H477" s="281" t="s">
        <v>253</v>
      </c>
      <c r="I477" s="425"/>
      <c r="J477" s="425"/>
      <c r="K477" s="426"/>
      <c r="L477" s="427"/>
      <c r="M477" s="427" t="s">
        <v>841</v>
      </c>
      <c r="N477" s="427"/>
      <c r="O477" s="428"/>
      <c r="P477" s="427"/>
      <c r="Q477" s="397"/>
      <c r="R477" s="398"/>
      <c r="S477" s="399"/>
      <c r="T477" s="400"/>
      <c r="U477" s="401"/>
      <c r="V477" s="402"/>
      <c r="W477" s="47"/>
    </row>
    <row r="478" spans="1:23" s="422" customFormat="1" ht="45">
      <c r="A478" s="423" t="s">
        <v>264</v>
      </c>
      <c r="B478" s="423">
        <v>484</v>
      </c>
      <c r="C478" s="423" t="s">
        <v>527</v>
      </c>
      <c r="D478" s="423" t="s">
        <v>1</v>
      </c>
      <c r="E478" s="424" t="s">
        <v>921</v>
      </c>
      <c r="F478" s="424" t="s">
        <v>829</v>
      </c>
      <c r="G478" s="424" t="s">
        <v>833</v>
      </c>
      <c r="H478" s="281" t="s">
        <v>922</v>
      </c>
      <c r="I478" s="425">
        <v>11535</v>
      </c>
      <c r="J478" s="425"/>
      <c r="K478" s="426">
        <v>2017</v>
      </c>
      <c r="L478" s="427" t="s">
        <v>19</v>
      </c>
      <c r="M478" s="427" t="s">
        <v>841</v>
      </c>
      <c r="N478" s="427" t="s">
        <v>918</v>
      </c>
      <c r="O478" s="428" t="s">
        <v>133</v>
      </c>
      <c r="P478" s="427">
        <v>2026</v>
      </c>
      <c r="Q478" s="397"/>
      <c r="R478" s="398"/>
      <c r="S478" s="399"/>
      <c r="T478" s="400"/>
      <c r="U478" s="401"/>
      <c r="V478" s="402"/>
      <c r="W478" s="47"/>
    </row>
    <row r="479" spans="1:23" s="422" customFormat="1" ht="45">
      <c r="A479" s="423" t="s">
        <v>264</v>
      </c>
      <c r="B479" s="423">
        <v>485</v>
      </c>
      <c r="C479" s="423" t="s">
        <v>527</v>
      </c>
      <c r="D479" s="423" t="s">
        <v>1</v>
      </c>
      <c r="E479" s="424" t="s">
        <v>923</v>
      </c>
      <c r="F479" s="424" t="s">
        <v>523</v>
      </c>
      <c r="G479" s="424" t="s">
        <v>833</v>
      </c>
      <c r="H479" s="281">
        <v>112789</v>
      </c>
      <c r="I479" s="425">
        <v>7579</v>
      </c>
      <c r="J479" s="425"/>
      <c r="K479" s="426">
        <v>1989</v>
      </c>
      <c r="L479" s="427" t="s">
        <v>14</v>
      </c>
      <c r="M479" s="427" t="s">
        <v>841</v>
      </c>
      <c r="N479" s="427" t="s">
        <v>924</v>
      </c>
      <c r="O479" s="428">
        <v>75000</v>
      </c>
      <c r="P479" s="427">
        <v>2020</v>
      </c>
      <c r="Q479" s="397"/>
      <c r="R479" s="398"/>
      <c r="S479" s="399"/>
      <c r="T479" s="400"/>
      <c r="U479" s="401"/>
      <c r="V479" s="402"/>
      <c r="W479" s="47"/>
    </row>
    <row r="480" spans="1:23" s="422" customFormat="1" ht="45">
      <c r="A480" s="423" t="s">
        <v>264</v>
      </c>
      <c r="B480" s="423">
        <v>486</v>
      </c>
      <c r="C480" s="423" t="s">
        <v>527</v>
      </c>
      <c r="D480" s="423" t="s">
        <v>1</v>
      </c>
      <c r="E480" s="424" t="s">
        <v>925</v>
      </c>
      <c r="F480" s="424" t="s">
        <v>829</v>
      </c>
      <c r="G480" s="424" t="s">
        <v>833</v>
      </c>
      <c r="H480" s="281">
        <v>240025084</v>
      </c>
      <c r="I480" s="425">
        <v>11446</v>
      </c>
      <c r="J480" s="425"/>
      <c r="K480" s="426">
        <v>2016</v>
      </c>
      <c r="L480" s="427" t="s">
        <v>19</v>
      </c>
      <c r="M480" s="427" t="s">
        <v>841</v>
      </c>
      <c r="N480" s="427" t="s">
        <v>706</v>
      </c>
      <c r="O480" s="428" t="s">
        <v>133</v>
      </c>
      <c r="P480" s="427">
        <v>2025</v>
      </c>
      <c r="Q480" s="397"/>
      <c r="R480" s="398"/>
      <c r="S480" s="399"/>
      <c r="T480" s="400"/>
      <c r="U480" s="401"/>
      <c r="V480" s="402"/>
      <c r="W480" s="47"/>
    </row>
    <row r="481" spans="1:23" s="422" customFormat="1" ht="45">
      <c r="A481" s="423" t="s">
        <v>264</v>
      </c>
      <c r="B481" s="423">
        <v>487</v>
      </c>
      <c r="C481" s="423" t="s">
        <v>527</v>
      </c>
      <c r="D481" s="423" t="s">
        <v>1</v>
      </c>
      <c r="E481" s="424" t="s">
        <v>926</v>
      </c>
      <c r="F481" s="424" t="s">
        <v>523</v>
      </c>
      <c r="G481" s="424" t="s">
        <v>833</v>
      </c>
      <c r="H481" s="281">
        <v>581</v>
      </c>
      <c r="I481" s="425">
        <v>11275</v>
      </c>
      <c r="J481" s="425"/>
      <c r="K481" s="426">
        <v>2008</v>
      </c>
      <c r="L481" s="427" t="s">
        <v>19</v>
      </c>
      <c r="M481" s="427" t="s">
        <v>841</v>
      </c>
      <c r="N481" s="427" t="s">
        <v>927</v>
      </c>
      <c r="O481" s="428" t="s">
        <v>133</v>
      </c>
      <c r="P481" s="427">
        <v>2020</v>
      </c>
      <c r="Q481" s="397"/>
      <c r="R481" s="398"/>
      <c r="S481" s="399"/>
      <c r="T481" s="400"/>
      <c r="U481" s="401"/>
      <c r="V481" s="402"/>
      <c r="W481" s="47"/>
    </row>
    <row r="482" spans="1:23" s="422" customFormat="1" ht="45">
      <c r="A482" s="423" t="s">
        <v>264</v>
      </c>
      <c r="B482" s="423">
        <v>488</v>
      </c>
      <c r="C482" s="423" t="s">
        <v>527</v>
      </c>
      <c r="D482" s="423" t="s">
        <v>167</v>
      </c>
      <c r="E482" s="424" t="s">
        <v>928</v>
      </c>
      <c r="F482" s="424" t="s">
        <v>523</v>
      </c>
      <c r="G482" s="424" t="s">
        <v>853</v>
      </c>
      <c r="H482" s="281" t="s">
        <v>253</v>
      </c>
      <c r="I482" s="453">
        <v>11278</v>
      </c>
      <c r="J482" s="453"/>
      <c r="K482" s="454" t="s">
        <v>133</v>
      </c>
      <c r="L482" s="455" t="s">
        <v>19</v>
      </c>
      <c r="M482" s="455" t="s">
        <v>841</v>
      </c>
      <c r="N482" s="455" t="s">
        <v>133</v>
      </c>
      <c r="O482" s="460">
        <v>5500</v>
      </c>
      <c r="P482" s="455">
        <v>5500</v>
      </c>
      <c r="Q482" s="397"/>
      <c r="R482" s="398"/>
      <c r="S482" s="399"/>
      <c r="T482" s="400" t="s">
        <v>15</v>
      </c>
      <c r="U482" s="401"/>
      <c r="V482" s="402"/>
      <c r="W482" s="47"/>
    </row>
    <row r="483" spans="1:23" s="422" customFormat="1" ht="45">
      <c r="A483" s="423" t="s">
        <v>264</v>
      </c>
      <c r="B483" s="423">
        <v>489</v>
      </c>
      <c r="C483" s="423" t="s">
        <v>527</v>
      </c>
      <c r="D483" s="423" t="s">
        <v>167</v>
      </c>
      <c r="E483" s="424" t="s">
        <v>929</v>
      </c>
      <c r="F483" s="424" t="s">
        <v>523</v>
      </c>
      <c r="G483" s="424" t="s">
        <v>853</v>
      </c>
      <c r="H483" s="281" t="s">
        <v>253</v>
      </c>
      <c r="I483" s="453">
        <v>11277</v>
      </c>
      <c r="J483" s="453"/>
      <c r="K483" s="454" t="s">
        <v>133</v>
      </c>
      <c r="L483" s="455" t="s">
        <v>19</v>
      </c>
      <c r="M483" s="455" t="s">
        <v>841</v>
      </c>
      <c r="N483" s="455" t="s">
        <v>133</v>
      </c>
      <c r="O483" s="455" t="s">
        <v>133</v>
      </c>
      <c r="P483" s="455">
        <v>2023</v>
      </c>
      <c r="Q483" s="397"/>
      <c r="R483" s="398"/>
      <c r="S483" s="399"/>
      <c r="T483" s="400" t="s">
        <v>15</v>
      </c>
      <c r="U483" s="401"/>
      <c r="V483" s="402"/>
      <c r="W483" s="47"/>
    </row>
    <row r="484" spans="1:23" s="422" customFormat="1" ht="45">
      <c r="A484" s="423" t="s">
        <v>264</v>
      </c>
      <c r="B484" s="423">
        <v>490</v>
      </c>
      <c r="C484" s="423" t="s">
        <v>527</v>
      </c>
      <c r="D484" s="423" t="s">
        <v>167</v>
      </c>
      <c r="E484" s="424" t="s">
        <v>930</v>
      </c>
      <c r="F484" s="424" t="s">
        <v>829</v>
      </c>
      <c r="G484" s="424" t="s">
        <v>853</v>
      </c>
      <c r="H484" s="281" t="s">
        <v>253</v>
      </c>
      <c r="I484" s="425">
        <v>11257</v>
      </c>
      <c r="J484" s="425"/>
      <c r="K484" s="426" t="s">
        <v>133</v>
      </c>
      <c r="L484" s="427" t="s">
        <v>19</v>
      </c>
      <c r="M484" s="427" t="s">
        <v>841</v>
      </c>
      <c r="N484" s="427" t="s">
        <v>133</v>
      </c>
      <c r="O484" s="428" t="s">
        <v>133</v>
      </c>
      <c r="P484" s="427">
        <v>2022</v>
      </c>
      <c r="Q484" s="397"/>
      <c r="R484" s="398"/>
      <c r="S484" s="399"/>
      <c r="T484" s="400" t="s">
        <v>15</v>
      </c>
      <c r="U484" s="401"/>
      <c r="V484" s="402"/>
      <c r="W484" s="47"/>
    </row>
    <row r="485" spans="1:23" s="422" customFormat="1" ht="45">
      <c r="A485" s="423" t="s">
        <v>264</v>
      </c>
      <c r="B485" s="423">
        <v>491</v>
      </c>
      <c r="C485" s="423" t="s">
        <v>527</v>
      </c>
      <c r="D485" s="423" t="s">
        <v>167</v>
      </c>
      <c r="E485" s="424" t="s">
        <v>931</v>
      </c>
      <c r="F485" s="424" t="s">
        <v>829</v>
      </c>
      <c r="G485" s="424" t="s">
        <v>853</v>
      </c>
      <c r="H485" s="281" t="s">
        <v>253</v>
      </c>
      <c r="I485" s="425" t="s">
        <v>133</v>
      </c>
      <c r="J485" s="425"/>
      <c r="K485" s="426" t="s">
        <v>133</v>
      </c>
      <c r="L485" s="427" t="s">
        <v>19</v>
      </c>
      <c r="M485" s="427" t="s">
        <v>841</v>
      </c>
      <c r="N485" s="427" t="s">
        <v>133</v>
      </c>
      <c r="O485" s="428" t="s">
        <v>133</v>
      </c>
      <c r="P485" s="427">
        <v>2021</v>
      </c>
      <c r="Q485" s="397"/>
      <c r="R485" s="398"/>
      <c r="S485" s="399"/>
      <c r="T485" s="400" t="s">
        <v>15</v>
      </c>
      <c r="U485" s="401"/>
      <c r="V485" s="402"/>
      <c r="W485" s="47"/>
    </row>
    <row r="486" spans="1:23" s="422" customFormat="1" ht="45">
      <c r="A486" s="423" t="s">
        <v>264</v>
      </c>
      <c r="B486" s="423">
        <v>492</v>
      </c>
      <c r="C486" s="423" t="s">
        <v>527</v>
      </c>
      <c r="D486" s="423" t="s">
        <v>167</v>
      </c>
      <c r="E486" s="424" t="s">
        <v>932</v>
      </c>
      <c r="F486" s="424" t="s">
        <v>523</v>
      </c>
      <c r="G486" s="424" t="s">
        <v>853</v>
      </c>
      <c r="H486" s="281" t="s">
        <v>253</v>
      </c>
      <c r="I486" s="425" t="s">
        <v>133</v>
      </c>
      <c r="J486" s="425"/>
      <c r="K486" s="426" t="s">
        <v>133</v>
      </c>
      <c r="L486" s="427" t="s">
        <v>19</v>
      </c>
      <c r="M486" s="427" t="s">
        <v>841</v>
      </c>
      <c r="N486" s="427" t="s">
        <v>133</v>
      </c>
      <c r="O486" s="428" t="s">
        <v>133</v>
      </c>
      <c r="P486" s="427">
        <v>2020</v>
      </c>
      <c r="Q486" s="397"/>
      <c r="R486" s="398"/>
      <c r="S486" s="399"/>
      <c r="T486" s="400" t="s">
        <v>15</v>
      </c>
      <c r="U486" s="401"/>
      <c r="V486" s="402"/>
      <c r="W486" s="47"/>
    </row>
    <row r="487" spans="1:23" ht="45">
      <c r="A487" s="423" t="s">
        <v>264</v>
      </c>
      <c r="B487" s="423">
        <v>493</v>
      </c>
      <c r="C487" s="423" t="s">
        <v>527</v>
      </c>
      <c r="D487" s="423" t="s">
        <v>167</v>
      </c>
      <c r="E487" s="424" t="s">
        <v>933</v>
      </c>
      <c r="F487" s="424" t="s">
        <v>829</v>
      </c>
      <c r="G487" s="424" t="s">
        <v>280</v>
      </c>
      <c r="H487" s="281" t="s">
        <v>253</v>
      </c>
      <c r="I487" s="425" t="s">
        <v>133</v>
      </c>
      <c r="J487" s="425"/>
      <c r="K487" s="426" t="s">
        <v>133</v>
      </c>
      <c r="L487" s="427" t="s">
        <v>19</v>
      </c>
      <c r="M487" s="427" t="s">
        <v>841</v>
      </c>
      <c r="N487" s="427" t="s">
        <v>133</v>
      </c>
      <c r="O487" s="428" t="s">
        <v>133</v>
      </c>
      <c r="P487" s="427">
        <v>2016</v>
      </c>
      <c r="Q487" s="397"/>
      <c r="R487" s="398"/>
      <c r="S487" s="399"/>
      <c r="T487" s="400" t="s">
        <v>15</v>
      </c>
      <c r="U487" s="401"/>
      <c r="V487" s="402"/>
      <c r="W487" s="47"/>
    </row>
    <row r="488" spans="1:23" ht="45">
      <c r="A488" s="423" t="s">
        <v>264</v>
      </c>
      <c r="B488" s="423">
        <v>494</v>
      </c>
      <c r="C488" s="423" t="s">
        <v>527</v>
      </c>
      <c r="D488" s="423" t="s">
        <v>167</v>
      </c>
      <c r="E488" s="424" t="s">
        <v>934</v>
      </c>
      <c r="F488" s="424" t="s">
        <v>829</v>
      </c>
      <c r="G488" s="424" t="s">
        <v>280</v>
      </c>
      <c r="H488" s="281" t="s">
        <v>253</v>
      </c>
      <c r="I488" s="425" t="s">
        <v>253</v>
      </c>
      <c r="J488" s="425"/>
      <c r="K488" s="426" t="s">
        <v>253</v>
      </c>
      <c r="L488" s="427" t="s">
        <v>19</v>
      </c>
      <c r="M488" s="427" t="s">
        <v>549</v>
      </c>
      <c r="N488" s="427" t="s">
        <v>253</v>
      </c>
      <c r="O488" s="428"/>
      <c r="P488" s="427"/>
      <c r="Q488" s="397"/>
      <c r="R488" s="398"/>
      <c r="S488" s="399"/>
      <c r="T488" s="400"/>
      <c r="U488" s="401"/>
      <c r="V488" s="402"/>
      <c r="W488" s="47"/>
    </row>
    <row r="489" spans="1:23" ht="45">
      <c r="A489" s="423" t="s">
        <v>264</v>
      </c>
      <c r="B489" s="423">
        <v>495</v>
      </c>
      <c r="C489" s="423" t="s">
        <v>527</v>
      </c>
      <c r="D489" s="423" t="s">
        <v>167</v>
      </c>
      <c r="E489" s="432" t="s">
        <v>935</v>
      </c>
      <c r="F489" s="424" t="s">
        <v>270</v>
      </c>
      <c r="G489" s="424" t="s">
        <v>833</v>
      </c>
      <c r="H489" s="281" t="s">
        <v>253</v>
      </c>
      <c r="I489" s="425">
        <v>100892</v>
      </c>
      <c r="J489" s="425"/>
      <c r="K489" s="426" t="s">
        <v>253</v>
      </c>
      <c r="L489" s="427"/>
      <c r="M489" s="427"/>
      <c r="N489" s="427"/>
      <c r="O489" s="428"/>
      <c r="P489" s="427"/>
      <c r="Q489" s="397"/>
      <c r="R489" s="398"/>
      <c r="S489" s="399"/>
      <c r="T489" s="400"/>
      <c r="U489" s="401"/>
      <c r="V489" s="402"/>
      <c r="W489" s="47"/>
    </row>
    <row r="490" spans="1:23" ht="45">
      <c r="A490" s="423" t="s">
        <v>264</v>
      </c>
      <c r="B490" s="423">
        <v>496</v>
      </c>
      <c r="C490" s="423" t="s">
        <v>527</v>
      </c>
      <c r="D490" s="423" t="s">
        <v>167</v>
      </c>
      <c r="E490" s="424" t="s">
        <v>936</v>
      </c>
      <c r="F490" s="424" t="s">
        <v>523</v>
      </c>
      <c r="G490" s="424" t="s">
        <v>280</v>
      </c>
      <c r="H490" s="281" t="s">
        <v>253</v>
      </c>
      <c r="I490" s="425" t="s">
        <v>253</v>
      </c>
      <c r="J490" s="425"/>
      <c r="K490" s="426" t="s">
        <v>253</v>
      </c>
      <c r="L490" s="427" t="s">
        <v>19</v>
      </c>
      <c r="M490" s="427" t="s">
        <v>841</v>
      </c>
      <c r="N490" s="427" t="s">
        <v>253</v>
      </c>
      <c r="O490" s="428"/>
      <c r="P490" s="427" t="s">
        <v>253</v>
      </c>
      <c r="Q490" s="397"/>
      <c r="R490" s="398"/>
      <c r="S490" s="399"/>
      <c r="T490" s="400"/>
      <c r="U490" s="401"/>
      <c r="V490" s="402"/>
      <c r="W490" s="47"/>
    </row>
    <row r="491" spans="1:23" s="430" customFormat="1" ht="45">
      <c r="A491" s="397" t="s">
        <v>264</v>
      </c>
      <c r="B491" s="397">
        <v>497</v>
      </c>
      <c r="C491" s="397" t="s">
        <v>527</v>
      </c>
      <c r="D491" s="397" t="s">
        <v>253</v>
      </c>
      <c r="E491" s="390" t="s">
        <v>937</v>
      </c>
      <c r="F491" s="390" t="s">
        <v>133</v>
      </c>
      <c r="G491" s="390" t="s">
        <v>133</v>
      </c>
      <c r="H491" s="277" t="s">
        <v>253</v>
      </c>
      <c r="I491" s="78" t="s">
        <v>133</v>
      </c>
      <c r="J491" s="78"/>
      <c r="K491" s="397" t="s">
        <v>133</v>
      </c>
      <c r="L491" s="397" t="s">
        <v>133</v>
      </c>
      <c r="M491" s="397" t="s">
        <v>133</v>
      </c>
      <c r="N491" s="80" t="s">
        <v>133</v>
      </c>
      <c r="O491" s="217" t="s">
        <v>133</v>
      </c>
      <c r="P491" s="80" t="s">
        <v>253</v>
      </c>
      <c r="Q491" s="397"/>
      <c r="R491" s="397"/>
      <c r="S491" s="397"/>
      <c r="T491" s="397"/>
      <c r="U491" s="397"/>
      <c r="V491" s="397"/>
      <c r="W491" s="390" t="s">
        <v>894</v>
      </c>
    </row>
    <row r="492" spans="1:23" ht="45">
      <c r="A492" s="423" t="s">
        <v>264</v>
      </c>
      <c r="B492" s="423">
        <v>498</v>
      </c>
      <c r="C492" s="423" t="s">
        <v>527</v>
      </c>
      <c r="D492" s="423" t="s">
        <v>272</v>
      </c>
      <c r="E492" s="424" t="s">
        <v>938</v>
      </c>
      <c r="F492" s="424"/>
      <c r="G492" s="424" t="s">
        <v>280</v>
      </c>
      <c r="H492" s="281" t="s">
        <v>253</v>
      </c>
      <c r="I492" s="425"/>
      <c r="J492" s="425"/>
      <c r="K492" s="426"/>
      <c r="L492" s="427"/>
      <c r="M492" s="427"/>
      <c r="N492" s="427"/>
      <c r="O492" s="428"/>
      <c r="P492" s="427"/>
      <c r="Q492" s="397"/>
      <c r="R492" s="398"/>
      <c r="S492" s="399"/>
      <c r="T492" s="400"/>
      <c r="U492" s="401"/>
      <c r="V492" s="402"/>
      <c r="W492" s="47"/>
    </row>
    <row r="493" spans="1:23" ht="45">
      <c r="A493" s="423" t="s">
        <v>264</v>
      </c>
      <c r="B493" s="423">
        <v>499</v>
      </c>
      <c r="C493" s="423" t="s">
        <v>527</v>
      </c>
      <c r="D493" s="423" t="s">
        <v>167</v>
      </c>
      <c r="E493" s="432" t="s">
        <v>939</v>
      </c>
      <c r="F493" s="424" t="s">
        <v>829</v>
      </c>
      <c r="G493" s="424" t="s">
        <v>280</v>
      </c>
      <c r="H493" s="281" t="s">
        <v>253</v>
      </c>
      <c r="I493" s="425"/>
      <c r="J493" s="425"/>
      <c r="K493" s="426"/>
      <c r="L493" s="427"/>
      <c r="M493" s="427"/>
      <c r="N493" s="427"/>
      <c r="O493" s="428"/>
      <c r="P493" s="427"/>
      <c r="Q493" s="397"/>
      <c r="R493" s="398"/>
      <c r="S493" s="399"/>
      <c r="T493" s="400"/>
      <c r="U493" s="401"/>
      <c r="V493" s="402"/>
      <c r="W493" s="47"/>
    </row>
    <row r="494" spans="1:23" ht="45">
      <c r="A494" s="423" t="s">
        <v>264</v>
      </c>
      <c r="B494" s="423">
        <v>500</v>
      </c>
      <c r="C494" s="423" t="s">
        <v>527</v>
      </c>
      <c r="D494" s="423" t="s">
        <v>167</v>
      </c>
      <c r="E494" s="432" t="s">
        <v>940</v>
      </c>
      <c r="F494" s="424" t="s">
        <v>523</v>
      </c>
      <c r="G494" s="424" t="s">
        <v>280</v>
      </c>
      <c r="H494" s="281" t="s">
        <v>253</v>
      </c>
      <c r="I494" s="425"/>
      <c r="J494" s="425"/>
      <c r="K494" s="426"/>
      <c r="L494" s="427"/>
      <c r="M494" s="427"/>
      <c r="N494" s="427"/>
      <c r="O494" s="428"/>
      <c r="P494" s="427"/>
      <c r="Q494" s="397"/>
      <c r="R494" s="398"/>
      <c r="S494" s="399"/>
      <c r="T494" s="400"/>
      <c r="U494" s="401"/>
      <c r="V494" s="402"/>
      <c r="W494" s="47"/>
    </row>
    <row r="495" spans="1:23" ht="45">
      <c r="A495" s="423" t="s">
        <v>264</v>
      </c>
      <c r="B495" s="423">
        <v>501</v>
      </c>
      <c r="C495" s="423" t="s">
        <v>527</v>
      </c>
      <c r="D495" s="423" t="s">
        <v>167</v>
      </c>
      <c r="E495" s="432" t="s">
        <v>941</v>
      </c>
      <c r="F495" s="424" t="s">
        <v>829</v>
      </c>
      <c r="G495" s="424" t="s">
        <v>280</v>
      </c>
      <c r="H495" s="281" t="s">
        <v>253</v>
      </c>
      <c r="I495" s="425"/>
      <c r="J495" s="425"/>
      <c r="K495" s="426"/>
      <c r="L495" s="427"/>
      <c r="M495" s="427"/>
      <c r="N495" s="427"/>
      <c r="O495" s="428"/>
      <c r="P495" s="427"/>
      <c r="Q495" s="397"/>
      <c r="R495" s="398"/>
      <c r="S495" s="399"/>
      <c r="T495" s="400"/>
      <c r="U495" s="401"/>
      <c r="V495" s="402"/>
      <c r="W495" s="47"/>
    </row>
    <row r="496" spans="1:23" ht="45">
      <c r="A496" s="423" t="s">
        <v>264</v>
      </c>
      <c r="B496" s="423">
        <v>502</v>
      </c>
      <c r="C496" s="423" t="s">
        <v>527</v>
      </c>
      <c r="D496" s="423" t="s">
        <v>1</v>
      </c>
      <c r="E496" s="424" t="s">
        <v>942</v>
      </c>
      <c r="F496" s="424" t="s">
        <v>829</v>
      </c>
      <c r="G496" s="424" t="s">
        <v>833</v>
      </c>
      <c r="H496" s="281">
        <v>10337</v>
      </c>
      <c r="I496" s="425">
        <v>11672</v>
      </c>
      <c r="J496" s="425"/>
      <c r="K496" s="426">
        <v>2021</v>
      </c>
      <c r="L496" s="427" t="s">
        <v>19</v>
      </c>
      <c r="M496" s="427" t="s">
        <v>841</v>
      </c>
      <c r="N496" s="427" t="s">
        <v>943</v>
      </c>
      <c r="O496" s="428" t="s">
        <v>133</v>
      </c>
      <c r="P496" s="427">
        <v>2030</v>
      </c>
      <c r="Q496" s="397"/>
      <c r="R496" s="398"/>
      <c r="S496" s="399"/>
      <c r="T496" s="400"/>
      <c r="U496" s="401"/>
      <c r="V496" s="402"/>
      <c r="W496" s="47"/>
    </row>
    <row r="497" spans="1:23" ht="45">
      <c r="A497" s="423" t="s">
        <v>264</v>
      </c>
      <c r="B497" s="423">
        <v>503</v>
      </c>
      <c r="C497" s="423" t="s">
        <v>527</v>
      </c>
      <c r="D497" s="423" t="s">
        <v>1</v>
      </c>
      <c r="E497" s="424" t="s">
        <v>944</v>
      </c>
      <c r="F497" s="424" t="s">
        <v>270</v>
      </c>
      <c r="G497" s="424" t="s">
        <v>833</v>
      </c>
      <c r="H497" s="281">
        <v>286220468</v>
      </c>
      <c r="I497" s="453">
        <v>11564</v>
      </c>
      <c r="J497" s="453"/>
      <c r="K497" s="454">
        <v>2018</v>
      </c>
      <c r="L497" s="455" t="s">
        <v>19</v>
      </c>
      <c r="M497" s="455" t="s">
        <v>841</v>
      </c>
      <c r="N497" s="455" t="s">
        <v>466</v>
      </c>
      <c r="O497" s="455"/>
      <c r="P497" s="455">
        <v>2028</v>
      </c>
      <c r="Q497" s="397"/>
      <c r="R497" s="398"/>
      <c r="S497" s="399"/>
      <c r="T497" s="400"/>
      <c r="U497" s="401" t="s">
        <v>15</v>
      </c>
      <c r="V497" s="402"/>
      <c r="W497" s="47"/>
    </row>
    <row r="498" spans="1:23" s="430" customFormat="1" ht="45">
      <c r="A498" s="397" t="s">
        <v>264</v>
      </c>
      <c r="B498" s="397">
        <v>504</v>
      </c>
      <c r="C498" s="397" t="s">
        <v>527</v>
      </c>
      <c r="D498" s="397" t="s">
        <v>253</v>
      </c>
      <c r="E498" s="390" t="s">
        <v>945</v>
      </c>
      <c r="F498" s="390" t="s">
        <v>133</v>
      </c>
      <c r="G498" s="390" t="s">
        <v>133</v>
      </c>
      <c r="H498" s="277" t="s">
        <v>253</v>
      </c>
      <c r="I498" s="78" t="s">
        <v>133</v>
      </c>
      <c r="J498" s="78"/>
      <c r="K498" s="397" t="s">
        <v>133</v>
      </c>
      <c r="L498" s="397" t="s">
        <v>19</v>
      </c>
      <c r="M498" s="397" t="s">
        <v>133</v>
      </c>
      <c r="N498" s="80" t="s">
        <v>133</v>
      </c>
      <c r="O498" s="217"/>
      <c r="P498" s="80" t="s">
        <v>133</v>
      </c>
      <c r="Q498" s="397"/>
      <c r="R498" s="397"/>
      <c r="S498" s="397"/>
      <c r="T498" s="397"/>
      <c r="U498" s="397"/>
      <c r="V498" s="397"/>
      <c r="W498" s="390" t="s">
        <v>894</v>
      </c>
    </row>
    <row r="499" spans="1:23" ht="45">
      <c r="A499" s="423" t="s">
        <v>264</v>
      </c>
      <c r="B499" s="423">
        <v>505</v>
      </c>
      <c r="C499" s="423" t="s">
        <v>527</v>
      </c>
      <c r="D499" s="423" t="s">
        <v>167</v>
      </c>
      <c r="E499" s="424" t="s">
        <v>946</v>
      </c>
      <c r="F499" s="424" t="s">
        <v>829</v>
      </c>
      <c r="G499" s="424" t="s">
        <v>280</v>
      </c>
      <c r="H499" s="281">
        <v>5424</v>
      </c>
      <c r="I499" s="453">
        <v>10844</v>
      </c>
      <c r="J499" s="453"/>
      <c r="K499" s="454" t="s">
        <v>133</v>
      </c>
      <c r="L499" s="455" t="s">
        <v>830</v>
      </c>
      <c r="M499" s="455" t="s">
        <v>549</v>
      </c>
      <c r="N499" s="455" t="s">
        <v>133</v>
      </c>
      <c r="O499" s="455"/>
      <c r="P499" s="455">
        <v>2019</v>
      </c>
      <c r="Q499" s="397"/>
      <c r="R499" s="398"/>
      <c r="S499" s="399"/>
      <c r="T499" s="400" t="s">
        <v>15</v>
      </c>
      <c r="U499" s="401"/>
      <c r="V499" s="402"/>
      <c r="W499" s="47"/>
    </row>
    <row r="500" spans="1:23" ht="45">
      <c r="A500" s="423" t="s">
        <v>264</v>
      </c>
      <c r="B500" s="423">
        <v>506</v>
      </c>
      <c r="C500" s="423" t="s">
        <v>527</v>
      </c>
      <c r="D500" s="423" t="s">
        <v>167</v>
      </c>
      <c r="E500" s="424" t="s">
        <v>947</v>
      </c>
      <c r="F500" s="424" t="s">
        <v>829</v>
      </c>
      <c r="G500" s="424" t="s">
        <v>280</v>
      </c>
      <c r="H500" s="281">
        <v>4805</v>
      </c>
      <c r="I500" s="453">
        <v>1080</v>
      </c>
      <c r="J500" s="453"/>
      <c r="K500" s="454" t="s">
        <v>133</v>
      </c>
      <c r="L500" s="455" t="s">
        <v>830</v>
      </c>
      <c r="M500" s="455" t="s">
        <v>549</v>
      </c>
      <c r="N500" s="455" t="s">
        <v>133</v>
      </c>
      <c r="O500" s="455"/>
      <c r="P500" s="455">
        <v>2022</v>
      </c>
      <c r="Q500" s="397"/>
      <c r="R500" s="398"/>
      <c r="S500" s="399"/>
      <c r="T500" s="400" t="s">
        <v>15</v>
      </c>
      <c r="U500" s="401"/>
      <c r="V500" s="402"/>
      <c r="W500" s="47"/>
    </row>
    <row r="501" spans="1:23" ht="45">
      <c r="A501" s="423" t="s">
        <v>264</v>
      </c>
      <c r="B501" s="423">
        <v>507</v>
      </c>
      <c r="C501" s="423" t="s">
        <v>527</v>
      </c>
      <c r="D501" s="423" t="s">
        <v>167</v>
      </c>
      <c r="E501" s="424" t="s">
        <v>948</v>
      </c>
      <c r="F501" s="424" t="s">
        <v>829</v>
      </c>
      <c r="G501" s="424" t="s">
        <v>280</v>
      </c>
      <c r="H501" s="281">
        <v>21440</v>
      </c>
      <c r="I501" s="453">
        <v>10844</v>
      </c>
      <c r="J501" s="453"/>
      <c r="K501" s="454">
        <v>2007</v>
      </c>
      <c r="L501" s="455" t="s">
        <v>830</v>
      </c>
      <c r="M501" s="455" t="s">
        <v>549</v>
      </c>
      <c r="N501" s="455" t="s">
        <v>949</v>
      </c>
      <c r="O501" s="455"/>
      <c r="P501" s="455">
        <v>2022</v>
      </c>
      <c r="Q501" s="397"/>
      <c r="R501" s="398"/>
      <c r="S501" s="399"/>
      <c r="T501" s="400" t="s">
        <v>15</v>
      </c>
      <c r="U501" s="401"/>
      <c r="V501" s="402"/>
      <c r="W501" s="47"/>
    </row>
    <row r="502" spans="1:23" ht="45">
      <c r="A502" s="423" t="s">
        <v>264</v>
      </c>
      <c r="B502" s="423">
        <v>508</v>
      </c>
      <c r="C502" s="423" t="s">
        <v>527</v>
      </c>
      <c r="D502" s="423" t="s">
        <v>167</v>
      </c>
      <c r="E502" s="424" t="s">
        <v>950</v>
      </c>
      <c r="F502" s="424" t="s">
        <v>829</v>
      </c>
      <c r="G502" s="424" t="s">
        <v>280</v>
      </c>
      <c r="H502" s="281" t="s">
        <v>253</v>
      </c>
      <c r="I502" s="453" t="s">
        <v>253</v>
      </c>
      <c r="J502" s="453"/>
      <c r="K502" s="454">
        <v>2008</v>
      </c>
      <c r="L502" s="455" t="s">
        <v>19</v>
      </c>
      <c r="M502" s="455" t="s">
        <v>841</v>
      </c>
      <c r="N502" s="455" t="s">
        <v>951</v>
      </c>
      <c r="O502" s="455"/>
      <c r="P502" s="455">
        <v>2020</v>
      </c>
      <c r="Q502" s="397"/>
      <c r="R502" s="398"/>
      <c r="S502" s="399"/>
      <c r="T502" s="400" t="s">
        <v>15</v>
      </c>
      <c r="U502" s="401"/>
      <c r="V502" s="402"/>
      <c r="W502" s="47"/>
    </row>
    <row r="503" spans="1:23" ht="45">
      <c r="A503" s="423" t="s">
        <v>264</v>
      </c>
      <c r="B503" s="423">
        <v>509</v>
      </c>
      <c r="C503" s="423" t="s">
        <v>527</v>
      </c>
      <c r="D503" s="423" t="s">
        <v>167</v>
      </c>
      <c r="E503" s="424" t="s">
        <v>952</v>
      </c>
      <c r="F503" s="424" t="s">
        <v>523</v>
      </c>
      <c r="G503" s="424" t="s">
        <v>280</v>
      </c>
      <c r="H503" s="281">
        <v>40412</v>
      </c>
      <c r="I503" s="453">
        <v>11366</v>
      </c>
      <c r="J503" s="453"/>
      <c r="K503" s="454">
        <v>2008</v>
      </c>
      <c r="L503" s="455" t="s">
        <v>19</v>
      </c>
      <c r="M503" s="455" t="s">
        <v>841</v>
      </c>
      <c r="N503" s="455" t="s">
        <v>951</v>
      </c>
      <c r="O503" s="455"/>
      <c r="P503" s="455">
        <v>2020</v>
      </c>
      <c r="Q503" s="397"/>
      <c r="R503" s="398"/>
      <c r="S503" s="399"/>
      <c r="T503" s="400" t="s">
        <v>15</v>
      </c>
      <c r="U503" s="401"/>
      <c r="V503" s="402"/>
      <c r="W503" s="47"/>
    </row>
    <row r="504" spans="1:23" ht="45">
      <c r="A504" s="423" t="s">
        <v>264</v>
      </c>
      <c r="B504" s="423">
        <v>510</v>
      </c>
      <c r="C504" s="423" t="s">
        <v>527</v>
      </c>
      <c r="D504" s="423" t="s">
        <v>167</v>
      </c>
      <c r="E504" s="424" t="s">
        <v>953</v>
      </c>
      <c r="F504" s="424" t="s">
        <v>523</v>
      </c>
      <c r="G504" s="424" t="s">
        <v>280</v>
      </c>
      <c r="H504" s="281">
        <v>21466</v>
      </c>
      <c r="I504" s="453">
        <v>1540</v>
      </c>
      <c r="J504" s="453"/>
      <c r="K504" s="454">
        <v>2012</v>
      </c>
      <c r="L504" s="455" t="s">
        <v>19</v>
      </c>
      <c r="M504" s="455" t="s">
        <v>841</v>
      </c>
      <c r="N504" s="455" t="s">
        <v>954</v>
      </c>
      <c r="O504" s="455"/>
      <c r="P504" s="455">
        <v>2022</v>
      </c>
      <c r="Q504" s="397"/>
      <c r="R504" s="398"/>
      <c r="S504" s="399"/>
      <c r="T504" s="400" t="s">
        <v>15</v>
      </c>
      <c r="U504" s="401"/>
      <c r="V504" s="402"/>
      <c r="W504" s="47"/>
    </row>
    <row r="505" spans="1:23" ht="45">
      <c r="A505" s="423" t="s">
        <v>264</v>
      </c>
      <c r="B505" s="423">
        <v>511</v>
      </c>
      <c r="C505" s="423" t="s">
        <v>527</v>
      </c>
      <c r="D505" s="423" t="s">
        <v>167</v>
      </c>
      <c r="E505" s="424" t="s">
        <v>955</v>
      </c>
      <c r="F505" s="424" t="s">
        <v>523</v>
      </c>
      <c r="G505" s="424" t="s">
        <v>280</v>
      </c>
      <c r="H505" s="281">
        <v>21585</v>
      </c>
      <c r="I505" s="453">
        <v>10772</v>
      </c>
      <c r="J505" s="453"/>
      <c r="K505" s="454">
        <v>2000</v>
      </c>
      <c r="L505" s="455" t="s">
        <v>19</v>
      </c>
      <c r="M505" s="455" t="s">
        <v>841</v>
      </c>
      <c r="N505" s="455" t="s">
        <v>956</v>
      </c>
      <c r="O505" s="455"/>
      <c r="P505" s="455">
        <v>2019</v>
      </c>
      <c r="Q505" s="397"/>
      <c r="R505" s="398"/>
      <c r="S505" s="399" t="s">
        <v>15</v>
      </c>
      <c r="T505" s="400"/>
      <c r="U505" s="401"/>
      <c r="V505" s="402"/>
      <c r="W505" s="47"/>
    </row>
    <row r="506" spans="1:23" ht="45">
      <c r="A506" s="423" t="s">
        <v>264</v>
      </c>
      <c r="B506" s="423">
        <v>512</v>
      </c>
      <c r="C506" s="423" t="s">
        <v>527</v>
      </c>
      <c r="D506" s="423" t="s">
        <v>167</v>
      </c>
      <c r="E506" s="432" t="s">
        <v>957</v>
      </c>
      <c r="F506" s="424" t="s">
        <v>829</v>
      </c>
      <c r="G506" s="424" t="s">
        <v>833</v>
      </c>
      <c r="H506" s="281" t="s">
        <v>958</v>
      </c>
      <c r="I506" s="425"/>
      <c r="J506" s="425"/>
      <c r="K506" s="426"/>
      <c r="L506" s="427" t="s">
        <v>19</v>
      </c>
      <c r="M506" s="427" t="s">
        <v>841</v>
      </c>
      <c r="N506" s="427"/>
      <c r="O506" s="428"/>
      <c r="P506" s="427"/>
      <c r="Q506" s="397"/>
      <c r="R506" s="398"/>
      <c r="S506" s="399"/>
      <c r="T506" s="400"/>
      <c r="U506" s="401"/>
      <c r="V506" s="402"/>
      <c r="W506" s="47"/>
    </row>
    <row r="507" spans="1:23" ht="45">
      <c r="A507" s="423" t="s">
        <v>264</v>
      </c>
      <c r="B507" s="423">
        <v>513</v>
      </c>
      <c r="C507" s="423" t="s">
        <v>527</v>
      </c>
      <c r="D507" s="423" t="s">
        <v>1</v>
      </c>
      <c r="E507" s="432" t="s">
        <v>959</v>
      </c>
      <c r="F507" s="424" t="s">
        <v>523</v>
      </c>
      <c r="G507" s="424" t="s">
        <v>833</v>
      </c>
      <c r="H507" s="281"/>
      <c r="I507" s="425"/>
      <c r="J507" s="425"/>
      <c r="K507" s="426"/>
      <c r="L507" s="427" t="s">
        <v>19</v>
      </c>
      <c r="M507" s="427" t="s">
        <v>549</v>
      </c>
      <c r="N507" s="427"/>
      <c r="O507" s="428"/>
      <c r="P507" s="427"/>
      <c r="Q507" s="397"/>
      <c r="R507" s="398"/>
      <c r="S507" s="399"/>
      <c r="T507" s="400"/>
      <c r="U507" s="401"/>
      <c r="V507" s="402"/>
      <c r="W507" s="47"/>
    </row>
    <row r="508" spans="1:23" ht="45">
      <c r="A508" s="423" t="s">
        <v>264</v>
      </c>
      <c r="B508" s="423">
        <v>514</v>
      </c>
      <c r="C508" s="423" t="s">
        <v>527</v>
      </c>
      <c r="D508" s="423" t="s">
        <v>1</v>
      </c>
      <c r="E508" s="424" t="s">
        <v>960</v>
      </c>
      <c r="F508" s="424" t="s">
        <v>961</v>
      </c>
      <c r="G508" s="424" t="s">
        <v>833</v>
      </c>
      <c r="H508" s="281"/>
      <c r="I508" s="425">
        <v>3186</v>
      </c>
      <c r="J508" s="425"/>
      <c r="K508" s="426">
        <v>2024</v>
      </c>
      <c r="L508" s="427" t="s">
        <v>17</v>
      </c>
      <c r="M508" s="427" t="s">
        <v>841</v>
      </c>
      <c r="N508" s="427" t="s">
        <v>962</v>
      </c>
      <c r="O508" s="428"/>
      <c r="P508" s="427">
        <v>2030</v>
      </c>
      <c r="Q508" s="397"/>
      <c r="R508" s="398"/>
      <c r="S508" s="399"/>
      <c r="T508" s="400"/>
      <c r="U508" s="401"/>
      <c r="V508" s="402"/>
      <c r="W508" s="47"/>
    </row>
    <row r="509" spans="1:23" ht="45">
      <c r="A509" s="423" t="s">
        <v>264</v>
      </c>
      <c r="B509" s="423">
        <v>515</v>
      </c>
      <c r="C509" s="423" t="s">
        <v>527</v>
      </c>
      <c r="D509" s="423" t="s">
        <v>167</v>
      </c>
      <c r="E509" s="424" t="s">
        <v>963</v>
      </c>
      <c r="F509" s="424" t="s">
        <v>523</v>
      </c>
      <c r="G509" s="424" t="s">
        <v>280</v>
      </c>
      <c r="H509" s="281" t="s">
        <v>964</v>
      </c>
      <c r="I509" s="425" t="s">
        <v>253</v>
      </c>
      <c r="J509" s="425"/>
      <c r="K509" s="426">
        <v>2024</v>
      </c>
      <c r="L509" s="427" t="s">
        <v>19</v>
      </c>
      <c r="M509" s="427" t="s">
        <v>841</v>
      </c>
      <c r="N509" s="427" t="s">
        <v>962</v>
      </c>
      <c r="O509" s="461">
        <v>600</v>
      </c>
      <c r="P509" s="427">
        <v>2030</v>
      </c>
      <c r="Q509" s="397"/>
      <c r="R509" s="398"/>
      <c r="S509" s="399"/>
      <c r="T509" s="400"/>
      <c r="U509" s="401"/>
      <c r="V509" s="402"/>
      <c r="W509" s="47"/>
    </row>
    <row r="510" spans="1:23" s="430" customFormat="1" ht="45" hidden="1">
      <c r="A510" s="397" t="s">
        <v>264</v>
      </c>
      <c r="B510" s="397">
        <v>516</v>
      </c>
      <c r="C510" s="397" t="s">
        <v>449</v>
      </c>
      <c r="D510" s="397"/>
      <c r="E510" s="390" t="s">
        <v>965</v>
      </c>
      <c r="F510" s="390"/>
      <c r="G510" s="390"/>
      <c r="H510" s="281" t="s">
        <v>268</v>
      </c>
      <c r="I510" s="425"/>
      <c r="J510" s="425"/>
      <c r="K510" s="397"/>
      <c r="L510" s="397"/>
      <c r="M510" s="397"/>
      <c r="N510" s="427"/>
      <c r="O510" s="428"/>
      <c r="P510" s="427"/>
      <c r="Q510" s="397"/>
      <c r="R510" s="397"/>
      <c r="S510" s="397"/>
      <c r="T510" s="397"/>
      <c r="U510" s="397"/>
      <c r="V510" s="397"/>
      <c r="W510" s="390"/>
    </row>
    <row r="511" spans="1:23" ht="45">
      <c r="A511" s="423" t="s">
        <v>264</v>
      </c>
      <c r="B511" s="423">
        <v>517</v>
      </c>
      <c r="C511" s="423" t="s">
        <v>527</v>
      </c>
      <c r="D511" s="423" t="s">
        <v>167</v>
      </c>
      <c r="E511" s="424" t="s">
        <v>966</v>
      </c>
      <c r="F511" s="424" t="s">
        <v>523</v>
      </c>
      <c r="G511" s="424" t="s">
        <v>280</v>
      </c>
      <c r="H511" s="281" t="s">
        <v>253</v>
      </c>
      <c r="I511" s="425" t="s">
        <v>253</v>
      </c>
      <c r="J511" s="425"/>
      <c r="K511" s="426">
        <v>2024</v>
      </c>
      <c r="L511" s="427" t="s">
        <v>19</v>
      </c>
      <c r="M511" s="427" t="s">
        <v>841</v>
      </c>
      <c r="N511" s="427" t="s">
        <v>253</v>
      </c>
      <c r="O511" s="428"/>
      <c r="P511" s="427"/>
      <c r="Q511" s="397"/>
      <c r="R511" s="398"/>
      <c r="S511" s="399"/>
      <c r="T511" s="400"/>
      <c r="U511" s="401"/>
      <c r="V511" s="402"/>
      <c r="W511" s="47"/>
    </row>
    <row r="512" spans="1:23" ht="45">
      <c r="A512" s="423" t="s">
        <v>264</v>
      </c>
      <c r="B512" s="423">
        <v>518</v>
      </c>
      <c r="C512" s="423" t="s">
        <v>527</v>
      </c>
      <c r="D512" s="423" t="s">
        <v>167</v>
      </c>
      <c r="E512" s="424" t="s">
        <v>967</v>
      </c>
      <c r="F512" s="424" t="s">
        <v>829</v>
      </c>
      <c r="G512" s="424" t="s">
        <v>280</v>
      </c>
      <c r="H512" s="281">
        <v>97869</v>
      </c>
      <c r="I512" s="425" t="s">
        <v>253</v>
      </c>
      <c r="J512" s="425"/>
      <c r="K512" s="426" t="s">
        <v>253</v>
      </c>
      <c r="L512" s="427" t="s">
        <v>19</v>
      </c>
      <c r="M512" s="427" t="s">
        <v>841</v>
      </c>
      <c r="N512" s="427" t="s">
        <v>253</v>
      </c>
      <c r="O512" s="428"/>
      <c r="P512" s="427" t="s">
        <v>253</v>
      </c>
      <c r="Q512" s="397"/>
      <c r="R512" s="398"/>
      <c r="S512" s="399"/>
      <c r="T512" s="400"/>
      <c r="U512" s="401"/>
      <c r="V512" s="402"/>
      <c r="W512" s="47"/>
    </row>
    <row r="513" spans="1:23" ht="45" hidden="1">
      <c r="A513" s="423" t="s">
        <v>264</v>
      </c>
      <c r="B513" s="423">
        <v>519</v>
      </c>
      <c r="C513" s="423" t="s">
        <v>449</v>
      </c>
      <c r="D513" s="423" t="s">
        <v>167</v>
      </c>
      <c r="E513" s="424" t="s">
        <v>968</v>
      </c>
      <c r="F513" s="424" t="s">
        <v>969</v>
      </c>
      <c r="G513" s="424" t="s">
        <v>280</v>
      </c>
      <c r="H513" s="281"/>
      <c r="I513" s="425"/>
      <c r="J513" s="425"/>
      <c r="K513" s="426">
        <v>2024</v>
      </c>
      <c r="L513" s="427" t="s">
        <v>19</v>
      </c>
      <c r="M513" s="427" t="s">
        <v>115</v>
      </c>
      <c r="N513" s="427"/>
      <c r="O513" s="428"/>
      <c r="P513" s="427"/>
      <c r="Q513" s="397"/>
      <c r="R513" s="398"/>
      <c r="S513" s="399"/>
      <c r="T513" s="400"/>
      <c r="U513" s="401" t="s">
        <v>117</v>
      </c>
      <c r="V513" s="402"/>
      <c r="W513" s="47"/>
    </row>
    <row r="514" spans="1:23" ht="45" hidden="1">
      <c r="A514" s="423" t="s">
        <v>264</v>
      </c>
      <c r="B514" s="423">
        <v>520</v>
      </c>
      <c r="C514" s="423" t="s">
        <v>449</v>
      </c>
      <c r="D514" s="423" t="s">
        <v>167</v>
      </c>
      <c r="E514" s="424" t="s">
        <v>970</v>
      </c>
      <c r="F514" s="424" t="s">
        <v>969</v>
      </c>
      <c r="G514" s="424" t="s">
        <v>280</v>
      </c>
      <c r="H514" s="281"/>
      <c r="I514" s="425"/>
      <c r="J514" s="425"/>
      <c r="K514" s="426">
        <v>2024</v>
      </c>
      <c r="L514" s="427" t="s">
        <v>19</v>
      </c>
      <c r="M514" s="427" t="s">
        <v>115</v>
      </c>
      <c r="N514" s="427"/>
      <c r="O514" s="428"/>
      <c r="P514" s="427"/>
      <c r="Q514" s="397"/>
      <c r="R514" s="398"/>
      <c r="S514" s="399"/>
      <c r="T514" s="400"/>
      <c r="U514" s="401" t="s">
        <v>117</v>
      </c>
      <c r="V514" s="402"/>
      <c r="W514" s="47"/>
    </row>
    <row r="515" spans="1:23" ht="45" hidden="1">
      <c r="A515" s="423" t="s">
        <v>264</v>
      </c>
      <c r="B515" s="423">
        <v>521</v>
      </c>
      <c r="C515" s="423" t="s">
        <v>449</v>
      </c>
      <c r="D515" s="423" t="s">
        <v>167</v>
      </c>
      <c r="E515" s="424" t="s">
        <v>971</v>
      </c>
      <c r="F515" s="424" t="s">
        <v>969</v>
      </c>
      <c r="G515" s="424" t="s">
        <v>280</v>
      </c>
      <c r="H515" s="281"/>
      <c r="I515" s="425"/>
      <c r="J515" s="425"/>
      <c r="K515" s="426">
        <v>2024</v>
      </c>
      <c r="L515" s="427" t="s">
        <v>19</v>
      </c>
      <c r="M515" s="427" t="s">
        <v>115</v>
      </c>
      <c r="N515" s="427"/>
      <c r="O515" s="428"/>
      <c r="P515" s="427"/>
      <c r="Q515" s="397"/>
      <c r="R515" s="398"/>
      <c r="S515" s="399"/>
      <c r="T515" s="400"/>
      <c r="U515" s="401" t="s">
        <v>117</v>
      </c>
      <c r="V515" s="402"/>
      <c r="W515" s="47"/>
    </row>
    <row r="516" spans="1:23" ht="45" hidden="1">
      <c r="A516" s="423" t="s">
        <v>264</v>
      </c>
      <c r="B516" s="423">
        <v>522</v>
      </c>
      <c r="C516" s="423" t="s">
        <v>449</v>
      </c>
      <c r="D516" s="423" t="s">
        <v>167</v>
      </c>
      <c r="E516" s="424" t="s">
        <v>972</v>
      </c>
      <c r="F516" s="424" t="s">
        <v>969</v>
      </c>
      <c r="G516" s="424" t="s">
        <v>280</v>
      </c>
      <c r="H516" s="281" t="s">
        <v>973</v>
      </c>
      <c r="I516" s="425"/>
      <c r="J516" s="425"/>
      <c r="K516" s="426">
        <v>2024</v>
      </c>
      <c r="L516" s="427" t="s">
        <v>19</v>
      </c>
      <c r="M516" s="427" t="s">
        <v>115</v>
      </c>
      <c r="N516" s="427"/>
      <c r="O516" s="428"/>
      <c r="P516" s="427"/>
      <c r="Q516" s="397"/>
      <c r="R516" s="398"/>
      <c r="S516" s="399"/>
      <c r="T516" s="400"/>
      <c r="U516" s="401" t="s">
        <v>117</v>
      </c>
      <c r="V516" s="402"/>
      <c r="W516" s="47"/>
    </row>
    <row r="517" spans="1:23" ht="45" hidden="1">
      <c r="A517" s="423" t="s">
        <v>264</v>
      </c>
      <c r="B517" s="423">
        <v>523</v>
      </c>
      <c r="C517" s="423" t="s">
        <v>449</v>
      </c>
      <c r="D517" s="423" t="s">
        <v>167</v>
      </c>
      <c r="E517" s="424" t="s">
        <v>974</v>
      </c>
      <c r="F517" s="424" t="s">
        <v>969</v>
      </c>
      <c r="G517" s="424" t="s">
        <v>280</v>
      </c>
      <c r="H517" s="281"/>
      <c r="I517" s="425"/>
      <c r="J517" s="425"/>
      <c r="K517" s="426">
        <v>2024</v>
      </c>
      <c r="L517" s="427" t="s">
        <v>19</v>
      </c>
      <c r="M517" s="427" t="s">
        <v>115</v>
      </c>
      <c r="N517" s="427"/>
      <c r="O517" s="428"/>
      <c r="P517" s="427"/>
      <c r="Q517" s="397"/>
      <c r="R517" s="398"/>
      <c r="S517" s="399"/>
      <c r="T517" s="400"/>
      <c r="U517" s="401" t="s">
        <v>117</v>
      </c>
      <c r="V517" s="402"/>
      <c r="W517" s="47"/>
    </row>
    <row r="518" spans="1:23" ht="45" hidden="1">
      <c r="A518" s="423" t="s">
        <v>264</v>
      </c>
      <c r="B518" s="423">
        <v>524</v>
      </c>
      <c r="C518" s="423" t="s">
        <v>449</v>
      </c>
      <c r="D518" s="423" t="s">
        <v>167</v>
      </c>
      <c r="E518" s="424" t="s">
        <v>975</v>
      </c>
      <c r="F518" s="424" t="s">
        <v>969</v>
      </c>
      <c r="G518" s="424" t="s">
        <v>280</v>
      </c>
      <c r="H518" s="281"/>
      <c r="I518" s="425"/>
      <c r="J518" s="425"/>
      <c r="K518" s="426">
        <v>2024</v>
      </c>
      <c r="L518" s="427" t="s">
        <v>19</v>
      </c>
      <c r="M518" s="427" t="s">
        <v>115</v>
      </c>
      <c r="N518" s="427"/>
      <c r="O518" s="428"/>
      <c r="P518" s="427"/>
      <c r="Q518" s="397"/>
      <c r="R518" s="398"/>
      <c r="S518" s="399"/>
      <c r="T518" s="400"/>
      <c r="U518" s="401" t="s">
        <v>117</v>
      </c>
      <c r="V518" s="402"/>
      <c r="W518" s="47"/>
    </row>
    <row r="519" spans="1:23" ht="45" hidden="1">
      <c r="A519" s="423" t="s">
        <v>264</v>
      </c>
      <c r="B519" s="423">
        <v>525</v>
      </c>
      <c r="C519" s="423" t="s">
        <v>449</v>
      </c>
      <c r="D519" s="423" t="s">
        <v>167</v>
      </c>
      <c r="E519" s="424" t="s">
        <v>976</v>
      </c>
      <c r="F519" s="424" t="s">
        <v>969</v>
      </c>
      <c r="G519" s="424" t="s">
        <v>280</v>
      </c>
      <c r="H519" s="281"/>
      <c r="I519" s="425"/>
      <c r="J519" s="425"/>
      <c r="K519" s="426">
        <v>2024</v>
      </c>
      <c r="L519" s="427" t="s">
        <v>19</v>
      </c>
      <c r="M519" s="427" t="s">
        <v>115</v>
      </c>
      <c r="N519" s="427"/>
      <c r="O519" s="428"/>
      <c r="P519" s="427"/>
      <c r="Q519" s="397"/>
      <c r="R519" s="398"/>
      <c r="S519" s="399"/>
      <c r="T519" s="400"/>
      <c r="U519" s="401" t="s">
        <v>117</v>
      </c>
      <c r="V519" s="402"/>
      <c r="W519" s="47"/>
    </row>
    <row r="520" spans="1:23" ht="45" hidden="1">
      <c r="A520" s="423" t="s">
        <v>264</v>
      </c>
      <c r="B520" s="423">
        <v>526</v>
      </c>
      <c r="C520" s="423" t="s">
        <v>449</v>
      </c>
      <c r="D520" s="423" t="s">
        <v>167</v>
      </c>
      <c r="E520" s="424" t="s">
        <v>977</v>
      </c>
      <c r="F520" s="424" t="s">
        <v>969</v>
      </c>
      <c r="G520" s="424" t="s">
        <v>280</v>
      </c>
      <c r="H520" s="281"/>
      <c r="I520" s="425"/>
      <c r="J520" s="425"/>
      <c r="K520" s="426">
        <v>2024</v>
      </c>
      <c r="L520" s="427" t="s">
        <v>19</v>
      </c>
      <c r="M520" s="427" t="s">
        <v>115</v>
      </c>
      <c r="N520" s="427"/>
      <c r="O520" s="428"/>
      <c r="P520" s="427"/>
      <c r="Q520" s="397"/>
      <c r="R520" s="398"/>
      <c r="S520" s="399"/>
      <c r="T520" s="400"/>
      <c r="U520" s="401" t="s">
        <v>117</v>
      </c>
      <c r="V520" s="402"/>
      <c r="W520" s="47"/>
    </row>
    <row r="521" spans="1:23" ht="60" hidden="1">
      <c r="A521" s="423" t="s">
        <v>264</v>
      </c>
      <c r="B521" s="423">
        <v>527</v>
      </c>
      <c r="C521" s="423" t="s">
        <v>449</v>
      </c>
      <c r="D521" s="423" t="s">
        <v>167</v>
      </c>
      <c r="E521" s="424" t="s">
        <v>978</v>
      </c>
      <c r="F521" s="424" t="s">
        <v>969</v>
      </c>
      <c r="G521" s="424" t="s">
        <v>280</v>
      </c>
      <c r="H521" s="281"/>
      <c r="I521" s="425"/>
      <c r="J521" s="425"/>
      <c r="K521" s="426">
        <v>2024</v>
      </c>
      <c r="L521" s="427" t="s">
        <v>19</v>
      </c>
      <c r="M521" s="427" t="s">
        <v>115</v>
      </c>
      <c r="N521" s="427"/>
      <c r="O521" s="428"/>
      <c r="P521" s="427"/>
      <c r="Q521" s="397"/>
      <c r="R521" s="398"/>
      <c r="S521" s="399"/>
      <c r="T521" s="400"/>
      <c r="U521" s="401" t="s">
        <v>117</v>
      </c>
      <c r="V521" s="402"/>
      <c r="W521" s="47"/>
    </row>
    <row r="522" spans="1:23" ht="45" hidden="1">
      <c r="A522" s="423" t="s">
        <v>264</v>
      </c>
      <c r="B522" s="423">
        <v>528</v>
      </c>
      <c r="C522" s="423" t="s">
        <v>449</v>
      </c>
      <c r="D522" s="423" t="s">
        <v>167</v>
      </c>
      <c r="E522" s="424" t="s">
        <v>979</v>
      </c>
      <c r="F522" s="424" t="s">
        <v>969</v>
      </c>
      <c r="G522" s="424" t="s">
        <v>280</v>
      </c>
      <c r="H522" s="281"/>
      <c r="I522" s="425"/>
      <c r="J522" s="425"/>
      <c r="K522" s="426">
        <v>2024</v>
      </c>
      <c r="L522" s="427" t="s">
        <v>19</v>
      </c>
      <c r="M522" s="427" t="s">
        <v>115</v>
      </c>
      <c r="N522" s="427"/>
      <c r="O522" s="428"/>
      <c r="P522" s="427"/>
      <c r="Q522" s="397"/>
      <c r="R522" s="398"/>
      <c r="S522" s="399"/>
      <c r="T522" s="400"/>
      <c r="U522" s="401" t="s">
        <v>117</v>
      </c>
      <c r="V522" s="402"/>
      <c r="W522" s="47"/>
    </row>
    <row r="523" spans="1:23" ht="45" hidden="1">
      <c r="A523" s="423" t="s">
        <v>264</v>
      </c>
      <c r="B523" s="423">
        <v>529</v>
      </c>
      <c r="C523" s="423" t="s">
        <v>449</v>
      </c>
      <c r="D523" s="423" t="s">
        <v>167</v>
      </c>
      <c r="E523" s="424" t="s">
        <v>980</v>
      </c>
      <c r="F523" s="424" t="s">
        <v>969</v>
      </c>
      <c r="G523" s="424" t="s">
        <v>280</v>
      </c>
      <c r="H523" s="281"/>
      <c r="I523" s="425"/>
      <c r="J523" s="425"/>
      <c r="K523" s="426">
        <v>2024</v>
      </c>
      <c r="L523" s="427" t="s">
        <v>19</v>
      </c>
      <c r="M523" s="427" t="s">
        <v>115</v>
      </c>
      <c r="N523" s="427"/>
      <c r="O523" s="428"/>
      <c r="P523" s="427"/>
      <c r="Q523" s="397"/>
      <c r="R523" s="398"/>
      <c r="S523" s="399"/>
      <c r="T523" s="400"/>
      <c r="U523" s="401" t="s">
        <v>117</v>
      </c>
      <c r="V523" s="402"/>
      <c r="W523" s="47"/>
    </row>
    <row r="524" spans="1:23" ht="45" hidden="1">
      <c r="A524" s="423" t="s">
        <v>264</v>
      </c>
      <c r="B524" s="423">
        <v>530</v>
      </c>
      <c r="C524" s="423" t="s">
        <v>449</v>
      </c>
      <c r="D524" s="423" t="s">
        <v>167</v>
      </c>
      <c r="E524" s="424" t="s">
        <v>981</v>
      </c>
      <c r="F524" s="424" t="s">
        <v>969</v>
      </c>
      <c r="G524" s="424" t="s">
        <v>280</v>
      </c>
      <c r="H524" s="281"/>
      <c r="I524" s="425"/>
      <c r="J524" s="425"/>
      <c r="K524" s="426">
        <v>2024</v>
      </c>
      <c r="L524" s="427" t="s">
        <v>19</v>
      </c>
      <c r="M524" s="427" t="s">
        <v>115</v>
      </c>
      <c r="N524" s="427"/>
      <c r="O524" s="428"/>
      <c r="P524" s="427"/>
      <c r="Q524" s="397"/>
      <c r="R524" s="398"/>
      <c r="S524" s="399"/>
      <c r="T524" s="400"/>
      <c r="U524" s="401" t="s">
        <v>117</v>
      </c>
      <c r="V524" s="402"/>
      <c r="W524" s="47"/>
    </row>
    <row r="525" spans="1:23" ht="45" hidden="1">
      <c r="A525" s="423" t="s">
        <v>264</v>
      </c>
      <c r="B525" s="423">
        <v>531</v>
      </c>
      <c r="C525" s="423" t="s">
        <v>449</v>
      </c>
      <c r="D525" s="423" t="s">
        <v>167</v>
      </c>
      <c r="E525" s="424" t="s">
        <v>982</v>
      </c>
      <c r="F525" s="424" t="s">
        <v>983</v>
      </c>
      <c r="G525" s="424" t="s">
        <v>280</v>
      </c>
      <c r="H525" s="281"/>
      <c r="I525" s="425"/>
      <c r="J525" s="425"/>
      <c r="K525" s="426">
        <v>2024</v>
      </c>
      <c r="L525" s="427" t="s">
        <v>19</v>
      </c>
      <c r="M525" s="427" t="s">
        <v>115</v>
      </c>
      <c r="N525" s="427"/>
      <c r="O525" s="428"/>
      <c r="P525" s="427"/>
      <c r="Q525" s="397"/>
      <c r="R525" s="398"/>
      <c r="S525" s="399"/>
      <c r="T525" s="400" t="s">
        <v>117</v>
      </c>
      <c r="U525" s="401"/>
      <c r="V525" s="402"/>
      <c r="W525" s="47"/>
    </row>
    <row r="526" spans="1:23" ht="45" hidden="1">
      <c r="A526" s="423" t="s">
        <v>264</v>
      </c>
      <c r="B526" s="423">
        <v>532</v>
      </c>
      <c r="C526" s="423" t="s">
        <v>449</v>
      </c>
      <c r="D526" s="423" t="s">
        <v>167</v>
      </c>
      <c r="E526" s="424" t="s">
        <v>984</v>
      </c>
      <c r="F526" s="424" t="s">
        <v>983</v>
      </c>
      <c r="G526" s="424" t="s">
        <v>280</v>
      </c>
      <c r="H526" s="281"/>
      <c r="I526" s="425"/>
      <c r="J526" s="425"/>
      <c r="K526" s="426">
        <v>2024</v>
      </c>
      <c r="L526" s="427" t="s">
        <v>19</v>
      </c>
      <c r="M526" s="427" t="s">
        <v>115</v>
      </c>
      <c r="N526" s="427"/>
      <c r="O526" s="428"/>
      <c r="P526" s="427"/>
      <c r="Q526" s="397"/>
      <c r="R526" s="398"/>
      <c r="S526" s="399"/>
      <c r="T526" s="400" t="s">
        <v>117</v>
      </c>
      <c r="U526" s="401"/>
      <c r="V526" s="402"/>
      <c r="W526" s="47"/>
    </row>
    <row r="527" spans="1:23" ht="45" hidden="1">
      <c r="A527" s="423" t="s">
        <v>264</v>
      </c>
      <c r="B527" s="423">
        <v>533</v>
      </c>
      <c r="C527" s="423" t="s">
        <v>449</v>
      </c>
      <c r="D527" s="423" t="s">
        <v>167</v>
      </c>
      <c r="E527" s="424" t="s">
        <v>985</v>
      </c>
      <c r="F527" s="424" t="s">
        <v>983</v>
      </c>
      <c r="G527" s="424" t="s">
        <v>280</v>
      </c>
      <c r="H527" s="281"/>
      <c r="I527" s="425"/>
      <c r="J527" s="425"/>
      <c r="K527" s="426">
        <v>2024</v>
      </c>
      <c r="L527" s="427" t="s">
        <v>19</v>
      </c>
      <c r="M527" s="427" t="s">
        <v>115</v>
      </c>
      <c r="N527" s="427"/>
      <c r="O527" s="428"/>
      <c r="P527" s="427"/>
      <c r="Q527" s="397"/>
      <c r="R527" s="398"/>
      <c r="S527" s="399"/>
      <c r="T527" s="400" t="s">
        <v>117</v>
      </c>
      <c r="U527" s="401"/>
      <c r="V527" s="402"/>
      <c r="W527" s="47"/>
    </row>
    <row r="528" spans="1:23" ht="45" hidden="1">
      <c r="A528" s="423" t="s">
        <v>264</v>
      </c>
      <c r="B528" s="423">
        <v>534</v>
      </c>
      <c r="C528" s="423" t="s">
        <v>449</v>
      </c>
      <c r="D528" s="423" t="s">
        <v>167</v>
      </c>
      <c r="E528" s="424" t="s">
        <v>986</v>
      </c>
      <c r="F528" s="424" t="s">
        <v>983</v>
      </c>
      <c r="G528" s="424" t="s">
        <v>280</v>
      </c>
      <c r="H528" s="281"/>
      <c r="I528" s="425"/>
      <c r="J528" s="425"/>
      <c r="K528" s="426">
        <v>2024</v>
      </c>
      <c r="L528" s="427" t="s">
        <v>19</v>
      </c>
      <c r="M528" s="427" t="s">
        <v>115</v>
      </c>
      <c r="N528" s="427"/>
      <c r="O528" s="428"/>
      <c r="P528" s="427"/>
      <c r="Q528" s="397"/>
      <c r="R528" s="398"/>
      <c r="S528" s="399"/>
      <c r="T528" s="400" t="s">
        <v>117</v>
      </c>
      <c r="U528" s="401"/>
      <c r="V528" s="402"/>
      <c r="W528" s="47"/>
    </row>
    <row r="529" spans="1:23" ht="45" hidden="1">
      <c r="A529" s="423" t="s">
        <v>264</v>
      </c>
      <c r="B529" s="423">
        <v>535</v>
      </c>
      <c r="C529" s="423" t="s">
        <v>449</v>
      </c>
      <c r="D529" s="423" t="s">
        <v>167</v>
      </c>
      <c r="E529" s="424" t="s">
        <v>987</v>
      </c>
      <c r="F529" s="424" t="s">
        <v>983</v>
      </c>
      <c r="G529" s="424" t="s">
        <v>280</v>
      </c>
      <c r="H529" s="281"/>
      <c r="I529" s="425"/>
      <c r="J529" s="425"/>
      <c r="K529" s="426">
        <v>2024</v>
      </c>
      <c r="L529" s="427" t="s">
        <v>19</v>
      </c>
      <c r="M529" s="427" t="s">
        <v>115</v>
      </c>
      <c r="N529" s="427"/>
      <c r="O529" s="428"/>
      <c r="P529" s="427"/>
      <c r="Q529" s="397"/>
      <c r="R529" s="398"/>
      <c r="S529" s="399"/>
      <c r="T529" s="400" t="s">
        <v>117</v>
      </c>
      <c r="U529" s="401"/>
      <c r="V529" s="402"/>
      <c r="W529" s="47"/>
    </row>
    <row r="530" spans="1:23" ht="45" hidden="1">
      <c r="A530" s="423" t="s">
        <v>264</v>
      </c>
      <c r="B530" s="423">
        <v>536</v>
      </c>
      <c r="C530" s="423" t="s">
        <v>449</v>
      </c>
      <c r="D530" s="423" t="s">
        <v>167</v>
      </c>
      <c r="E530" s="424" t="s">
        <v>988</v>
      </c>
      <c r="F530" s="424" t="s">
        <v>989</v>
      </c>
      <c r="G530" s="424" t="s">
        <v>280</v>
      </c>
      <c r="H530" s="281"/>
      <c r="I530" s="425"/>
      <c r="J530" s="425"/>
      <c r="K530" s="426">
        <v>2025</v>
      </c>
      <c r="L530" s="427" t="s">
        <v>19</v>
      </c>
      <c r="M530" s="427" t="s">
        <v>115</v>
      </c>
      <c r="N530" s="427"/>
      <c r="O530" s="428"/>
      <c r="P530" s="427"/>
      <c r="Q530" s="397"/>
      <c r="R530" s="398"/>
      <c r="S530" s="399"/>
      <c r="T530" s="400" t="s">
        <v>117</v>
      </c>
      <c r="U530" s="401"/>
      <c r="V530" s="402"/>
      <c r="W530" s="47"/>
    </row>
  </sheetData>
  <autoFilter ref="A4:W530" xr:uid="{2506E574-5B91-4A76-AE91-9A4036061676}">
    <filterColumn colId="2">
      <filters>
        <filter val="Toilet Partitions Factory"/>
      </filters>
    </filterColumn>
  </autoFilter>
  <hyperlinks>
    <hyperlink ref="W47" r:id="rId1" xr:uid="{D04547C4-77F9-4211-817B-BAFAFCE63DEA}"/>
  </hyperlinks>
  <pageMargins left="0.7" right="0.7" top="0.75" bottom="0.75" header="0.3" footer="0.3"/>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49DB4-EFCF-4B04-8A6E-5779500E1D53}">
  <sheetPr filterMode="1">
    <tabColor rgb="FF00B050"/>
    <pageSetUpPr fitToPage="1"/>
  </sheetPr>
  <dimension ref="A1:V202"/>
  <sheetViews>
    <sheetView zoomScale="80" zoomScaleNormal="80" workbookViewId="0">
      <selection activeCell="H31" sqref="H31"/>
    </sheetView>
  </sheetViews>
  <sheetFormatPr defaultRowHeight="15"/>
  <cols>
    <col min="1" max="1" width="8.42578125" bestFit="1" customWidth="1"/>
    <col min="2" max="2" width="6.28515625" bestFit="1" customWidth="1"/>
    <col min="3" max="3" width="18.85546875" bestFit="1" customWidth="1"/>
    <col min="4" max="4" width="46.7109375" bestFit="1" customWidth="1"/>
    <col min="5" max="5" width="46.7109375" customWidth="1"/>
    <col min="6" max="6" width="46.7109375" style="125" customWidth="1"/>
    <col min="7" max="7" width="21.7109375" bestFit="1" customWidth="1"/>
    <col min="8" max="8" width="16" bestFit="1" customWidth="1"/>
    <col min="9" max="9" width="15" bestFit="1" customWidth="1"/>
    <col min="10" max="10" width="19.7109375" style="125" hidden="1" customWidth="1"/>
    <col min="11" max="11" width="22.42578125" style="125" hidden="1" customWidth="1"/>
    <col min="12" max="12" width="19.7109375" style="125" hidden="1" customWidth="1"/>
    <col min="13" max="13" width="19.28515625" style="125" hidden="1" customWidth="1"/>
    <col min="14" max="14" width="27.42578125" hidden="1" customWidth="1"/>
    <col min="15" max="20" width="13.7109375" customWidth="1"/>
    <col min="21" max="21" width="77.7109375" customWidth="1"/>
    <col min="22" max="22" width="77.7109375" style="110" customWidth="1"/>
  </cols>
  <sheetData>
    <row r="1" spans="1:22" ht="18.75">
      <c r="A1" s="89"/>
      <c r="B1" s="89"/>
      <c r="C1" s="89"/>
      <c r="D1" s="90" t="s">
        <v>97</v>
      </c>
      <c r="E1" s="90"/>
      <c r="F1" s="91"/>
      <c r="G1" s="90"/>
      <c r="H1" s="90"/>
      <c r="I1" s="90"/>
      <c r="J1" s="91"/>
      <c r="K1" s="91"/>
      <c r="L1" s="91"/>
      <c r="M1" s="91"/>
      <c r="N1" s="90"/>
      <c r="O1" s="91"/>
      <c r="P1" s="91"/>
      <c r="Q1" s="91"/>
      <c r="R1" s="91"/>
      <c r="S1" s="91"/>
      <c r="T1" s="91"/>
      <c r="U1" s="92"/>
    </row>
    <row r="2" spans="1:22" ht="18.75">
      <c r="A2" s="89"/>
      <c r="B2" s="89"/>
      <c r="C2" s="89"/>
      <c r="D2" s="90"/>
      <c r="E2" s="90"/>
      <c r="F2" s="91"/>
      <c r="G2" s="90"/>
      <c r="H2" s="90"/>
      <c r="I2" s="89"/>
      <c r="J2" s="94"/>
      <c r="K2" s="94"/>
      <c r="L2" s="94"/>
      <c r="M2" s="106" t="s">
        <v>37</v>
      </c>
      <c r="N2" s="93"/>
      <c r="O2" s="81">
        <f>COUNTA(O6:O516)</f>
        <v>10</v>
      </c>
      <c r="P2" s="82">
        <f t="shared" ref="P2:T2" si="0">COUNTA(P6:P516)</f>
        <v>18</v>
      </c>
      <c r="Q2" s="83">
        <f t="shared" si="0"/>
        <v>10</v>
      </c>
      <c r="R2" s="84">
        <f t="shared" si="0"/>
        <v>14</v>
      </c>
      <c r="S2" s="85">
        <f t="shared" si="0"/>
        <v>16</v>
      </c>
      <c r="T2" s="86">
        <f t="shared" si="0"/>
        <v>67</v>
      </c>
      <c r="U2" s="92"/>
    </row>
    <row r="3" spans="1:22">
      <c r="A3" s="89"/>
      <c r="B3" s="89"/>
      <c r="C3" s="89"/>
      <c r="D3" s="89"/>
      <c r="E3" s="89"/>
      <c r="F3" s="94"/>
      <c r="G3" s="89"/>
      <c r="H3" s="89"/>
      <c r="I3" s="89"/>
      <c r="J3" s="94"/>
      <c r="K3" s="94"/>
      <c r="L3" s="94"/>
      <c r="M3" s="94"/>
      <c r="N3" s="89"/>
      <c r="O3" s="94"/>
      <c r="P3" s="94"/>
      <c r="Q3" s="94"/>
      <c r="R3" s="94"/>
      <c r="S3" s="94"/>
      <c r="T3" s="94"/>
      <c r="U3" s="92"/>
    </row>
    <row r="4" spans="1:22" ht="15.75">
      <c r="A4" s="107" t="s">
        <v>98</v>
      </c>
      <c r="B4" s="107" t="s">
        <v>99</v>
      </c>
      <c r="C4" s="107" t="s">
        <v>100</v>
      </c>
      <c r="D4" s="95" t="s">
        <v>101</v>
      </c>
      <c r="E4" s="95" t="s">
        <v>990</v>
      </c>
      <c r="F4" s="122" t="s">
        <v>991</v>
      </c>
      <c r="G4" s="98" t="s">
        <v>105</v>
      </c>
      <c r="H4" s="96" t="s">
        <v>2</v>
      </c>
      <c r="I4" s="97" t="s">
        <v>3</v>
      </c>
      <c r="J4" s="122" t="s">
        <v>4</v>
      </c>
      <c r="K4" s="122" t="s">
        <v>991</v>
      </c>
      <c r="L4" s="128" t="s">
        <v>992</v>
      </c>
      <c r="M4" s="122" t="s">
        <v>105</v>
      </c>
      <c r="N4" s="98" t="s">
        <v>263</v>
      </c>
      <c r="O4" s="99" t="s">
        <v>106</v>
      </c>
      <c r="P4" s="100" t="s">
        <v>107</v>
      </c>
      <c r="Q4" s="101" t="s">
        <v>108</v>
      </c>
      <c r="R4" s="102" t="s">
        <v>109</v>
      </c>
      <c r="S4" s="103" t="s">
        <v>110</v>
      </c>
      <c r="T4" s="104" t="s">
        <v>111</v>
      </c>
      <c r="U4" s="75" t="s">
        <v>993</v>
      </c>
      <c r="V4" s="494" t="s">
        <v>994</v>
      </c>
    </row>
    <row r="5" spans="1:22" ht="18.75" hidden="1">
      <c r="A5" s="107"/>
      <c r="B5" s="107"/>
      <c r="C5" s="107"/>
      <c r="D5" s="116" t="s">
        <v>164</v>
      </c>
      <c r="E5" s="116"/>
      <c r="F5" s="116"/>
      <c r="G5" s="116"/>
      <c r="H5" s="116" t="s">
        <v>995</v>
      </c>
      <c r="I5" s="116" t="s">
        <v>995</v>
      </c>
      <c r="J5" s="123" t="s">
        <v>995</v>
      </c>
      <c r="K5" s="126"/>
      <c r="L5" s="126"/>
      <c r="M5" s="122"/>
      <c r="N5" s="98"/>
      <c r="O5" s="99"/>
      <c r="P5" s="100"/>
      <c r="Q5" s="101"/>
      <c r="R5" s="102"/>
      <c r="S5" s="103"/>
      <c r="T5" s="104"/>
      <c r="U5" s="75"/>
      <c r="V5"/>
    </row>
    <row r="6" spans="1:22" ht="18.75" hidden="1">
      <c r="A6" s="76" t="s">
        <v>286</v>
      </c>
      <c r="B6" s="76">
        <v>1</v>
      </c>
      <c r="C6" s="76" t="s">
        <v>164</v>
      </c>
      <c r="D6" s="117" t="s">
        <v>996</v>
      </c>
      <c r="E6" s="117"/>
      <c r="F6" s="488" t="s">
        <v>115</v>
      </c>
      <c r="G6" s="488" t="s">
        <v>997</v>
      </c>
      <c r="H6" s="118">
        <v>10700</v>
      </c>
      <c r="I6" s="119">
        <v>1999</v>
      </c>
      <c r="J6" s="124" t="s">
        <v>14</v>
      </c>
      <c r="K6" s="124" t="s">
        <v>998</v>
      </c>
      <c r="L6" s="129"/>
      <c r="M6" s="80"/>
      <c r="N6" s="80"/>
      <c r="O6" s="81"/>
      <c r="P6" s="82"/>
      <c r="Q6" s="83"/>
      <c r="R6" s="84" t="s">
        <v>117</v>
      </c>
      <c r="S6" s="85"/>
      <c r="T6" s="86"/>
      <c r="U6" s="493" t="s">
        <v>999</v>
      </c>
      <c r="V6" s="492" t="s">
        <v>1000</v>
      </c>
    </row>
    <row r="7" spans="1:22" ht="18.75" hidden="1">
      <c r="A7" s="76" t="s">
        <v>286</v>
      </c>
      <c r="B7" s="76">
        <v>2</v>
      </c>
      <c r="C7" s="76" t="s">
        <v>164</v>
      </c>
      <c r="D7" s="117" t="s">
        <v>1001</v>
      </c>
      <c r="E7" s="117"/>
      <c r="F7" s="488" t="s">
        <v>115</v>
      </c>
      <c r="G7" s="488" t="s">
        <v>997</v>
      </c>
      <c r="H7" s="118">
        <v>11393</v>
      </c>
      <c r="I7" s="119">
        <v>2013</v>
      </c>
      <c r="J7" s="124" t="s">
        <v>14</v>
      </c>
      <c r="K7" s="124" t="s">
        <v>998</v>
      </c>
      <c r="L7" s="129"/>
      <c r="M7" s="80"/>
      <c r="N7" s="80"/>
      <c r="O7" s="81"/>
      <c r="P7" s="82"/>
      <c r="Q7" s="83" t="s">
        <v>117</v>
      </c>
      <c r="R7" s="84"/>
      <c r="S7" s="85"/>
      <c r="T7" s="86"/>
      <c r="U7" s="493" t="s">
        <v>1002</v>
      </c>
      <c r="V7" s="492" t="s">
        <v>1003</v>
      </c>
    </row>
    <row r="8" spans="1:22" ht="30" hidden="1">
      <c r="A8" s="76" t="s">
        <v>286</v>
      </c>
      <c r="B8" s="76">
        <v>3</v>
      </c>
      <c r="C8" s="76" t="s">
        <v>164</v>
      </c>
      <c r="D8" s="489" t="s">
        <v>1004</v>
      </c>
      <c r="E8" s="117"/>
      <c r="F8" s="488" t="s">
        <v>115</v>
      </c>
      <c r="G8" s="488" t="s">
        <v>997</v>
      </c>
      <c r="H8" s="490">
        <v>3071</v>
      </c>
      <c r="I8" s="491">
        <v>1981</v>
      </c>
      <c r="J8" s="124" t="s">
        <v>47</v>
      </c>
      <c r="K8" s="124" t="s">
        <v>998</v>
      </c>
      <c r="L8" s="129"/>
      <c r="M8" s="80"/>
      <c r="N8" s="80"/>
      <c r="O8" s="81"/>
      <c r="P8" s="82" t="s">
        <v>117</v>
      </c>
      <c r="Q8" s="83"/>
      <c r="R8" s="84"/>
      <c r="S8" s="85"/>
      <c r="T8" s="86"/>
      <c r="U8" s="493" t="s">
        <v>1005</v>
      </c>
      <c r="V8" s="492" t="s">
        <v>1006</v>
      </c>
    </row>
    <row r="9" spans="1:22" ht="18.75" hidden="1">
      <c r="A9" s="76" t="s">
        <v>286</v>
      </c>
      <c r="B9" s="76">
        <v>4</v>
      </c>
      <c r="C9" s="76" t="s">
        <v>164</v>
      </c>
      <c r="D9" s="117" t="s">
        <v>1007</v>
      </c>
      <c r="E9" s="117"/>
      <c r="F9" s="488" t="s">
        <v>115</v>
      </c>
      <c r="G9" s="488" t="s">
        <v>997</v>
      </c>
      <c r="H9" s="118">
        <v>3144</v>
      </c>
      <c r="I9" s="119">
        <v>2023</v>
      </c>
      <c r="J9" s="124" t="s">
        <v>19</v>
      </c>
      <c r="K9" s="124" t="s">
        <v>998</v>
      </c>
      <c r="L9" s="129"/>
      <c r="M9" s="80"/>
      <c r="N9" s="80"/>
      <c r="O9" s="81"/>
      <c r="P9" s="82"/>
      <c r="Q9" s="83"/>
      <c r="R9" s="84"/>
      <c r="S9" s="85"/>
      <c r="T9" s="86" t="s">
        <v>117</v>
      </c>
      <c r="U9" s="493"/>
      <c r="V9" s="492" t="s">
        <v>1008</v>
      </c>
    </row>
    <row r="10" spans="1:22" ht="18.75" hidden="1">
      <c r="A10" s="76" t="s">
        <v>286</v>
      </c>
      <c r="B10" s="76">
        <v>5</v>
      </c>
      <c r="C10" s="76" t="s">
        <v>164</v>
      </c>
      <c r="D10" s="117" t="s">
        <v>1009</v>
      </c>
      <c r="E10" s="117"/>
      <c r="F10" s="488" t="s">
        <v>115</v>
      </c>
      <c r="G10" s="488" t="s">
        <v>997</v>
      </c>
      <c r="H10" s="118">
        <v>10836</v>
      </c>
      <c r="I10" s="119">
        <v>2005</v>
      </c>
      <c r="J10" s="124" t="s">
        <v>19</v>
      </c>
      <c r="K10" s="124" t="s">
        <v>998</v>
      </c>
      <c r="L10" s="129"/>
      <c r="M10" s="80"/>
      <c r="N10" s="80"/>
      <c r="O10" s="81"/>
      <c r="P10" s="82"/>
      <c r="Q10" s="83"/>
      <c r="R10" s="84"/>
      <c r="S10" s="85" t="s">
        <v>117</v>
      </c>
      <c r="T10" s="86"/>
      <c r="U10" s="493" t="s">
        <v>1010</v>
      </c>
      <c r="V10" s="492" t="s">
        <v>1011</v>
      </c>
    </row>
    <row r="11" spans="1:22" ht="18.75" hidden="1">
      <c r="A11" s="76" t="s">
        <v>286</v>
      </c>
      <c r="B11" s="76">
        <v>6</v>
      </c>
      <c r="C11" s="76" t="s">
        <v>164</v>
      </c>
      <c r="D11" s="117" t="s">
        <v>1012</v>
      </c>
      <c r="E11" s="117"/>
      <c r="F11" s="488" t="s">
        <v>115</v>
      </c>
      <c r="G11" s="488" t="s">
        <v>997</v>
      </c>
      <c r="H11" s="118">
        <v>11243</v>
      </c>
      <c r="I11" s="119">
        <v>2003</v>
      </c>
      <c r="J11" s="124" t="s">
        <v>14</v>
      </c>
      <c r="K11" s="124" t="s">
        <v>998</v>
      </c>
      <c r="L11" s="129"/>
      <c r="M11" s="80"/>
      <c r="N11" s="80"/>
      <c r="O11" s="81"/>
      <c r="P11" s="82" t="s">
        <v>117</v>
      </c>
      <c r="Q11" s="83"/>
      <c r="R11" s="84"/>
      <c r="S11" s="85"/>
      <c r="T11" s="86"/>
      <c r="U11" s="493" t="s">
        <v>1013</v>
      </c>
      <c r="V11" s="492" t="s">
        <v>1014</v>
      </c>
    </row>
    <row r="12" spans="1:22" ht="30" hidden="1">
      <c r="A12" s="76" t="s">
        <v>286</v>
      </c>
      <c r="B12" s="76">
        <v>7</v>
      </c>
      <c r="C12" s="76" t="s">
        <v>164</v>
      </c>
      <c r="D12" s="117" t="s">
        <v>1015</v>
      </c>
      <c r="E12" s="117"/>
      <c r="F12" s="488" t="s">
        <v>115</v>
      </c>
      <c r="G12" s="488" t="s">
        <v>997</v>
      </c>
      <c r="H12" s="118">
        <v>10820</v>
      </c>
      <c r="I12" s="119">
        <v>2004</v>
      </c>
      <c r="J12" s="124" t="s">
        <v>47</v>
      </c>
      <c r="K12" s="124" t="s">
        <v>998</v>
      </c>
      <c r="L12" s="129"/>
      <c r="M12" s="80"/>
      <c r="N12" s="80"/>
      <c r="O12" s="81"/>
      <c r="P12" s="82" t="s">
        <v>117</v>
      </c>
      <c r="Q12" s="83"/>
      <c r="R12" s="84"/>
      <c r="S12" s="85"/>
      <c r="T12" s="86"/>
      <c r="U12" s="493" t="s">
        <v>1016</v>
      </c>
      <c r="V12" s="492" t="s">
        <v>1017</v>
      </c>
    </row>
    <row r="13" spans="1:22" ht="18.75" hidden="1">
      <c r="A13" s="76" t="s">
        <v>286</v>
      </c>
      <c r="B13" s="76">
        <v>8</v>
      </c>
      <c r="C13" s="76" t="s">
        <v>164</v>
      </c>
      <c r="D13" s="117" t="s">
        <v>1018</v>
      </c>
      <c r="E13" s="117"/>
      <c r="F13" s="488" t="s">
        <v>115</v>
      </c>
      <c r="G13" s="488" t="s">
        <v>997</v>
      </c>
      <c r="H13" s="118">
        <v>11388</v>
      </c>
      <c r="I13" s="119">
        <v>2009</v>
      </c>
      <c r="J13" s="124" t="s">
        <v>19</v>
      </c>
      <c r="K13" s="124" t="s">
        <v>998</v>
      </c>
      <c r="L13" s="129"/>
      <c r="M13" s="80"/>
      <c r="N13" s="80"/>
      <c r="O13" s="81"/>
      <c r="P13" s="82"/>
      <c r="Q13" s="83"/>
      <c r="R13" s="84" t="s">
        <v>117</v>
      </c>
      <c r="S13" s="85"/>
      <c r="T13" s="86"/>
      <c r="U13" s="493" t="s">
        <v>1019</v>
      </c>
      <c r="V13" s="492" t="s">
        <v>1011</v>
      </c>
    </row>
    <row r="14" spans="1:22" ht="18.75" hidden="1">
      <c r="A14" s="76" t="s">
        <v>286</v>
      </c>
      <c r="B14" s="76">
        <v>9</v>
      </c>
      <c r="C14" s="76" t="s">
        <v>164</v>
      </c>
      <c r="D14" s="117" t="s">
        <v>1020</v>
      </c>
      <c r="E14" s="117"/>
      <c r="F14" s="488" t="s">
        <v>115</v>
      </c>
      <c r="G14" s="488" t="s">
        <v>997</v>
      </c>
      <c r="H14" s="118">
        <v>10699</v>
      </c>
      <c r="I14" s="119">
        <v>1999</v>
      </c>
      <c r="J14" s="124" t="s">
        <v>19</v>
      </c>
      <c r="K14" s="124" t="s">
        <v>998</v>
      </c>
      <c r="L14" s="129"/>
      <c r="M14" s="80"/>
      <c r="N14" s="80"/>
      <c r="O14" s="81"/>
      <c r="P14" s="82"/>
      <c r="Q14" s="83"/>
      <c r="R14" s="84"/>
      <c r="S14" s="85" t="s">
        <v>117</v>
      </c>
      <c r="T14" s="86"/>
      <c r="U14" s="493"/>
      <c r="V14" s="492" t="s">
        <v>1011</v>
      </c>
    </row>
    <row r="15" spans="1:22" ht="18.75" hidden="1">
      <c r="A15" s="76" t="s">
        <v>286</v>
      </c>
      <c r="B15" s="76">
        <v>10</v>
      </c>
      <c r="C15" s="76" t="s">
        <v>164</v>
      </c>
      <c r="D15" s="117" t="s">
        <v>1021</v>
      </c>
      <c r="E15" s="117"/>
      <c r="F15" s="488" t="s">
        <v>115</v>
      </c>
      <c r="G15" s="488" t="s">
        <v>997</v>
      </c>
      <c r="H15" s="118">
        <v>10174</v>
      </c>
      <c r="I15" s="119">
        <v>1995</v>
      </c>
      <c r="J15" s="124" t="s">
        <v>14</v>
      </c>
      <c r="K15" s="124" t="s">
        <v>998</v>
      </c>
      <c r="L15" s="129"/>
      <c r="M15" s="80"/>
      <c r="N15" s="80"/>
      <c r="O15" s="81"/>
      <c r="P15" s="82"/>
      <c r="Q15" s="83"/>
      <c r="R15" s="84"/>
      <c r="S15" s="85"/>
      <c r="T15" s="86" t="s">
        <v>117</v>
      </c>
      <c r="U15" s="493"/>
      <c r="V15" s="492" t="s">
        <v>1022</v>
      </c>
    </row>
    <row r="16" spans="1:22" ht="18.75" hidden="1">
      <c r="A16" s="76" t="s">
        <v>286</v>
      </c>
      <c r="B16" s="76">
        <v>11</v>
      </c>
      <c r="C16" s="76" t="s">
        <v>164</v>
      </c>
      <c r="D16" s="117" t="s">
        <v>1023</v>
      </c>
      <c r="E16" s="117"/>
      <c r="F16" s="488" t="s">
        <v>115</v>
      </c>
      <c r="G16" s="488" t="s">
        <v>997</v>
      </c>
      <c r="H16" s="118">
        <v>11313</v>
      </c>
      <c r="I16" s="119">
        <v>2009</v>
      </c>
      <c r="J16" s="124" t="s">
        <v>14</v>
      </c>
      <c r="K16" s="124" t="s">
        <v>998</v>
      </c>
      <c r="L16" s="129"/>
      <c r="M16" s="80"/>
      <c r="N16" s="80"/>
      <c r="O16" s="81"/>
      <c r="P16" s="82"/>
      <c r="Q16" s="83"/>
      <c r="R16" s="84" t="s">
        <v>117</v>
      </c>
      <c r="S16" s="85"/>
      <c r="T16" s="86"/>
      <c r="U16" s="493" t="s">
        <v>1024</v>
      </c>
      <c r="V16" s="492" t="s">
        <v>1000</v>
      </c>
    </row>
    <row r="17" spans="1:22" ht="18.75" hidden="1">
      <c r="A17" s="76" t="s">
        <v>286</v>
      </c>
      <c r="B17" s="76">
        <v>12</v>
      </c>
      <c r="C17" s="76" t="s">
        <v>164</v>
      </c>
      <c r="D17" s="117" t="s">
        <v>1025</v>
      </c>
      <c r="E17" s="117"/>
      <c r="F17" s="488" t="s">
        <v>115</v>
      </c>
      <c r="G17" s="488" t="s">
        <v>997</v>
      </c>
      <c r="H17" s="118">
        <v>10853</v>
      </c>
      <c r="I17" s="119">
        <v>2006</v>
      </c>
      <c r="J17" s="124" t="s">
        <v>14</v>
      </c>
      <c r="K17" s="124" t="s">
        <v>998</v>
      </c>
      <c r="L17" s="129"/>
      <c r="M17" s="80"/>
      <c r="N17" s="80"/>
      <c r="O17" s="81"/>
      <c r="P17" s="82"/>
      <c r="Q17" s="83"/>
      <c r="R17" s="84"/>
      <c r="S17" s="85" t="s">
        <v>117</v>
      </c>
      <c r="T17" s="86"/>
      <c r="U17" s="493"/>
      <c r="V17" s="492" t="s">
        <v>1011</v>
      </c>
    </row>
    <row r="18" spans="1:22" ht="18.75" hidden="1">
      <c r="A18" s="76" t="s">
        <v>286</v>
      </c>
      <c r="B18" s="76">
        <v>13</v>
      </c>
      <c r="C18" s="76" t="s">
        <v>164</v>
      </c>
      <c r="D18" s="117" t="s">
        <v>1026</v>
      </c>
      <c r="E18" s="117"/>
      <c r="F18" s="488" t="s">
        <v>115</v>
      </c>
      <c r="G18" s="488" t="s">
        <v>997</v>
      </c>
      <c r="H18" s="118" t="s">
        <v>133</v>
      </c>
      <c r="I18" s="119">
        <v>2006</v>
      </c>
      <c r="J18" s="124" t="s">
        <v>19</v>
      </c>
      <c r="K18" s="124" t="s">
        <v>998</v>
      </c>
      <c r="L18" s="129"/>
      <c r="M18" s="80"/>
      <c r="N18" s="80"/>
      <c r="O18" s="81"/>
      <c r="P18" s="82"/>
      <c r="Q18" s="83"/>
      <c r="R18" s="84"/>
      <c r="S18" s="85"/>
      <c r="T18" s="86" t="s">
        <v>117</v>
      </c>
      <c r="U18" s="493" t="s">
        <v>1027</v>
      </c>
      <c r="V18" s="492" t="s">
        <v>1028</v>
      </c>
    </row>
    <row r="19" spans="1:22" ht="18.75" hidden="1">
      <c r="A19" s="76" t="s">
        <v>286</v>
      </c>
      <c r="B19" s="76">
        <v>14</v>
      </c>
      <c r="C19" s="76" t="s">
        <v>164</v>
      </c>
      <c r="D19" s="117" t="s">
        <v>1029</v>
      </c>
      <c r="E19" s="117"/>
      <c r="F19" s="488" t="s">
        <v>1030</v>
      </c>
      <c r="G19" s="488" t="s">
        <v>997</v>
      </c>
      <c r="H19" s="118">
        <v>11559</v>
      </c>
      <c r="I19" s="119">
        <v>2018</v>
      </c>
      <c r="J19" s="124" t="s">
        <v>253</v>
      </c>
      <c r="K19" s="124" t="s">
        <v>457</v>
      </c>
      <c r="L19" s="129"/>
      <c r="M19" s="80"/>
      <c r="N19" s="80"/>
      <c r="O19" s="81"/>
      <c r="P19" s="82"/>
      <c r="Q19" s="83"/>
      <c r="R19" s="84"/>
      <c r="S19" s="85"/>
      <c r="T19" s="86"/>
      <c r="U19" s="493" t="s">
        <v>1031</v>
      </c>
      <c r="V19" s="492"/>
    </row>
    <row r="20" spans="1:22" ht="18.75" hidden="1">
      <c r="A20" s="76" t="s">
        <v>286</v>
      </c>
      <c r="B20" s="76">
        <v>15</v>
      </c>
      <c r="C20" s="76" t="s">
        <v>164</v>
      </c>
      <c r="D20" s="117" t="s">
        <v>1032</v>
      </c>
      <c r="E20" s="117"/>
      <c r="F20" s="488" t="s">
        <v>1030</v>
      </c>
      <c r="G20" s="488" t="s">
        <v>997</v>
      </c>
      <c r="H20" s="118">
        <v>11633</v>
      </c>
      <c r="I20" s="119">
        <v>2019</v>
      </c>
      <c r="J20" s="124" t="s">
        <v>253</v>
      </c>
      <c r="K20" s="124" t="s">
        <v>457</v>
      </c>
      <c r="L20" s="129"/>
      <c r="M20" s="80"/>
      <c r="N20" s="80"/>
      <c r="O20" s="81"/>
      <c r="P20" s="82"/>
      <c r="Q20" s="83"/>
      <c r="R20" s="84"/>
      <c r="S20" s="85"/>
      <c r="T20" s="86"/>
      <c r="U20" s="493" t="s">
        <v>1031</v>
      </c>
      <c r="V20" s="492"/>
    </row>
    <row r="21" spans="1:22" ht="18.75" hidden="1">
      <c r="A21" s="76" t="s">
        <v>286</v>
      </c>
      <c r="B21" s="76">
        <v>16</v>
      </c>
      <c r="C21" s="76" t="s">
        <v>164</v>
      </c>
      <c r="D21" s="117" t="s">
        <v>1033</v>
      </c>
      <c r="E21" s="117"/>
      <c r="F21" s="488" t="s">
        <v>115</v>
      </c>
      <c r="G21" s="488" t="s">
        <v>997</v>
      </c>
      <c r="H21" s="118">
        <v>3110</v>
      </c>
      <c r="I21" s="119">
        <v>2022</v>
      </c>
      <c r="J21" s="124" t="s">
        <v>19</v>
      </c>
      <c r="K21" s="124" t="s">
        <v>998</v>
      </c>
      <c r="L21" s="129"/>
      <c r="M21" s="80"/>
      <c r="N21" s="80"/>
      <c r="O21" s="81"/>
      <c r="P21" s="82"/>
      <c r="Q21" s="83"/>
      <c r="R21" s="84"/>
      <c r="S21" s="85"/>
      <c r="T21" s="86" t="s">
        <v>117</v>
      </c>
      <c r="U21" s="493"/>
      <c r="V21" s="500" t="s">
        <v>1011</v>
      </c>
    </row>
    <row r="22" spans="1:22" ht="18.75" hidden="1">
      <c r="A22" s="76" t="s">
        <v>286</v>
      </c>
      <c r="B22" s="76"/>
      <c r="C22" s="76" t="s">
        <v>164</v>
      </c>
      <c r="D22" s="117" t="s">
        <v>1034</v>
      </c>
      <c r="E22" s="117"/>
      <c r="F22" s="488" t="s">
        <v>115</v>
      </c>
      <c r="G22" s="488" t="s">
        <v>1035</v>
      </c>
      <c r="H22" s="118">
        <v>11664</v>
      </c>
      <c r="I22" s="119" t="s">
        <v>390</v>
      </c>
      <c r="J22" s="124"/>
      <c r="K22" s="124"/>
      <c r="L22" s="129"/>
      <c r="M22" s="80"/>
      <c r="N22" s="80"/>
      <c r="O22" s="81"/>
      <c r="P22" s="82" t="s">
        <v>117</v>
      </c>
      <c r="Q22" s="83"/>
      <c r="R22" s="84"/>
      <c r="S22" s="85"/>
      <c r="T22" s="86"/>
      <c r="U22" s="493"/>
      <c r="V22" s="492" t="s">
        <v>1036</v>
      </c>
    </row>
    <row r="23" spans="1:22" ht="18.75" hidden="1">
      <c r="A23" s="76" t="s">
        <v>286</v>
      </c>
      <c r="B23" s="76"/>
      <c r="C23" s="76" t="s">
        <v>164</v>
      </c>
      <c r="D23" s="117" t="s">
        <v>1034</v>
      </c>
      <c r="E23" s="117"/>
      <c r="F23" s="488" t="s">
        <v>115</v>
      </c>
      <c r="G23" s="488" t="s">
        <v>1035</v>
      </c>
      <c r="H23" s="118" t="s">
        <v>1037</v>
      </c>
      <c r="I23" s="119">
        <v>2026</v>
      </c>
      <c r="J23" s="124"/>
      <c r="K23" s="124"/>
      <c r="L23" s="129"/>
      <c r="M23" s="80"/>
      <c r="N23" s="80"/>
      <c r="O23" s="81"/>
      <c r="P23" s="82"/>
      <c r="Q23" s="83"/>
      <c r="R23" s="84"/>
      <c r="S23" s="85"/>
      <c r="T23" s="86" t="s">
        <v>117</v>
      </c>
      <c r="U23" s="493"/>
      <c r="V23" s="492" t="s">
        <v>1038</v>
      </c>
    </row>
    <row r="24" spans="1:22" ht="18.75" hidden="1">
      <c r="A24" s="76"/>
      <c r="B24" s="76"/>
      <c r="C24" s="76"/>
      <c r="D24" s="116" t="s">
        <v>1039</v>
      </c>
      <c r="E24" s="116"/>
      <c r="F24" s="116"/>
      <c r="G24" s="116"/>
      <c r="H24" s="116" t="s">
        <v>995</v>
      </c>
      <c r="I24" s="116" t="s">
        <v>995</v>
      </c>
      <c r="J24" s="123"/>
      <c r="K24" s="123"/>
      <c r="L24" s="129"/>
      <c r="M24" s="80"/>
      <c r="N24" s="80"/>
      <c r="O24" s="81"/>
      <c r="P24" s="82"/>
      <c r="Q24" s="83"/>
      <c r="R24" s="84"/>
      <c r="S24" s="85"/>
      <c r="T24" s="86" t="s">
        <v>117</v>
      </c>
      <c r="U24" s="493" t="s">
        <v>1040</v>
      </c>
      <c r="V24" s="492"/>
    </row>
    <row r="25" spans="1:22" ht="18.75">
      <c r="A25" s="76" t="s">
        <v>286</v>
      </c>
      <c r="B25" s="76">
        <v>17</v>
      </c>
      <c r="C25" s="76" t="s">
        <v>113</v>
      </c>
      <c r="D25" s="117" t="s">
        <v>1041</v>
      </c>
      <c r="E25" s="117" t="s">
        <v>1039</v>
      </c>
      <c r="F25" s="498" t="s">
        <v>998</v>
      </c>
      <c r="G25" s="497">
        <v>46174</v>
      </c>
      <c r="H25" s="118">
        <v>10792</v>
      </c>
      <c r="I25" s="119">
        <v>2004</v>
      </c>
      <c r="J25" s="124" t="s">
        <v>19</v>
      </c>
      <c r="K25" s="124" t="s">
        <v>998</v>
      </c>
      <c r="L25" s="129"/>
      <c r="M25" s="80"/>
      <c r="N25" s="80"/>
      <c r="O25" s="81"/>
      <c r="P25" s="82"/>
      <c r="Q25" s="83"/>
      <c r="R25" s="84" t="s">
        <v>117</v>
      </c>
      <c r="S25" s="85"/>
      <c r="T25" s="86"/>
      <c r="U25" s="493"/>
      <c r="V25" s="496" t="s">
        <v>1042</v>
      </c>
    </row>
    <row r="26" spans="1:22" ht="18.75">
      <c r="A26" s="76" t="s">
        <v>286</v>
      </c>
      <c r="B26" s="76">
        <v>18</v>
      </c>
      <c r="C26" s="76" t="s">
        <v>113</v>
      </c>
      <c r="D26" s="117" t="s">
        <v>1043</v>
      </c>
      <c r="E26" s="117" t="s">
        <v>1039</v>
      </c>
      <c r="F26" s="498" t="s">
        <v>998</v>
      </c>
      <c r="G26" s="497">
        <v>46174</v>
      </c>
      <c r="H26" s="118">
        <v>10872</v>
      </c>
      <c r="I26" s="119">
        <v>2003</v>
      </c>
      <c r="J26" s="124" t="s">
        <v>19</v>
      </c>
      <c r="K26" s="124" t="s">
        <v>998</v>
      </c>
      <c r="L26" s="129"/>
      <c r="M26" s="80"/>
      <c r="N26" s="80"/>
      <c r="O26" s="81"/>
      <c r="P26" s="82"/>
      <c r="Q26" s="83"/>
      <c r="R26" s="84" t="s">
        <v>117</v>
      </c>
      <c r="S26" s="85"/>
      <c r="T26" s="86"/>
      <c r="U26" s="493" t="s">
        <v>1044</v>
      </c>
      <c r="V26" s="495"/>
    </row>
    <row r="27" spans="1:22" ht="18.75">
      <c r="A27" s="76" t="s">
        <v>286</v>
      </c>
      <c r="B27" s="76">
        <v>19</v>
      </c>
      <c r="C27" s="76" t="s">
        <v>113</v>
      </c>
      <c r="D27" s="117" t="s">
        <v>1045</v>
      </c>
      <c r="E27" s="117" t="s">
        <v>1039</v>
      </c>
      <c r="F27" s="498" t="s">
        <v>998</v>
      </c>
      <c r="G27" s="497">
        <v>46174</v>
      </c>
      <c r="H27" s="118">
        <v>10534</v>
      </c>
      <c r="I27" s="119">
        <v>2003</v>
      </c>
      <c r="J27" s="124" t="s">
        <v>19</v>
      </c>
      <c r="K27" s="124" t="s">
        <v>998</v>
      </c>
      <c r="L27" s="129"/>
      <c r="M27" s="80"/>
      <c r="N27" s="80"/>
      <c r="O27" s="81"/>
      <c r="P27" s="82"/>
      <c r="Q27" s="83"/>
      <c r="R27" s="84" t="s">
        <v>117</v>
      </c>
      <c r="S27" s="85"/>
      <c r="T27" s="86"/>
      <c r="U27" s="493" t="s">
        <v>1046</v>
      </c>
      <c r="V27" s="495" t="s">
        <v>1047</v>
      </c>
    </row>
    <row r="28" spans="1:22" ht="18.75">
      <c r="A28" s="76" t="s">
        <v>286</v>
      </c>
      <c r="B28" s="76">
        <v>20</v>
      </c>
      <c r="C28" s="76" t="s">
        <v>113</v>
      </c>
      <c r="D28" s="117" t="s">
        <v>1048</v>
      </c>
      <c r="E28" s="117" t="s">
        <v>1039</v>
      </c>
      <c r="F28" s="498" t="s">
        <v>998</v>
      </c>
      <c r="G28" s="497">
        <v>46174</v>
      </c>
      <c r="H28" s="118">
        <v>11416</v>
      </c>
      <c r="I28" s="119">
        <v>2015</v>
      </c>
      <c r="J28" s="124" t="s">
        <v>19</v>
      </c>
      <c r="K28" s="124" t="s">
        <v>998</v>
      </c>
      <c r="L28" s="129"/>
      <c r="M28" s="80"/>
      <c r="N28" s="80"/>
      <c r="O28" s="81"/>
      <c r="P28" s="82"/>
      <c r="Q28" s="83"/>
      <c r="R28" s="84"/>
      <c r="S28" s="85" t="s">
        <v>117</v>
      </c>
      <c r="T28" s="86"/>
      <c r="U28" s="493" t="s">
        <v>1040</v>
      </c>
      <c r="V28" s="495"/>
    </row>
    <row r="29" spans="1:22" ht="18.75">
      <c r="A29" s="76" t="s">
        <v>286</v>
      </c>
      <c r="B29" s="76">
        <v>21</v>
      </c>
      <c r="C29" s="76" t="s">
        <v>113</v>
      </c>
      <c r="D29" s="117" t="s">
        <v>1049</v>
      </c>
      <c r="E29" s="117" t="s">
        <v>1039</v>
      </c>
      <c r="F29" s="498" t="s">
        <v>998</v>
      </c>
      <c r="G29" s="497">
        <v>46174</v>
      </c>
      <c r="H29" s="118" t="s">
        <v>995</v>
      </c>
      <c r="I29" s="119" t="s">
        <v>995</v>
      </c>
      <c r="J29" s="124" t="s">
        <v>19</v>
      </c>
      <c r="K29" s="124" t="s">
        <v>998</v>
      </c>
      <c r="L29" s="129"/>
      <c r="M29" s="80"/>
      <c r="N29" s="80"/>
      <c r="O29" s="81" t="s">
        <v>117</v>
      </c>
      <c r="P29" s="82"/>
      <c r="Q29" s="83"/>
      <c r="R29" s="84"/>
      <c r="S29" s="85"/>
      <c r="T29" s="86"/>
      <c r="U29" s="493" t="s">
        <v>1050</v>
      </c>
      <c r="V29" s="495" t="s">
        <v>1051</v>
      </c>
    </row>
    <row r="30" spans="1:22" ht="18.75">
      <c r="A30" s="76" t="s">
        <v>286</v>
      </c>
      <c r="B30" s="76">
        <v>22</v>
      </c>
      <c r="C30" s="76" t="s">
        <v>113</v>
      </c>
      <c r="D30" s="117" t="s">
        <v>1052</v>
      </c>
      <c r="E30" s="117" t="s">
        <v>1039</v>
      </c>
      <c r="F30" s="498" t="s">
        <v>998</v>
      </c>
      <c r="G30" s="497">
        <v>46174</v>
      </c>
      <c r="H30" s="118">
        <v>10781</v>
      </c>
      <c r="I30" s="119">
        <v>2003</v>
      </c>
      <c r="J30" s="124" t="s">
        <v>1053</v>
      </c>
      <c r="K30" s="124" t="s">
        <v>998</v>
      </c>
      <c r="L30" s="129"/>
      <c r="M30" s="80"/>
      <c r="N30" s="80"/>
      <c r="O30" s="81"/>
      <c r="P30" s="82" t="s">
        <v>117</v>
      </c>
      <c r="Q30" s="83"/>
      <c r="R30" s="84"/>
      <c r="S30" s="85"/>
      <c r="T30" s="86"/>
      <c r="U30" s="493"/>
      <c r="V30" s="495" t="s">
        <v>1054</v>
      </c>
    </row>
    <row r="31" spans="1:22" ht="18.75">
      <c r="A31" s="76" t="s">
        <v>286</v>
      </c>
      <c r="B31" s="76">
        <v>23</v>
      </c>
      <c r="C31" s="76" t="s">
        <v>113</v>
      </c>
      <c r="D31" s="117" t="s">
        <v>1055</v>
      </c>
      <c r="E31" s="117" t="s">
        <v>1039</v>
      </c>
      <c r="F31" s="498" t="s">
        <v>998</v>
      </c>
      <c r="G31" s="497">
        <v>46174</v>
      </c>
      <c r="H31" s="118">
        <v>10507</v>
      </c>
      <c r="I31" s="119">
        <v>2002</v>
      </c>
      <c r="J31" s="124" t="s">
        <v>19</v>
      </c>
      <c r="K31" s="124" t="s">
        <v>998</v>
      </c>
      <c r="L31" s="129"/>
      <c r="M31" s="80"/>
      <c r="N31" s="80"/>
      <c r="O31" s="81"/>
      <c r="P31" s="82" t="s">
        <v>117</v>
      </c>
      <c r="Q31" s="83"/>
      <c r="R31" s="84"/>
      <c r="S31" s="85"/>
      <c r="T31" s="86"/>
      <c r="U31" s="493"/>
      <c r="V31" s="496" t="s">
        <v>1056</v>
      </c>
    </row>
    <row r="32" spans="1:22" ht="18.75">
      <c r="A32" s="76" t="s">
        <v>286</v>
      </c>
      <c r="B32" s="76">
        <v>24</v>
      </c>
      <c r="C32" s="76" t="s">
        <v>113</v>
      </c>
      <c r="D32" s="117" t="s">
        <v>1057</v>
      </c>
      <c r="E32" s="117" t="s">
        <v>1039</v>
      </c>
      <c r="F32" s="498" t="s">
        <v>998</v>
      </c>
      <c r="G32" s="497">
        <v>46174</v>
      </c>
      <c r="H32" s="118">
        <v>10832</v>
      </c>
      <c r="I32" s="119">
        <v>2005</v>
      </c>
      <c r="J32" s="124" t="s">
        <v>19</v>
      </c>
      <c r="K32" s="124" t="s">
        <v>998</v>
      </c>
      <c r="L32" s="129"/>
      <c r="M32" s="80"/>
      <c r="N32" s="80"/>
      <c r="O32" s="81"/>
      <c r="P32" s="82"/>
      <c r="Q32" s="83"/>
      <c r="R32" s="84"/>
      <c r="S32" s="85" t="s">
        <v>117</v>
      </c>
      <c r="T32" s="86"/>
      <c r="U32" s="493"/>
      <c r="V32" s="495"/>
    </row>
    <row r="33" spans="1:22" ht="18.75">
      <c r="A33" s="76" t="s">
        <v>286</v>
      </c>
      <c r="B33" s="76">
        <v>25</v>
      </c>
      <c r="C33" s="76" t="s">
        <v>113</v>
      </c>
      <c r="D33" s="117" t="s">
        <v>1058</v>
      </c>
      <c r="E33" s="117" t="s">
        <v>1039</v>
      </c>
      <c r="F33" s="498" t="s">
        <v>998</v>
      </c>
      <c r="G33" s="497">
        <v>46174</v>
      </c>
      <c r="H33" s="118">
        <v>11377</v>
      </c>
      <c r="I33" s="119">
        <v>2013</v>
      </c>
      <c r="J33" s="124" t="s">
        <v>19</v>
      </c>
      <c r="K33" s="124" t="s">
        <v>998</v>
      </c>
      <c r="L33" s="129"/>
      <c r="M33" s="80"/>
      <c r="N33" s="80"/>
      <c r="O33" s="81"/>
      <c r="P33" s="82"/>
      <c r="Q33" s="83"/>
      <c r="R33" s="84"/>
      <c r="S33" s="85"/>
      <c r="T33" s="86" t="s">
        <v>117</v>
      </c>
      <c r="U33" s="493" t="s">
        <v>1059</v>
      </c>
      <c r="V33" s="495" t="s">
        <v>1060</v>
      </c>
    </row>
    <row r="34" spans="1:22" ht="18.75" hidden="1">
      <c r="A34" s="76"/>
      <c r="B34" s="76"/>
      <c r="C34" s="76"/>
      <c r="D34" s="116" t="s">
        <v>1061</v>
      </c>
      <c r="E34" s="116"/>
      <c r="F34" s="116"/>
      <c r="G34" s="116"/>
      <c r="H34" s="116" t="s">
        <v>995</v>
      </c>
      <c r="I34" s="116" t="s">
        <v>995</v>
      </c>
      <c r="J34" s="123"/>
      <c r="K34" s="123"/>
      <c r="L34" s="129"/>
      <c r="M34" s="80"/>
      <c r="N34" s="80"/>
      <c r="O34" s="81"/>
      <c r="P34" s="82"/>
      <c r="Q34" s="83"/>
      <c r="R34" s="84"/>
      <c r="S34" s="85"/>
      <c r="T34" s="86"/>
      <c r="U34" s="47"/>
      <c r="V34"/>
    </row>
    <row r="35" spans="1:22" ht="18.75">
      <c r="A35" s="76" t="s">
        <v>286</v>
      </c>
      <c r="B35" s="76">
        <v>26</v>
      </c>
      <c r="C35" s="76" t="s">
        <v>113</v>
      </c>
      <c r="D35" s="117" t="s">
        <v>1062</v>
      </c>
      <c r="E35" s="117" t="s">
        <v>1063</v>
      </c>
      <c r="F35" s="498" t="s">
        <v>998</v>
      </c>
      <c r="G35" s="497">
        <v>46174</v>
      </c>
      <c r="H35" s="118">
        <v>10786</v>
      </c>
      <c r="I35" s="119">
        <v>2003</v>
      </c>
      <c r="J35" s="124" t="s">
        <v>19</v>
      </c>
      <c r="K35" s="124"/>
      <c r="L35" s="129"/>
      <c r="M35" s="80"/>
      <c r="N35" s="80"/>
      <c r="O35" s="81"/>
      <c r="P35" s="82"/>
      <c r="Q35" s="83"/>
      <c r="R35" s="84"/>
      <c r="S35" s="85"/>
      <c r="T35" s="86" t="s">
        <v>117</v>
      </c>
      <c r="U35" s="493" t="s">
        <v>1064</v>
      </c>
      <c r="V35" s="495"/>
    </row>
    <row r="36" spans="1:22" ht="18.75">
      <c r="A36" s="76" t="s">
        <v>286</v>
      </c>
      <c r="B36" s="76">
        <v>27</v>
      </c>
      <c r="C36" s="76" t="s">
        <v>113</v>
      </c>
      <c r="D36" s="117" t="s">
        <v>1065</v>
      </c>
      <c r="E36" s="117" t="s">
        <v>1063</v>
      </c>
      <c r="F36" s="498" t="s">
        <v>998</v>
      </c>
      <c r="G36" s="497">
        <v>46174</v>
      </c>
      <c r="H36" s="118">
        <v>10787</v>
      </c>
      <c r="I36" s="119">
        <v>2003</v>
      </c>
      <c r="J36" s="124" t="s">
        <v>19</v>
      </c>
      <c r="K36" s="124"/>
      <c r="L36" s="129"/>
      <c r="M36" s="80"/>
      <c r="N36" s="80"/>
      <c r="O36" s="81"/>
      <c r="P36" s="82"/>
      <c r="Q36" s="83"/>
      <c r="R36" s="84"/>
      <c r="S36" s="85"/>
      <c r="T36" s="86" t="s">
        <v>117</v>
      </c>
      <c r="U36" s="493" t="s">
        <v>1064</v>
      </c>
      <c r="V36" s="495"/>
    </row>
    <row r="37" spans="1:22" ht="18.75">
      <c r="A37" s="76" t="s">
        <v>286</v>
      </c>
      <c r="B37" s="76">
        <v>28</v>
      </c>
      <c r="C37" s="76" t="s">
        <v>113</v>
      </c>
      <c r="D37" s="117" t="s">
        <v>1066</v>
      </c>
      <c r="E37" s="117" t="s">
        <v>1063</v>
      </c>
      <c r="F37" s="498" t="s">
        <v>998</v>
      </c>
      <c r="G37" s="497">
        <v>46174</v>
      </c>
      <c r="H37" s="118">
        <v>10795</v>
      </c>
      <c r="I37" s="119">
        <v>2004</v>
      </c>
      <c r="J37" s="124" t="s">
        <v>19</v>
      </c>
      <c r="K37" s="124"/>
      <c r="L37" s="129"/>
      <c r="M37" s="80"/>
      <c r="N37" s="80"/>
      <c r="O37" s="81"/>
      <c r="P37" s="82"/>
      <c r="Q37" s="83"/>
      <c r="R37" s="84"/>
      <c r="S37" s="85"/>
      <c r="T37" s="86" t="s">
        <v>117</v>
      </c>
      <c r="U37" s="493" t="s">
        <v>1064</v>
      </c>
      <c r="V37" s="495"/>
    </row>
    <row r="38" spans="1:22" ht="18.75">
      <c r="A38" s="76" t="s">
        <v>286</v>
      </c>
      <c r="B38" s="76">
        <v>29</v>
      </c>
      <c r="C38" s="76" t="s">
        <v>113</v>
      </c>
      <c r="D38" s="117" t="s">
        <v>1067</v>
      </c>
      <c r="E38" s="117" t="s">
        <v>1063</v>
      </c>
      <c r="F38" s="498" t="s">
        <v>998</v>
      </c>
      <c r="G38" s="497">
        <v>46174</v>
      </c>
      <c r="H38" s="118">
        <v>11002</v>
      </c>
      <c r="I38" s="119">
        <v>2004</v>
      </c>
      <c r="J38" s="124" t="s">
        <v>19</v>
      </c>
      <c r="K38" s="124"/>
      <c r="L38" s="129"/>
      <c r="M38" s="80"/>
      <c r="N38" s="80"/>
      <c r="O38" s="81"/>
      <c r="P38" s="82"/>
      <c r="Q38" s="83"/>
      <c r="R38" s="84"/>
      <c r="S38" s="85"/>
      <c r="T38" s="86" t="s">
        <v>117</v>
      </c>
      <c r="U38" s="493" t="s">
        <v>1064</v>
      </c>
      <c r="V38" s="495"/>
    </row>
    <row r="39" spans="1:22" ht="18.75">
      <c r="A39" s="76" t="s">
        <v>286</v>
      </c>
      <c r="B39" s="76">
        <v>30</v>
      </c>
      <c r="C39" s="76" t="s">
        <v>113</v>
      </c>
      <c r="D39" s="117" t="s">
        <v>1068</v>
      </c>
      <c r="E39" s="117" t="s">
        <v>1063</v>
      </c>
      <c r="F39" s="498" t="s">
        <v>998</v>
      </c>
      <c r="G39" s="497">
        <v>46174</v>
      </c>
      <c r="H39" s="118">
        <v>11003</v>
      </c>
      <c r="I39" s="119">
        <v>2004</v>
      </c>
      <c r="J39" s="124" t="s">
        <v>19</v>
      </c>
      <c r="K39" s="124"/>
      <c r="L39" s="129"/>
      <c r="M39" s="80"/>
      <c r="N39" s="80"/>
      <c r="O39" s="81"/>
      <c r="P39" s="82"/>
      <c r="Q39" s="83"/>
      <c r="R39" s="84"/>
      <c r="S39" s="85"/>
      <c r="T39" s="86" t="s">
        <v>117</v>
      </c>
      <c r="U39" s="493" t="s">
        <v>1064</v>
      </c>
      <c r="V39" s="495"/>
    </row>
    <row r="40" spans="1:22" ht="18.75">
      <c r="A40" s="76" t="s">
        <v>286</v>
      </c>
      <c r="B40" s="76">
        <v>31</v>
      </c>
      <c r="C40" s="76" t="s">
        <v>113</v>
      </c>
      <c r="D40" s="117" t="s">
        <v>1069</v>
      </c>
      <c r="E40" s="117" t="s">
        <v>1063</v>
      </c>
      <c r="F40" s="498" t="s">
        <v>998</v>
      </c>
      <c r="G40" s="497">
        <v>46174</v>
      </c>
      <c r="H40" s="118">
        <v>11326</v>
      </c>
      <c r="I40" s="119" t="s">
        <v>995</v>
      </c>
      <c r="J40" s="124" t="s">
        <v>19</v>
      </c>
      <c r="K40" s="124"/>
      <c r="L40" s="129"/>
      <c r="M40" s="80"/>
      <c r="N40" s="80"/>
      <c r="O40" s="81"/>
      <c r="P40" s="82"/>
      <c r="Q40" s="83"/>
      <c r="R40" s="84"/>
      <c r="S40" s="85"/>
      <c r="T40" s="86" t="s">
        <v>117</v>
      </c>
      <c r="U40" s="493" t="s">
        <v>1064</v>
      </c>
      <c r="V40" s="495" t="s">
        <v>1070</v>
      </c>
    </row>
    <row r="41" spans="1:22" ht="18.75">
      <c r="A41" s="76" t="s">
        <v>286</v>
      </c>
      <c r="B41" s="76">
        <v>32</v>
      </c>
      <c r="C41" s="76" t="s">
        <v>113</v>
      </c>
      <c r="D41" s="117" t="s">
        <v>1071</v>
      </c>
      <c r="E41" s="117" t="s">
        <v>1063</v>
      </c>
      <c r="F41" s="498" t="s">
        <v>998</v>
      </c>
      <c r="G41" s="497">
        <v>46174</v>
      </c>
      <c r="H41" s="118">
        <v>10838</v>
      </c>
      <c r="I41" s="119">
        <v>2005</v>
      </c>
      <c r="J41" s="124" t="s">
        <v>19</v>
      </c>
      <c r="K41" s="124"/>
      <c r="L41" s="129"/>
      <c r="M41" s="80"/>
      <c r="N41" s="80"/>
      <c r="O41" s="81"/>
      <c r="P41" s="82"/>
      <c r="Q41" s="83"/>
      <c r="R41" s="84"/>
      <c r="S41" s="85"/>
      <c r="T41" s="86" t="s">
        <v>117</v>
      </c>
      <c r="U41" s="493" t="s">
        <v>1064</v>
      </c>
      <c r="V41" s="495"/>
    </row>
    <row r="42" spans="1:22" ht="18.75">
      <c r="A42" s="76" t="s">
        <v>286</v>
      </c>
      <c r="B42" s="76">
        <v>33</v>
      </c>
      <c r="C42" s="76" t="s">
        <v>113</v>
      </c>
      <c r="D42" s="117" t="s">
        <v>1072</v>
      </c>
      <c r="E42" s="117" t="s">
        <v>1063</v>
      </c>
      <c r="F42" s="498" t="s">
        <v>998</v>
      </c>
      <c r="G42" s="497">
        <v>46174</v>
      </c>
      <c r="H42" s="118">
        <v>11261</v>
      </c>
      <c r="I42" s="119">
        <v>2007</v>
      </c>
      <c r="J42" s="124" t="s">
        <v>19</v>
      </c>
      <c r="K42" s="124"/>
      <c r="L42" s="129"/>
      <c r="M42" s="80"/>
      <c r="N42" s="80"/>
      <c r="O42" s="81"/>
      <c r="P42" s="82"/>
      <c r="Q42" s="83"/>
      <c r="R42" s="84"/>
      <c r="S42" s="85"/>
      <c r="T42" s="86" t="s">
        <v>117</v>
      </c>
      <c r="U42" s="493" t="s">
        <v>1064</v>
      </c>
      <c r="V42" s="495"/>
    </row>
    <row r="43" spans="1:22" ht="18.75" hidden="1">
      <c r="A43" s="76" t="s">
        <v>286</v>
      </c>
      <c r="B43" s="76"/>
      <c r="C43" s="76"/>
      <c r="D43" s="116" t="s">
        <v>1073</v>
      </c>
      <c r="E43" s="116"/>
      <c r="F43" s="116"/>
      <c r="G43" s="497">
        <v>46174</v>
      </c>
      <c r="H43" s="116" t="s">
        <v>995</v>
      </c>
      <c r="I43" s="116" t="s">
        <v>995</v>
      </c>
      <c r="J43" s="123"/>
      <c r="K43" s="123"/>
      <c r="L43" s="129"/>
      <c r="M43" s="80"/>
      <c r="N43" s="80"/>
      <c r="O43" s="81"/>
      <c r="P43" s="82"/>
      <c r="Q43" s="83"/>
      <c r="R43" s="84"/>
      <c r="S43" s="85"/>
      <c r="T43" s="86"/>
      <c r="U43" s="47"/>
      <c r="V43"/>
    </row>
    <row r="44" spans="1:22" ht="18.75">
      <c r="A44" s="76" t="s">
        <v>286</v>
      </c>
      <c r="B44" s="76">
        <v>34</v>
      </c>
      <c r="C44" s="76" t="s">
        <v>113</v>
      </c>
      <c r="D44" s="117">
        <v>262</v>
      </c>
      <c r="E44" s="117" t="s">
        <v>1074</v>
      </c>
      <c r="F44" s="498" t="s">
        <v>457</v>
      </c>
      <c r="G44" s="497">
        <v>46174</v>
      </c>
      <c r="H44" s="118">
        <v>10495</v>
      </c>
      <c r="I44" s="119">
        <v>2000</v>
      </c>
      <c r="J44" s="124" t="s">
        <v>17</v>
      </c>
      <c r="K44" s="124"/>
      <c r="L44" s="129"/>
      <c r="M44" s="80"/>
      <c r="N44" s="80"/>
      <c r="O44" s="81" t="s">
        <v>117</v>
      </c>
      <c r="P44" s="82"/>
      <c r="Q44" s="83"/>
      <c r="R44" s="84"/>
      <c r="S44" s="85"/>
      <c r="T44" s="86"/>
      <c r="U44" s="493" t="s">
        <v>1075</v>
      </c>
      <c r="V44" s="495" t="s">
        <v>1076</v>
      </c>
    </row>
    <row r="45" spans="1:22" ht="30">
      <c r="A45" s="76" t="s">
        <v>286</v>
      </c>
      <c r="B45" s="76">
        <v>35</v>
      </c>
      <c r="C45" s="76" t="s">
        <v>113</v>
      </c>
      <c r="D45" s="117">
        <v>2888</v>
      </c>
      <c r="E45" s="117" t="s">
        <v>1074</v>
      </c>
      <c r="F45" s="498" t="s">
        <v>998</v>
      </c>
      <c r="G45" s="497">
        <v>46174</v>
      </c>
      <c r="H45" s="118">
        <v>10607</v>
      </c>
      <c r="I45" s="119" t="s">
        <v>995</v>
      </c>
      <c r="J45" s="124" t="s">
        <v>47</v>
      </c>
      <c r="K45" s="124"/>
      <c r="L45" s="129"/>
      <c r="M45" s="80"/>
      <c r="N45" s="80"/>
      <c r="O45" s="81"/>
      <c r="P45" s="82" t="s">
        <v>117</v>
      </c>
      <c r="Q45" s="83"/>
      <c r="R45" s="84"/>
      <c r="S45" s="85"/>
      <c r="T45" s="86"/>
      <c r="U45" s="493" t="s">
        <v>1077</v>
      </c>
      <c r="V45" s="495" t="s">
        <v>1078</v>
      </c>
    </row>
    <row r="46" spans="1:22" ht="18.75" hidden="1">
      <c r="A46" s="76" t="s">
        <v>286</v>
      </c>
      <c r="B46" s="76"/>
      <c r="C46" s="76"/>
      <c r="D46" s="120" t="s">
        <v>1079</v>
      </c>
      <c r="E46" s="120"/>
      <c r="F46" s="120"/>
      <c r="G46" s="120"/>
      <c r="H46" s="121" t="s">
        <v>995</v>
      </c>
      <c r="I46" s="121" t="s">
        <v>995</v>
      </c>
      <c r="J46" s="123"/>
      <c r="K46" s="123"/>
      <c r="L46" s="129"/>
      <c r="M46" s="80"/>
      <c r="N46" s="80"/>
      <c r="O46" s="81"/>
      <c r="P46" s="82"/>
      <c r="Q46" s="83"/>
      <c r="R46" s="84"/>
      <c r="S46" s="85"/>
      <c r="T46" s="86"/>
      <c r="U46" s="47"/>
      <c r="V46"/>
    </row>
    <row r="47" spans="1:22" ht="18.75">
      <c r="A47" s="76" t="s">
        <v>286</v>
      </c>
      <c r="B47" s="76">
        <v>36</v>
      </c>
      <c r="C47" s="76" t="s">
        <v>113</v>
      </c>
      <c r="D47" s="117" t="s">
        <v>1080</v>
      </c>
      <c r="E47" s="117" t="s">
        <v>1081</v>
      </c>
      <c r="F47" s="498" t="s">
        <v>998</v>
      </c>
      <c r="G47" s="497">
        <v>46174</v>
      </c>
      <c r="H47" s="118">
        <v>11555</v>
      </c>
      <c r="I47" s="119">
        <v>2018</v>
      </c>
      <c r="J47" s="124" t="s">
        <v>19</v>
      </c>
      <c r="K47" s="124"/>
      <c r="L47" s="129"/>
      <c r="M47" s="80"/>
      <c r="N47" s="80"/>
      <c r="O47" s="81"/>
      <c r="P47" s="82"/>
      <c r="Q47" s="83" t="s">
        <v>117</v>
      </c>
      <c r="R47" s="84"/>
      <c r="S47" s="85"/>
      <c r="T47" s="86"/>
      <c r="U47" s="493"/>
      <c r="V47" s="495" t="s">
        <v>1082</v>
      </c>
    </row>
    <row r="48" spans="1:22" ht="18.75">
      <c r="A48" s="76" t="s">
        <v>286</v>
      </c>
      <c r="B48" s="76">
        <v>37</v>
      </c>
      <c r="C48" s="76" t="s">
        <v>113</v>
      </c>
      <c r="D48" s="117" t="s">
        <v>1083</v>
      </c>
      <c r="E48" s="117" t="s">
        <v>1081</v>
      </c>
      <c r="F48" s="498" t="s">
        <v>998</v>
      </c>
      <c r="G48" s="497">
        <v>46174</v>
      </c>
      <c r="H48" s="118">
        <v>10839</v>
      </c>
      <c r="I48" s="119">
        <v>2006</v>
      </c>
      <c r="J48" s="124" t="s">
        <v>19</v>
      </c>
      <c r="K48" s="124"/>
      <c r="L48" s="129"/>
      <c r="M48" s="80"/>
      <c r="N48" s="80"/>
      <c r="O48" s="81"/>
      <c r="P48" s="82" t="s">
        <v>117</v>
      </c>
      <c r="Q48" s="83"/>
      <c r="R48" s="84"/>
      <c r="S48" s="85"/>
      <c r="T48" s="86"/>
      <c r="U48" s="493"/>
      <c r="V48" s="495"/>
    </row>
    <row r="49" spans="1:22" ht="18.75">
      <c r="A49" s="76" t="s">
        <v>286</v>
      </c>
      <c r="B49" s="76">
        <v>38</v>
      </c>
      <c r="C49" s="76" t="s">
        <v>113</v>
      </c>
      <c r="D49" s="117" t="s">
        <v>1084</v>
      </c>
      <c r="E49" s="117" t="s">
        <v>1081</v>
      </c>
      <c r="F49" s="498" t="s">
        <v>998</v>
      </c>
      <c r="G49" s="497">
        <v>46174</v>
      </c>
      <c r="H49" s="118">
        <v>10874</v>
      </c>
      <c r="I49" s="119">
        <v>2005</v>
      </c>
      <c r="J49" s="124" t="s">
        <v>19</v>
      </c>
      <c r="K49" s="124"/>
      <c r="L49" s="129"/>
      <c r="M49" s="80"/>
      <c r="N49" s="80"/>
      <c r="O49" s="81"/>
      <c r="P49" s="82"/>
      <c r="Q49" s="83"/>
      <c r="R49" s="84"/>
      <c r="S49" s="85" t="s">
        <v>117</v>
      </c>
      <c r="T49" s="86"/>
      <c r="U49" s="493"/>
      <c r="V49" s="495"/>
    </row>
    <row r="50" spans="1:22" ht="18.75" hidden="1">
      <c r="A50" s="76" t="s">
        <v>286</v>
      </c>
      <c r="B50" s="76"/>
      <c r="C50" s="76"/>
      <c r="D50" s="120" t="s">
        <v>1085</v>
      </c>
      <c r="E50" s="120"/>
      <c r="F50" s="120"/>
      <c r="G50" s="120"/>
      <c r="H50" s="121" t="s">
        <v>995</v>
      </c>
      <c r="I50" s="121" t="s">
        <v>995</v>
      </c>
      <c r="J50" s="123"/>
      <c r="K50" s="123"/>
      <c r="L50" s="129"/>
      <c r="M50" s="80"/>
      <c r="N50" s="80"/>
      <c r="O50" s="81"/>
      <c r="P50" s="82"/>
      <c r="Q50" s="83"/>
      <c r="R50" s="84"/>
      <c r="S50" s="85"/>
      <c r="T50" s="86"/>
      <c r="U50" s="47"/>
      <c r="V50"/>
    </row>
    <row r="51" spans="1:22" ht="18.75">
      <c r="A51" s="76" t="s">
        <v>286</v>
      </c>
      <c r="B51" s="76">
        <v>39</v>
      </c>
      <c r="C51" s="76" t="s">
        <v>113</v>
      </c>
      <c r="D51" s="117">
        <v>262</v>
      </c>
      <c r="E51" s="117" t="s">
        <v>1086</v>
      </c>
      <c r="F51" s="498" t="s">
        <v>998</v>
      </c>
      <c r="G51" s="497">
        <v>46174</v>
      </c>
      <c r="H51" s="118">
        <v>11551</v>
      </c>
      <c r="I51" s="119">
        <v>2018</v>
      </c>
      <c r="J51" s="124" t="s">
        <v>14</v>
      </c>
      <c r="K51" s="124"/>
      <c r="L51" s="129"/>
      <c r="M51" s="80"/>
      <c r="N51" s="80"/>
      <c r="O51" s="81"/>
      <c r="P51" s="82" t="s">
        <v>117</v>
      </c>
      <c r="Q51" s="83"/>
      <c r="R51" s="84"/>
      <c r="S51" s="85"/>
      <c r="T51" s="86"/>
      <c r="U51" s="493" t="s">
        <v>1087</v>
      </c>
      <c r="V51" s="495" t="s">
        <v>1088</v>
      </c>
    </row>
    <row r="52" spans="1:22" ht="18.75">
      <c r="A52" s="76" t="s">
        <v>286</v>
      </c>
      <c r="B52" s="76">
        <v>40</v>
      </c>
      <c r="C52" s="76" t="s">
        <v>113</v>
      </c>
      <c r="D52" s="117">
        <v>2888</v>
      </c>
      <c r="E52" s="117" t="s">
        <v>1086</v>
      </c>
      <c r="F52" s="498" t="s">
        <v>998</v>
      </c>
      <c r="G52" s="497">
        <v>46174</v>
      </c>
      <c r="H52" s="118">
        <v>11550</v>
      </c>
      <c r="I52" s="119">
        <v>2018</v>
      </c>
      <c r="J52" s="124" t="s">
        <v>14</v>
      </c>
      <c r="K52" s="124"/>
      <c r="L52" s="129"/>
      <c r="M52" s="80"/>
      <c r="N52" s="80"/>
      <c r="O52" s="81"/>
      <c r="P52" s="82" t="s">
        <v>117</v>
      </c>
      <c r="Q52" s="83"/>
      <c r="R52" s="84"/>
      <c r="S52" s="85"/>
      <c r="T52" s="86"/>
      <c r="U52" s="493" t="s">
        <v>1087</v>
      </c>
      <c r="V52" s="495" t="s">
        <v>1088</v>
      </c>
    </row>
    <row r="53" spans="1:22" ht="18.75">
      <c r="A53" s="76" t="s">
        <v>286</v>
      </c>
      <c r="B53" s="76">
        <v>41</v>
      </c>
      <c r="C53" s="76" t="s">
        <v>113</v>
      </c>
      <c r="D53" s="117">
        <v>270</v>
      </c>
      <c r="E53" s="117" t="s">
        <v>1086</v>
      </c>
      <c r="F53" s="498" t="s">
        <v>998</v>
      </c>
      <c r="G53" s="497">
        <v>46174</v>
      </c>
      <c r="H53" s="118">
        <v>11375</v>
      </c>
      <c r="I53" s="119">
        <v>2013</v>
      </c>
      <c r="J53" s="124" t="s">
        <v>14</v>
      </c>
      <c r="K53" s="124"/>
      <c r="L53" s="129"/>
      <c r="M53" s="80"/>
      <c r="N53" s="80"/>
      <c r="O53" s="81"/>
      <c r="P53" s="82" t="s">
        <v>117</v>
      </c>
      <c r="Q53" s="83"/>
      <c r="R53" s="84"/>
      <c r="S53" s="85"/>
      <c r="T53" s="86"/>
      <c r="U53" s="493" t="s">
        <v>1087</v>
      </c>
      <c r="V53" s="495" t="s">
        <v>1088</v>
      </c>
    </row>
    <row r="54" spans="1:22" ht="18.75">
      <c r="A54" s="76" t="s">
        <v>286</v>
      </c>
      <c r="B54" s="76">
        <v>42</v>
      </c>
      <c r="C54" s="76" t="s">
        <v>113</v>
      </c>
      <c r="D54" s="117">
        <v>221</v>
      </c>
      <c r="E54" s="117" t="s">
        <v>1086</v>
      </c>
      <c r="F54" s="498" t="s">
        <v>457</v>
      </c>
      <c r="G54" s="497">
        <v>46174</v>
      </c>
      <c r="H54" s="118">
        <v>10800</v>
      </c>
      <c r="I54" s="119">
        <v>2003</v>
      </c>
      <c r="J54" s="124" t="s">
        <v>47</v>
      </c>
      <c r="K54" s="124"/>
      <c r="L54" s="129"/>
      <c r="M54" s="80"/>
      <c r="N54" s="80"/>
      <c r="O54" s="81" t="s">
        <v>117</v>
      </c>
      <c r="P54" s="82"/>
      <c r="Q54" s="83"/>
      <c r="R54" s="84"/>
      <c r="S54" s="85"/>
      <c r="T54" s="86"/>
      <c r="U54" s="493" t="s">
        <v>1089</v>
      </c>
      <c r="V54" s="495" t="s">
        <v>1090</v>
      </c>
    </row>
    <row r="55" spans="1:22" ht="18.75" hidden="1">
      <c r="A55" s="76" t="s">
        <v>286</v>
      </c>
      <c r="B55" s="76"/>
      <c r="C55" s="76"/>
      <c r="D55" s="120" t="s">
        <v>1091</v>
      </c>
      <c r="E55" s="120"/>
      <c r="F55" s="120"/>
      <c r="G55" s="120"/>
      <c r="H55" s="121" t="s">
        <v>995</v>
      </c>
      <c r="I55" s="121" t="s">
        <v>995</v>
      </c>
      <c r="J55" s="123"/>
      <c r="K55" s="123"/>
      <c r="L55" s="129"/>
      <c r="M55" s="80"/>
      <c r="N55" s="80"/>
      <c r="O55" s="81"/>
      <c r="P55" s="82"/>
      <c r="Q55" s="83"/>
      <c r="R55" s="84"/>
      <c r="S55" s="85"/>
      <c r="T55" s="86"/>
      <c r="U55" s="47"/>
      <c r="V55"/>
    </row>
    <row r="56" spans="1:22" ht="18.75">
      <c r="A56" s="76" t="s">
        <v>286</v>
      </c>
      <c r="B56" s="76">
        <v>43</v>
      </c>
      <c r="C56" s="76" t="s">
        <v>113</v>
      </c>
      <c r="D56" s="117" t="s">
        <v>1092</v>
      </c>
      <c r="E56" s="117"/>
      <c r="F56" s="498" t="s">
        <v>998</v>
      </c>
      <c r="G56" s="497">
        <v>46174</v>
      </c>
      <c r="H56" s="118">
        <v>10789</v>
      </c>
      <c r="I56" s="119">
        <v>2003</v>
      </c>
      <c r="J56" s="124" t="s">
        <v>19</v>
      </c>
      <c r="K56" s="124"/>
      <c r="L56" s="129"/>
      <c r="M56" s="80"/>
      <c r="N56" s="80"/>
      <c r="O56" s="81"/>
      <c r="P56" s="82"/>
      <c r="Q56" s="83"/>
      <c r="R56" s="84"/>
      <c r="S56" s="85"/>
      <c r="T56" s="86" t="s">
        <v>117</v>
      </c>
      <c r="U56" s="493" t="s">
        <v>1093</v>
      </c>
      <c r="V56" s="495" t="s">
        <v>1094</v>
      </c>
    </row>
    <row r="57" spans="1:22" ht="18.75">
      <c r="A57" s="76" t="s">
        <v>286</v>
      </c>
      <c r="B57" s="76">
        <v>44</v>
      </c>
      <c r="C57" s="76" t="s">
        <v>113</v>
      </c>
      <c r="D57" s="117" t="s">
        <v>1095</v>
      </c>
      <c r="E57" s="117"/>
      <c r="F57" s="498" t="s">
        <v>998</v>
      </c>
      <c r="G57" s="497">
        <v>46174</v>
      </c>
      <c r="H57" s="118">
        <v>10822</v>
      </c>
      <c r="I57" s="119">
        <v>2005</v>
      </c>
      <c r="J57" s="124" t="s">
        <v>19</v>
      </c>
      <c r="K57" s="124"/>
      <c r="L57" s="129"/>
      <c r="M57" s="80"/>
      <c r="N57" s="80"/>
      <c r="O57" s="81"/>
      <c r="P57" s="82"/>
      <c r="Q57" s="83"/>
      <c r="R57" s="84"/>
      <c r="S57" s="85"/>
      <c r="T57" s="86" t="s">
        <v>117</v>
      </c>
      <c r="U57" s="493" t="s">
        <v>1093</v>
      </c>
      <c r="V57" s="495" t="s">
        <v>1094</v>
      </c>
    </row>
    <row r="58" spans="1:22" ht="18.75">
      <c r="A58" s="76" t="s">
        <v>286</v>
      </c>
      <c r="B58" s="76">
        <v>45</v>
      </c>
      <c r="C58" s="76" t="s">
        <v>113</v>
      </c>
      <c r="D58" s="117" t="s">
        <v>1096</v>
      </c>
      <c r="E58" s="117"/>
      <c r="F58" s="498" t="s">
        <v>998</v>
      </c>
      <c r="G58" s="497">
        <v>46174</v>
      </c>
      <c r="H58" s="118">
        <v>10829</v>
      </c>
      <c r="I58" s="119">
        <v>2004</v>
      </c>
      <c r="J58" s="124" t="s">
        <v>19</v>
      </c>
      <c r="K58" s="124"/>
      <c r="L58" s="129"/>
      <c r="M58" s="80"/>
      <c r="N58" s="80"/>
      <c r="O58" s="81"/>
      <c r="P58" s="82"/>
      <c r="Q58" s="83"/>
      <c r="R58" s="84"/>
      <c r="S58" s="85"/>
      <c r="T58" s="86" t="s">
        <v>117</v>
      </c>
      <c r="U58" s="493"/>
      <c r="V58" s="495" t="s">
        <v>1097</v>
      </c>
    </row>
    <row r="59" spans="1:22" ht="18.75">
      <c r="A59" s="76" t="s">
        <v>286</v>
      </c>
      <c r="B59" s="76">
        <v>46</v>
      </c>
      <c r="C59" s="76" t="s">
        <v>113</v>
      </c>
      <c r="D59" s="117" t="s">
        <v>1098</v>
      </c>
      <c r="E59" s="117"/>
      <c r="F59" s="498" t="s">
        <v>998</v>
      </c>
      <c r="G59" s="497">
        <v>46174</v>
      </c>
      <c r="H59" s="118">
        <v>11351</v>
      </c>
      <c r="I59" s="119">
        <v>2011</v>
      </c>
      <c r="J59" s="124" t="s">
        <v>14</v>
      </c>
      <c r="K59" s="124"/>
      <c r="L59" s="129"/>
      <c r="M59" s="80"/>
      <c r="N59" s="80"/>
      <c r="O59" s="81"/>
      <c r="P59" s="82"/>
      <c r="Q59" s="83"/>
      <c r="R59" s="84" t="s">
        <v>117</v>
      </c>
      <c r="S59" s="85"/>
      <c r="T59" s="86"/>
      <c r="U59" s="493" t="s">
        <v>1099</v>
      </c>
      <c r="V59" s="495" t="s">
        <v>1100</v>
      </c>
    </row>
    <row r="60" spans="1:22" ht="18.75">
      <c r="A60" s="76" t="s">
        <v>286</v>
      </c>
      <c r="B60" s="76">
        <v>47</v>
      </c>
      <c r="C60" s="76" t="s">
        <v>113</v>
      </c>
      <c r="D60" s="117" t="s">
        <v>1101</v>
      </c>
      <c r="E60" s="117"/>
      <c r="F60" s="498" t="s">
        <v>998</v>
      </c>
      <c r="G60" s="497">
        <v>46174</v>
      </c>
      <c r="H60" s="118" t="s">
        <v>995</v>
      </c>
      <c r="I60" s="119">
        <v>2018</v>
      </c>
      <c r="J60" s="124" t="s">
        <v>19</v>
      </c>
      <c r="K60" s="124"/>
      <c r="L60" s="129"/>
      <c r="M60" s="80"/>
      <c r="N60" s="80"/>
      <c r="O60" s="81"/>
      <c r="P60" s="82"/>
      <c r="Q60" s="83"/>
      <c r="R60" s="84"/>
      <c r="S60" s="85"/>
      <c r="T60" s="86" t="s">
        <v>117</v>
      </c>
      <c r="U60" s="493"/>
      <c r="V60" s="495"/>
    </row>
    <row r="61" spans="1:22" ht="18.75">
      <c r="A61" s="76" t="s">
        <v>286</v>
      </c>
      <c r="B61" s="76">
        <v>48</v>
      </c>
      <c r="C61" s="76" t="s">
        <v>113</v>
      </c>
      <c r="D61" s="117" t="s">
        <v>1102</v>
      </c>
      <c r="E61" s="117"/>
      <c r="F61" s="498" t="s">
        <v>998</v>
      </c>
      <c r="G61" s="497">
        <v>46174</v>
      </c>
      <c r="H61" s="118">
        <v>11347</v>
      </c>
      <c r="I61" s="119">
        <v>2019</v>
      </c>
      <c r="J61" s="124" t="s">
        <v>19</v>
      </c>
      <c r="K61" s="124"/>
      <c r="L61" s="129"/>
      <c r="M61" s="80"/>
      <c r="N61" s="80"/>
      <c r="O61" s="81"/>
      <c r="P61" s="82"/>
      <c r="Q61" s="83"/>
      <c r="R61" s="84"/>
      <c r="S61" s="85"/>
      <c r="T61" s="86" t="s">
        <v>117</v>
      </c>
      <c r="U61" s="493"/>
      <c r="V61" s="495"/>
    </row>
    <row r="62" spans="1:22" ht="18.75" hidden="1">
      <c r="A62" s="76" t="s">
        <v>286</v>
      </c>
      <c r="B62" s="76"/>
      <c r="C62" s="76"/>
      <c r="D62" s="120" t="s">
        <v>1103</v>
      </c>
      <c r="E62" s="120"/>
      <c r="F62" s="120"/>
      <c r="G62" s="120"/>
      <c r="H62" s="121" t="s">
        <v>995</v>
      </c>
      <c r="I62" s="121" t="s">
        <v>995</v>
      </c>
      <c r="J62" s="123"/>
      <c r="K62" s="123"/>
      <c r="L62" s="129"/>
      <c r="M62" s="80"/>
      <c r="N62" s="80"/>
      <c r="O62" s="81"/>
      <c r="P62" s="82"/>
      <c r="Q62" s="83"/>
      <c r="R62" s="84"/>
      <c r="S62" s="85"/>
      <c r="T62" s="86"/>
      <c r="U62" s="47"/>
      <c r="V62"/>
    </row>
    <row r="63" spans="1:22" ht="18.75">
      <c r="A63" s="76" t="s">
        <v>286</v>
      </c>
      <c r="B63" s="76">
        <v>49</v>
      </c>
      <c r="C63" s="76" t="s">
        <v>113</v>
      </c>
      <c r="D63" s="117" t="s">
        <v>1104</v>
      </c>
      <c r="E63" s="117" t="s">
        <v>1105</v>
      </c>
      <c r="F63" s="498" t="s">
        <v>998</v>
      </c>
      <c r="G63" s="497">
        <v>46174</v>
      </c>
      <c r="H63" s="118">
        <v>10862</v>
      </c>
      <c r="I63" s="119">
        <v>2005</v>
      </c>
      <c r="J63" s="124" t="s">
        <v>19</v>
      </c>
      <c r="K63" s="124"/>
      <c r="L63" s="129"/>
      <c r="M63" s="80"/>
      <c r="N63" s="80"/>
      <c r="O63" s="81"/>
      <c r="P63" s="82"/>
      <c r="Q63" s="83"/>
      <c r="R63" s="84"/>
      <c r="S63" s="85"/>
      <c r="T63" s="86" t="s">
        <v>117</v>
      </c>
      <c r="U63" s="493"/>
      <c r="V63" s="495" t="s">
        <v>1106</v>
      </c>
    </row>
    <row r="64" spans="1:22" ht="18.75">
      <c r="A64" s="76" t="s">
        <v>286</v>
      </c>
      <c r="B64" s="76">
        <v>50</v>
      </c>
      <c r="C64" s="76" t="s">
        <v>113</v>
      </c>
      <c r="D64" s="117" t="s">
        <v>1107</v>
      </c>
      <c r="E64" s="117" t="s">
        <v>1105</v>
      </c>
      <c r="F64" s="498" t="s">
        <v>998</v>
      </c>
      <c r="G64" s="497">
        <v>46174</v>
      </c>
      <c r="H64" s="118">
        <v>10886</v>
      </c>
      <c r="I64" s="119">
        <v>2005</v>
      </c>
      <c r="J64" s="124" t="s">
        <v>19</v>
      </c>
      <c r="K64" s="124"/>
      <c r="L64" s="129"/>
      <c r="M64" s="80"/>
      <c r="N64" s="80"/>
      <c r="O64" s="81"/>
      <c r="P64" s="82"/>
      <c r="Q64" s="83"/>
      <c r="R64" s="84"/>
      <c r="S64" s="85"/>
      <c r="T64" s="86" t="s">
        <v>117</v>
      </c>
      <c r="U64" s="493"/>
      <c r="V64" s="495" t="s">
        <v>1106</v>
      </c>
    </row>
    <row r="65" spans="1:22" ht="18.75">
      <c r="A65" s="76" t="s">
        <v>286</v>
      </c>
      <c r="B65" s="76">
        <v>51</v>
      </c>
      <c r="C65" s="76" t="s">
        <v>113</v>
      </c>
      <c r="D65" s="117" t="s">
        <v>1108</v>
      </c>
      <c r="E65" s="117" t="s">
        <v>1105</v>
      </c>
      <c r="F65" s="498" t="s">
        <v>998</v>
      </c>
      <c r="G65" s="497">
        <v>46174</v>
      </c>
      <c r="H65" s="118">
        <v>11250</v>
      </c>
      <c r="I65" s="119">
        <v>2005</v>
      </c>
      <c r="J65" s="124" t="s">
        <v>17</v>
      </c>
      <c r="K65" s="124"/>
      <c r="L65" s="129"/>
      <c r="M65" s="80"/>
      <c r="N65" s="80"/>
      <c r="O65" s="81"/>
      <c r="P65" s="82"/>
      <c r="Q65" s="83"/>
      <c r="R65" s="84"/>
      <c r="S65" s="85"/>
      <c r="T65" s="86" t="s">
        <v>117</v>
      </c>
      <c r="U65" s="493"/>
      <c r="V65" s="495" t="s">
        <v>1106</v>
      </c>
    </row>
    <row r="66" spans="1:22" ht="18.75">
      <c r="A66" s="76" t="s">
        <v>286</v>
      </c>
      <c r="B66" s="76">
        <v>52</v>
      </c>
      <c r="C66" s="76" t="s">
        <v>113</v>
      </c>
      <c r="D66" s="117" t="s">
        <v>1109</v>
      </c>
      <c r="E66" s="117" t="s">
        <v>1105</v>
      </c>
      <c r="F66" s="498" t="s">
        <v>998</v>
      </c>
      <c r="G66" s="497">
        <v>46174</v>
      </c>
      <c r="H66" s="118">
        <v>10875</v>
      </c>
      <c r="I66" s="119">
        <v>2005</v>
      </c>
      <c r="J66" s="124" t="s">
        <v>19</v>
      </c>
      <c r="K66" s="124"/>
      <c r="L66" s="129"/>
      <c r="M66" s="80"/>
      <c r="N66" s="80"/>
      <c r="O66" s="81"/>
      <c r="P66" s="82"/>
      <c r="Q66" s="83"/>
      <c r="R66" s="84"/>
      <c r="S66" s="85"/>
      <c r="T66" s="86" t="s">
        <v>117</v>
      </c>
      <c r="U66" s="493"/>
      <c r="V66" s="495" t="s">
        <v>1106</v>
      </c>
    </row>
    <row r="67" spans="1:22" ht="18.75">
      <c r="A67" s="76" t="s">
        <v>286</v>
      </c>
      <c r="B67" s="76">
        <v>53</v>
      </c>
      <c r="C67" s="76" t="s">
        <v>113</v>
      </c>
      <c r="D67" s="117" t="s">
        <v>1110</v>
      </c>
      <c r="E67" s="117" t="s">
        <v>1105</v>
      </c>
      <c r="F67" s="498" t="s">
        <v>998</v>
      </c>
      <c r="G67" s="497">
        <v>46174</v>
      </c>
      <c r="H67" s="118">
        <v>10873</v>
      </c>
      <c r="I67" s="119">
        <v>2005</v>
      </c>
      <c r="J67" s="124" t="s">
        <v>19</v>
      </c>
      <c r="K67" s="124"/>
      <c r="L67" s="129"/>
      <c r="M67" s="80"/>
      <c r="N67" s="80"/>
      <c r="O67" s="81"/>
      <c r="P67" s="82"/>
      <c r="Q67" s="83"/>
      <c r="R67" s="84"/>
      <c r="S67" s="85"/>
      <c r="T67" s="86" t="s">
        <v>117</v>
      </c>
      <c r="U67" s="493"/>
      <c r="V67" s="495" t="s">
        <v>1106</v>
      </c>
    </row>
    <row r="68" spans="1:22" ht="18.75">
      <c r="A68" s="76" t="s">
        <v>286</v>
      </c>
      <c r="B68" s="76">
        <v>54</v>
      </c>
      <c r="C68" s="76" t="s">
        <v>113</v>
      </c>
      <c r="D68" s="117" t="s">
        <v>1111</v>
      </c>
      <c r="E68" s="117" t="s">
        <v>1105</v>
      </c>
      <c r="F68" s="498" t="s">
        <v>998</v>
      </c>
      <c r="G68" s="497">
        <v>46174</v>
      </c>
      <c r="H68" s="118" t="s">
        <v>995</v>
      </c>
      <c r="I68" s="119">
        <v>2005</v>
      </c>
      <c r="J68" s="124" t="s">
        <v>17</v>
      </c>
      <c r="K68" s="124"/>
      <c r="L68" s="129"/>
      <c r="M68" s="80"/>
      <c r="N68" s="80"/>
      <c r="O68" s="81"/>
      <c r="P68" s="82"/>
      <c r="Q68" s="83"/>
      <c r="R68" s="84"/>
      <c r="S68" s="85"/>
      <c r="T68" s="86" t="s">
        <v>117</v>
      </c>
      <c r="U68" s="493"/>
      <c r="V68" s="495" t="s">
        <v>1106</v>
      </c>
    </row>
    <row r="69" spans="1:22" ht="15" customHeight="1">
      <c r="A69" s="76" t="s">
        <v>286</v>
      </c>
      <c r="B69" s="76">
        <v>55</v>
      </c>
      <c r="C69" s="76" t="s">
        <v>113</v>
      </c>
      <c r="D69" s="117" t="s">
        <v>1112</v>
      </c>
      <c r="E69" s="117" t="s">
        <v>1105</v>
      </c>
      <c r="F69" s="498" t="s">
        <v>998</v>
      </c>
      <c r="G69" s="497">
        <v>46174</v>
      </c>
      <c r="H69" s="118" t="s">
        <v>995</v>
      </c>
      <c r="I69" s="119">
        <v>2005</v>
      </c>
      <c r="J69" s="124" t="s">
        <v>17</v>
      </c>
      <c r="K69" s="124"/>
      <c r="L69" s="129"/>
      <c r="M69" s="80"/>
      <c r="N69" s="80"/>
      <c r="O69" s="81"/>
      <c r="P69" s="82"/>
      <c r="Q69" s="83"/>
      <c r="R69" s="84"/>
      <c r="S69" s="85"/>
      <c r="T69" s="86" t="s">
        <v>117</v>
      </c>
      <c r="U69" s="493"/>
      <c r="V69" s="495" t="s">
        <v>1106</v>
      </c>
    </row>
    <row r="70" spans="1:22" ht="18.75">
      <c r="A70" s="76" t="s">
        <v>286</v>
      </c>
      <c r="B70" s="76">
        <v>56</v>
      </c>
      <c r="C70" s="76" t="s">
        <v>113</v>
      </c>
      <c r="D70" s="117" t="s">
        <v>1113</v>
      </c>
      <c r="E70" s="117" t="s">
        <v>1105</v>
      </c>
      <c r="F70" s="498" t="s">
        <v>998</v>
      </c>
      <c r="G70" s="497">
        <v>46174</v>
      </c>
      <c r="H70" s="118"/>
      <c r="I70" s="119"/>
      <c r="J70" s="124"/>
      <c r="K70" s="124"/>
      <c r="L70" s="129"/>
      <c r="M70" s="80"/>
      <c r="N70" s="80"/>
      <c r="O70" s="81"/>
      <c r="P70" s="82"/>
      <c r="Q70" s="83"/>
      <c r="R70" s="84"/>
      <c r="S70" s="85"/>
      <c r="T70" s="86" t="s">
        <v>117</v>
      </c>
      <c r="U70" s="493" t="s">
        <v>1114</v>
      </c>
      <c r="V70" s="495" t="s">
        <v>1106</v>
      </c>
    </row>
    <row r="71" spans="1:22" ht="18.75">
      <c r="A71" s="76" t="s">
        <v>286</v>
      </c>
      <c r="B71" s="76">
        <v>57</v>
      </c>
      <c r="C71" s="76" t="s">
        <v>113</v>
      </c>
      <c r="D71" s="117" t="s">
        <v>1115</v>
      </c>
      <c r="E71" s="117" t="s">
        <v>1105</v>
      </c>
      <c r="F71" s="498" t="s">
        <v>998</v>
      </c>
      <c r="G71" s="497">
        <v>46174</v>
      </c>
      <c r="H71" s="118" t="s">
        <v>995</v>
      </c>
      <c r="I71" s="119">
        <v>2018</v>
      </c>
      <c r="J71" s="124"/>
      <c r="K71" s="124"/>
      <c r="L71" s="129"/>
      <c r="M71" s="80"/>
      <c r="N71" s="80"/>
      <c r="O71" s="81"/>
      <c r="P71" s="82"/>
      <c r="Q71" s="83"/>
      <c r="R71" s="84"/>
      <c r="S71" s="85"/>
      <c r="T71" s="86" t="s">
        <v>117</v>
      </c>
      <c r="U71" s="493" t="s">
        <v>1114</v>
      </c>
      <c r="V71" s="495" t="s">
        <v>1106</v>
      </c>
    </row>
    <row r="72" spans="1:22" ht="18.75">
      <c r="A72" s="76" t="s">
        <v>286</v>
      </c>
      <c r="B72" s="76">
        <v>58</v>
      </c>
      <c r="C72" s="76" t="s">
        <v>113</v>
      </c>
      <c r="D72" s="117" t="s">
        <v>1116</v>
      </c>
      <c r="E72" s="117" t="s">
        <v>1105</v>
      </c>
      <c r="F72" s="498" t="s">
        <v>998</v>
      </c>
      <c r="G72" s="497">
        <v>46174</v>
      </c>
      <c r="H72" s="118" t="s">
        <v>995</v>
      </c>
      <c r="I72" s="119">
        <v>2010</v>
      </c>
      <c r="J72" s="124" t="s">
        <v>19</v>
      </c>
      <c r="K72" s="124"/>
      <c r="L72" s="129"/>
      <c r="M72" s="80"/>
      <c r="N72" s="80"/>
      <c r="O72" s="81"/>
      <c r="P72" s="82"/>
      <c r="Q72" s="83"/>
      <c r="R72" s="84"/>
      <c r="S72" s="85"/>
      <c r="T72" s="86" t="s">
        <v>117</v>
      </c>
      <c r="U72" s="493"/>
      <c r="V72" s="495" t="s">
        <v>1106</v>
      </c>
    </row>
    <row r="73" spans="1:22" ht="18.75">
      <c r="A73" s="76" t="s">
        <v>286</v>
      </c>
      <c r="B73" s="76">
        <v>59</v>
      </c>
      <c r="C73" s="76" t="s">
        <v>113</v>
      </c>
      <c r="D73" s="117" t="s">
        <v>1117</v>
      </c>
      <c r="E73" s="117" t="s">
        <v>1105</v>
      </c>
      <c r="F73" s="498" t="s">
        <v>998</v>
      </c>
      <c r="G73" s="497">
        <v>46174</v>
      </c>
      <c r="H73" s="118" t="s">
        <v>995</v>
      </c>
      <c r="I73" s="119" t="s">
        <v>995</v>
      </c>
      <c r="J73" s="124" t="s">
        <v>17</v>
      </c>
      <c r="K73" s="124"/>
      <c r="L73" s="129"/>
      <c r="M73" s="80"/>
      <c r="N73" s="80"/>
      <c r="O73" s="81"/>
      <c r="P73" s="82"/>
      <c r="Q73" s="83"/>
      <c r="R73" s="84"/>
      <c r="S73" s="85"/>
      <c r="T73" s="86" t="s">
        <v>117</v>
      </c>
      <c r="U73" s="493"/>
      <c r="V73" s="495" t="s">
        <v>1106</v>
      </c>
    </row>
    <row r="74" spans="1:22" ht="18.75">
      <c r="A74" s="76" t="s">
        <v>286</v>
      </c>
      <c r="B74" s="76">
        <v>60</v>
      </c>
      <c r="C74" s="76" t="s">
        <v>113</v>
      </c>
      <c r="D74" s="117" t="s">
        <v>1118</v>
      </c>
      <c r="E74" s="117" t="s">
        <v>1105</v>
      </c>
      <c r="F74" s="498" t="s">
        <v>998</v>
      </c>
      <c r="G74" s="497">
        <v>46174</v>
      </c>
      <c r="H74" s="118">
        <v>10498</v>
      </c>
      <c r="I74" s="119">
        <v>1993</v>
      </c>
      <c r="J74" s="124" t="s">
        <v>17</v>
      </c>
      <c r="K74" s="124"/>
      <c r="L74" s="129"/>
      <c r="M74" s="80"/>
      <c r="N74" s="80"/>
      <c r="O74" s="81"/>
      <c r="P74" s="82"/>
      <c r="Q74" s="83"/>
      <c r="R74" s="84"/>
      <c r="S74" s="85"/>
      <c r="T74" s="86" t="s">
        <v>117</v>
      </c>
      <c r="U74" s="493"/>
      <c r="V74" s="495" t="s">
        <v>1106</v>
      </c>
    </row>
    <row r="75" spans="1:22" ht="18.75">
      <c r="A75" s="76" t="s">
        <v>286</v>
      </c>
      <c r="B75" s="76">
        <v>61</v>
      </c>
      <c r="C75" s="76" t="s">
        <v>113</v>
      </c>
      <c r="D75" s="117" t="s">
        <v>1119</v>
      </c>
      <c r="E75" s="117" t="s">
        <v>1105</v>
      </c>
      <c r="F75" s="498" t="s">
        <v>998</v>
      </c>
      <c r="G75" s="497">
        <v>46174</v>
      </c>
      <c r="H75" s="118"/>
      <c r="I75" s="119"/>
      <c r="J75" s="124" t="s">
        <v>19</v>
      </c>
      <c r="K75" s="124"/>
      <c r="L75" s="129"/>
      <c r="M75" s="80"/>
      <c r="N75" s="80"/>
      <c r="O75" s="81"/>
      <c r="P75" s="82"/>
      <c r="Q75" s="83"/>
      <c r="R75" s="84"/>
      <c r="S75" s="85"/>
      <c r="T75" s="86" t="s">
        <v>117</v>
      </c>
      <c r="U75" s="493"/>
      <c r="V75" s="495" t="s">
        <v>1106</v>
      </c>
    </row>
    <row r="76" spans="1:22" ht="18.75">
      <c r="A76" s="76" t="s">
        <v>286</v>
      </c>
      <c r="B76" s="76">
        <v>62</v>
      </c>
      <c r="C76" s="76" t="s">
        <v>113</v>
      </c>
      <c r="D76" s="117" t="s">
        <v>1120</v>
      </c>
      <c r="E76" s="117" t="s">
        <v>1105</v>
      </c>
      <c r="F76" s="498" t="s">
        <v>998</v>
      </c>
      <c r="G76" s="497">
        <v>46174</v>
      </c>
      <c r="H76" s="118">
        <v>10527</v>
      </c>
      <c r="I76" s="119">
        <v>2004</v>
      </c>
      <c r="J76" s="124" t="s">
        <v>19</v>
      </c>
      <c r="K76" s="124"/>
      <c r="L76" s="129"/>
      <c r="M76" s="80"/>
      <c r="N76" s="80"/>
      <c r="O76" s="81"/>
      <c r="P76" s="82"/>
      <c r="Q76" s="83"/>
      <c r="R76" s="84"/>
      <c r="S76" s="85"/>
      <c r="T76" s="86" t="s">
        <v>117</v>
      </c>
      <c r="U76" s="493"/>
      <c r="V76" s="495" t="s">
        <v>1106</v>
      </c>
    </row>
    <row r="77" spans="1:22" ht="18.75">
      <c r="A77" s="76" t="s">
        <v>286</v>
      </c>
      <c r="B77" s="76">
        <v>63</v>
      </c>
      <c r="C77" s="76" t="s">
        <v>113</v>
      </c>
      <c r="D77" s="117" t="s">
        <v>1121</v>
      </c>
      <c r="E77" s="117" t="s">
        <v>1105</v>
      </c>
      <c r="F77" s="498" t="s">
        <v>998</v>
      </c>
      <c r="G77" s="497">
        <v>46174</v>
      </c>
      <c r="H77" s="118" t="s">
        <v>995</v>
      </c>
      <c r="I77" s="119">
        <v>2013</v>
      </c>
      <c r="J77" s="124"/>
      <c r="K77" s="124"/>
      <c r="L77" s="129"/>
      <c r="M77" s="80"/>
      <c r="N77" s="80"/>
      <c r="O77" s="81"/>
      <c r="P77" s="82"/>
      <c r="Q77" s="83"/>
      <c r="R77" s="84"/>
      <c r="S77" s="85"/>
      <c r="T77" s="86" t="s">
        <v>117</v>
      </c>
      <c r="U77" s="493" t="s">
        <v>1114</v>
      </c>
      <c r="V77" s="495" t="s">
        <v>1106</v>
      </c>
    </row>
    <row r="78" spans="1:22" ht="18.75">
      <c r="A78" s="76" t="s">
        <v>286</v>
      </c>
      <c r="B78" s="76">
        <v>64</v>
      </c>
      <c r="C78" s="76" t="s">
        <v>113</v>
      </c>
      <c r="D78" s="117" t="s">
        <v>1122</v>
      </c>
      <c r="E78" s="117" t="s">
        <v>1105</v>
      </c>
      <c r="F78" s="498" t="s">
        <v>998</v>
      </c>
      <c r="G78" s="497">
        <v>46174</v>
      </c>
      <c r="H78" s="118">
        <v>10871</v>
      </c>
      <c r="I78" s="119">
        <v>2004</v>
      </c>
      <c r="J78" s="124" t="s">
        <v>19</v>
      </c>
      <c r="K78" s="124"/>
      <c r="L78" s="129"/>
      <c r="M78" s="80"/>
      <c r="N78" s="80"/>
      <c r="O78" s="81"/>
      <c r="P78" s="82"/>
      <c r="Q78" s="83"/>
      <c r="R78" s="84"/>
      <c r="S78" s="85"/>
      <c r="T78" s="86" t="s">
        <v>117</v>
      </c>
      <c r="U78" s="493"/>
      <c r="V78" s="495" t="s">
        <v>1106</v>
      </c>
    </row>
    <row r="79" spans="1:22" ht="18.75">
      <c r="A79" s="76" t="s">
        <v>286</v>
      </c>
      <c r="B79" s="76">
        <v>65</v>
      </c>
      <c r="C79" s="76" t="s">
        <v>113</v>
      </c>
      <c r="D79" s="117" t="s">
        <v>1123</v>
      </c>
      <c r="E79" s="117" t="s">
        <v>1105</v>
      </c>
      <c r="F79" s="498" t="s">
        <v>998</v>
      </c>
      <c r="G79" s="497">
        <v>46174</v>
      </c>
      <c r="H79" s="118" t="s">
        <v>995</v>
      </c>
      <c r="I79" s="119" t="s">
        <v>995</v>
      </c>
      <c r="J79" s="124" t="s">
        <v>19</v>
      </c>
      <c r="K79" s="124"/>
      <c r="L79" s="129"/>
      <c r="M79" s="80"/>
      <c r="N79" s="80"/>
      <c r="O79" s="81"/>
      <c r="P79" s="82"/>
      <c r="Q79" s="83"/>
      <c r="R79" s="84"/>
      <c r="S79" s="85"/>
      <c r="T79" s="86" t="s">
        <v>117</v>
      </c>
      <c r="U79" s="493"/>
      <c r="V79" s="495" t="s">
        <v>1106</v>
      </c>
    </row>
    <row r="80" spans="1:22" ht="18.75">
      <c r="A80" s="76" t="s">
        <v>286</v>
      </c>
      <c r="B80" s="76">
        <v>66</v>
      </c>
      <c r="C80" s="76" t="s">
        <v>113</v>
      </c>
      <c r="D80" s="117" t="s">
        <v>1124</v>
      </c>
      <c r="E80" s="117" t="s">
        <v>1105</v>
      </c>
      <c r="F80" s="498" t="s">
        <v>998</v>
      </c>
      <c r="G80" s="497">
        <v>46174</v>
      </c>
      <c r="H80" s="118" t="s">
        <v>995</v>
      </c>
      <c r="I80" s="119">
        <v>2004</v>
      </c>
      <c r="J80" s="124"/>
      <c r="K80" s="124"/>
      <c r="L80" s="129"/>
      <c r="M80" s="80"/>
      <c r="N80" s="80"/>
      <c r="O80" s="81"/>
      <c r="P80" s="82"/>
      <c r="Q80" s="83"/>
      <c r="R80" s="84"/>
      <c r="S80" s="85"/>
      <c r="T80" s="86" t="s">
        <v>117</v>
      </c>
      <c r="U80" s="493"/>
      <c r="V80" s="495" t="s">
        <v>1106</v>
      </c>
    </row>
    <row r="81" spans="1:22" ht="18.75">
      <c r="A81" s="76" t="s">
        <v>286</v>
      </c>
      <c r="B81" s="76">
        <v>67</v>
      </c>
      <c r="C81" s="76" t="s">
        <v>113</v>
      </c>
      <c r="D81" s="117" t="s">
        <v>1125</v>
      </c>
      <c r="E81" s="117" t="s">
        <v>1105</v>
      </c>
      <c r="F81" s="498" t="s">
        <v>998</v>
      </c>
      <c r="G81" s="497">
        <v>46174</v>
      </c>
      <c r="H81" s="118">
        <v>10870</v>
      </c>
      <c r="I81" s="119" t="s">
        <v>995</v>
      </c>
      <c r="J81" s="124"/>
      <c r="K81" s="124"/>
      <c r="L81" s="129"/>
      <c r="M81" s="80"/>
      <c r="N81" s="80"/>
      <c r="O81" s="81"/>
      <c r="P81" s="82"/>
      <c r="Q81" s="83"/>
      <c r="R81" s="84"/>
      <c r="S81" s="85"/>
      <c r="T81" s="86" t="s">
        <v>117</v>
      </c>
      <c r="U81" s="493"/>
      <c r="V81" s="495" t="s">
        <v>1106</v>
      </c>
    </row>
    <row r="82" spans="1:22" ht="18.75">
      <c r="A82" s="76" t="s">
        <v>286</v>
      </c>
      <c r="B82" s="76">
        <v>68</v>
      </c>
      <c r="C82" s="76" t="s">
        <v>113</v>
      </c>
      <c r="D82" s="117" t="s">
        <v>1126</v>
      </c>
      <c r="E82" s="117" t="s">
        <v>1105</v>
      </c>
      <c r="F82" s="498" t="s">
        <v>998</v>
      </c>
      <c r="G82" s="497">
        <v>46174</v>
      </c>
      <c r="H82" s="118" t="s">
        <v>995</v>
      </c>
      <c r="I82" s="119" t="s">
        <v>995</v>
      </c>
      <c r="J82" s="124"/>
      <c r="K82" s="124"/>
      <c r="L82" s="129"/>
      <c r="M82" s="80"/>
      <c r="N82" s="80"/>
      <c r="O82" s="81"/>
      <c r="P82" s="82"/>
      <c r="Q82" s="83"/>
      <c r="R82" s="84"/>
      <c r="S82" s="85"/>
      <c r="T82" s="86" t="s">
        <v>117</v>
      </c>
      <c r="U82" s="493"/>
      <c r="V82" s="495" t="s">
        <v>1106</v>
      </c>
    </row>
    <row r="83" spans="1:22" ht="18.75">
      <c r="A83" s="76" t="s">
        <v>286</v>
      </c>
      <c r="B83" s="76">
        <v>69</v>
      </c>
      <c r="C83" s="76" t="s">
        <v>113</v>
      </c>
      <c r="D83" s="117" t="s">
        <v>1127</v>
      </c>
      <c r="E83" s="117" t="s">
        <v>1105</v>
      </c>
      <c r="F83" s="498" t="s">
        <v>998</v>
      </c>
      <c r="G83" s="497">
        <v>46174</v>
      </c>
      <c r="H83" s="118" t="s">
        <v>995</v>
      </c>
      <c r="I83" s="119" t="s">
        <v>995</v>
      </c>
      <c r="J83" s="124" t="s">
        <v>19</v>
      </c>
      <c r="K83" s="124"/>
      <c r="L83" s="129"/>
      <c r="M83" s="80"/>
      <c r="N83" s="80"/>
      <c r="O83" s="81"/>
      <c r="P83" s="82" t="s">
        <v>117</v>
      </c>
      <c r="Q83" s="83"/>
      <c r="R83" s="84"/>
      <c r="S83" s="85"/>
      <c r="T83" s="86"/>
      <c r="U83" s="493" t="s">
        <v>1128</v>
      </c>
      <c r="V83" s="495" t="s">
        <v>1129</v>
      </c>
    </row>
    <row r="84" spans="1:22" ht="18.75" hidden="1">
      <c r="A84" s="76" t="s">
        <v>286</v>
      </c>
      <c r="B84" s="76"/>
      <c r="C84" s="76"/>
      <c r="D84" s="120" t="s">
        <v>1130</v>
      </c>
      <c r="E84" s="120"/>
      <c r="F84" s="120"/>
      <c r="G84" s="120"/>
      <c r="H84" s="121" t="s">
        <v>995</v>
      </c>
      <c r="I84" s="121" t="s">
        <v>995</v>
      </c>
      <c r="J84" s="123"/>
      <c r="K84" s="123"/>
      <c r="L84" s="129"/>
      <c r="M84" s="80"/>
      <c r="N84" s="80"/>
      <c r="O84" s="81"/>
      <c r="P84" s="82"/>
      <c r="Q84" s="83"/>
      <c r="R84" s="84"/>
      <c r="S84" s="85"/>
      <c r="T84" s="86"/>
      <c r="U84" s="47"/>
      <c r="V84"/>
    </row>
    <row r="85" spans="1:22" ht="18.75" hidden="1">
      <c r="A85" s="76" t="s">
        <v>286</v>
      </c>
      <c r="B85" s="76">
        <v>71</v>
      </c>
      <c r="C85" s="76" t="s">
        <v>1130</v>
      </c>
      <c r="D85" s="117" t="s">
        <v>1131</v>
      </c>
      <c r="E85" s="117"/>
      <c r="F85" s="117"/>
      <c r="G85" s="117"/>
      <c r="H85" s="118">
        <v>10210</v>
      </c>
      <c r="I85" s="119" t="s">
        <v>995</v>
      </c>
      <c r="J85" s="124" t="s">
        <v>14</v>
      </c>
      <c r="K85" s="124"/>
      <c r="L85" s="129"/>
      <c r="M85" s="80"/>
      <c r="N85" s="80"/>
      <c r="O85" s="81"/>
      <c r="P85" s="82"/>
      <c r="Q85" s="83" t="s">
        <v>117</v>
      </c>
      <c r="R85" s="84"/>
      <c r="S85" s="85"/>
      <c r="T85" s="86"/>
      <c r="U85" s="47"/>
      <c r="V85"/>
    </row>
    <row r="86" spans="1:22" ht="18.75" hidden="1">
      <c r="A86" s="76" t="s">
        <v>286</v>
      </c>
      <c r="B86" s="76">
        <v>72</v>
      </c>
      <c r="C86" s="76" t="s">
        <v>1130</v>
      </c>
      <c r="D86" s="117" t="s">
        <v>1132</v>
      </c>
      <c r="E86" s="117"/>
      <c r="F86" s="117"/>
      <c r="G86" s="117"/>
      <c r="H86" s="118">
        <v>11312</v>
      </c>
      <c r="I86" s="119">
        <v>2009</v>
      </c>
      <c r="J86" s="124" t="s">
        <v>19</v>
      </c>
      <c r="K86" s="124"/>
      <c r="L86" s="129"/>
      <c r="M86" s="80"/>
      <c r="N86" s="80"/>
      <c r="O86" s="81"/>
      <c r="P86" s="82"/>
      <c r="Q86" s="83"/>
      <c r="R86" s="84"/>
      <c r="S86" s="85"/>
      <c r="T86" s="86" t="s">
        <v>117</v>
      </c>
      <c r="U86" s="47"/>
      <c r="V86"/>
    </row>
    <row r="87" spans="1:22" ht="18.75" hidden="1">
      <c r="A87" s="76" t="s">
        <v>286</v>
      </c>
      <c r="B87" s="76">
        <v>73</v>
      </c>
      <c r="C87" s="76" t="s">
        <v>1130</v>
      </c>
      <c r="D87" s="117" t="s">
        <v>1133</v>
      </c>
      <c r="E87" s="117"/>
      <c r="F87" s="117"/>
      <c r="G87" s="117"/>
      <c r="H87" s="118" t="s">
        <v>995</v>
      </c>
      <c r="I87" s="119">
        <v>2019</v>
      </c>
      <c r="J87" s="124" t="s">
        <v>17</v>
      </c>
      <c r="K87" s="124"/>
      <c r="L87" s="129"/>
      <c r="M87" s="80"/>
      <c r="N87" s="80"/>
      <c r="O87" s="81"/>
      <c r="P87" s="82"/>
      <c r="Q87" s="83"/>
      <c r="R87" s="84"/>
      <c r="S87" s="85"/>
      <c r="T87" s="86" t="s">
        <v>117</v>
      </c>
      <c r="U87" s="47"/>
      <c r="V87"/>
    </row>
    <row r="88" spans="1:22" ht="18.75" hidden="1">
      <c r="A88" s="76" t="s">
        <v>1134</v>
      </c>
      <c r="B88" s="76">
        <v>74</v>
      </c>
      <c r="C88" s="76" t="s">
        <v>1130</v>
      </c>
      <c r="D88" s="117" t="s">
        <v>1135</v>
      </c>
      <c r="E88" s="117"/>
      <c r="F88" s="117"/>
      <c r="G88" s="117"/>
      <c r="H88" s="118" t="s">
        <v>1136</v>
      </c>
      <c r="I88" s="119">
        <v>2019</v>
      </c>
      <c r="J88" s="124" t="s">
        <v>17</v>
      </c>
      <c r="K88" s="124"/>
      <c r="L88" s="129"/>
      <c r="M88" s="80"/>
      <c r="N88" s="80"/>
      <c r="O88" s="81"/>
      <c r="P88" s="82"/>
      <c r="Q88" s="83"/>
      <c r="R88" s="84"/>
      <c r="S88" s="85"/>
      <c r="T88" s="86" t="s">
        <v>117</v>
      </c>
      <c r="U88" s="47"/>
      <c r="V88"/>
    </row>
    <row r="89" spans="1:22" ht="30" hidden="1">
      <c r="A89" s="76" t="s">
        <v>1137</v>
      </c>
      <c r="B89" s="76">
        <v>75</v>
      </c>
      <c r="C89" s="76" t="s">
        <v>1130</v>
      </c>
      <c r="D89" s="117" t="s">
        <v>1138</v>
      </c>
      <c r="E89" s="117"/>
      <c r="F89" s="117"/>
      <c r="G89" s="117"/>
      <c r="H89" s="118" t="s">
        <v>1139</v>
      </c>
      <c r="I89" s="119" t="s">
        <v>1136</v>
      </c>
      <c r="J89" s="124" t="s">
        <v>17</v>
      </c>
      <c r="K89" s="124"/>
      <c r="L89" s="129"/>
      <c r="M89" s="80"/>
      <c r="N89" s="80"/>
      <c r="O89" s="81"/>
      <c r="P89" s="82"/>
      <c r="Q89" s="83"/>
      <c r="R89" s="84"/>
      <c r="S89" s="85"/>
      <c r="T89" s="86" t="s">
        <v>117</v>
      </c>
      <c r="U89" s="47" t="s">
        <v>1140</v>
      </c>
      <c r="V89"/>
    </row>
    <row r="90" spans="1:22" ht="18.75" hidden="1">
      <c r="A90" s="76" t="s">
        <v>286</v>
      </c>
      <c r="B90" s="76">
        <v>76</v>
      </c>
      <c r="C90" s="76" t="s">
        <v>1130</v>
      </c>
      <c r="D90" s="117" t="s">
        <v>1141</v>
      </c>
      <c r="E90" s="117"/>
      <c r="F90" s="117"/>
      <c r="G90" s="117"/>
      <c r="H90" s="118" t="s">
        <v>1142</v>
      </c>
      <c r="I90" s="119">
        <v>2011</v>
      </c>
      <c r="J90" s="124" t="s">
        <v>19</v>
      </c>
      <c r="K90" s="124"/>
      <c r="L90" s="129"/>
      <c r="M90" s="80"/>
      <c r="N90" s="80"/>
      <c r="O90" s="81"/>
      <c r="P90" s="82"/>
      <c r="Q90" s="83"/>
      <c r="R90" s="84"/>
      <c r="S90" s="85" t="s">
        <v>117</v>
      </c>
      <c r="T90" s="86"/>
      <c r="U90" s="47" t="s">
        <v>1143</v>
      </c>
      <c r="V90"/>
    </row>
    <row r="91" spans="1:22" ht="30" hidden="1">
      <c r="A91" s="76" t="s">
        <v>286</v>
      </c>
      <c r="B91" s="76">
        <v>77</v>
      </c>
      <c r="C91" s="76" t="s">
        <v>1130</v>
      </c>
      <c r="D91" s="117" t="s">
        <v>1144</v>
      </c>
      <c r="E91" s="117"/>
      <c r="F91" s="117"/>
      <c r="G91" s="117"/>
      <c r="H91" s="118">
        <v>10861</v>
      </c>
      <c r="I91" s="119">
        <v>2006</v>
      </c>
      <c r="J91" s="124" t="s">
        <v>19</v>
      </c>
      <c r="K91" s="124"/>
      <c r="L91" s="129"/>
      <c r="M91" s="80"/>
      <c r="N91" s="80"/>
      <c r="O91" s="81"/>
      <c r="P91" s="82" t="s">
        <v>117</v>
      </c>
      <c r="Q91" s="83"/>
      <c r="R91" s="84"/>
      <c r="S91" s="85"/>
      <c r="T91" s="86"/>
      <c r="U91" s="47" t="s">
        <v>1145</v>
      </c>
      <c r="V91"/>
    </row>
    <row r="92" spans="1:22" ht="18.75" hidden="1">
      <c r="A92" s="76" t="s">
        <v>286</v>
      </c>
      <c r="B92" s="76">
        <v>78</v>
      </c>
      <c r="C92" s="76" t="s">
        <v>1130</v>
      </c>
      <c r="D92" s="117" t="s">
        <v>1146</v>
      </c>
      <c r="E92" s="117"/>
      <c r="F92" s="117"/>
      <c r="G92" s="117"/>
      <c r="H92" s="118">
        <v>11322</v>
      </c>
      <c r="I92" s="119">
        <v>2010</v>
      </c>
      <c r="J92" s="124" t="s">
        <v>19</v>
      </c>
      <c r="K92" s="124"/>
      <c r="L92" s="129"/>
      <c r="M92" s="80"/>
      <c r="N92" s="80"/>
      <c r="O92" s="81"/>
      <c r="P92" s="82"/>
      <c r="Q92" s="83"/>
      <c r="R92" s="84"/>
      <c r="S92" s="85" t="s">
        <v>117</v>
      </c>
      <c r="T92" s="86"/>
      <c r="U92" s="144" t="s">
        <v>1147</v>
      </c>
      <c r="V92"/>
    </row>
    <row r="93" spans="1:22" ht="30" hidden="1">
      <c r="A93" s="76" t="s">
        <v>286</v>
      </c>
      <c r="B93" s="76">
        <v>79</v>
      </c>
      <c r="C93" s="76" t="s">
        <v>1130</v>
      </c>
      <c r="D93" s="117" t="s">
        <v>1148</v>
      </c>
      <c r="E93" s="117"/>
      <c r="F93" s="117"/>
      <c r="G93" s="117"/>
      <c r="H93" s="118">
        <v>153</v>
      </c>
      <c r="I93" s="119" t="s">
        <v>1149</v>
      </c>
      <c r="J93" s="124" t="s">
        <v>14</v>
      </c>
      <c r="K93" s="124"/>
      <c r="L93" s="129"/>
      <c r="M93" s="80"/>
      <c r="N93" s="80"/>
      <c r="O93" s="81"/>
      <c r="P93" s="82" t="s">
        <v>117</v>
      </c>
      <c r="Q93" s="83"/>
      <c r="R93" s="84"/>
      <c r="S93" s="85"/>
      <c r="T93" s="86"/>
      <c r="U93" s="47" t="s">
        <v>1150</v>
      </c>
      <c r="V93"/>
    </row>
    <row r="94" spans="1:22" ht="18.75" hidden="1">
      <c r="A94" s="76" t="s">
        <v>286</v>
      </c>
      <c r="B94" s="76"/>
      <c r="C94" s="76"/>
      <c r="D94" s="120" t="s">
        <v>1151</v>
      </c>
      <c r="E94" s="120"/>
      <c r="F94" s="120"/>
      <c r="G94" s="120"/>
      <c r="H94" s="121" t="s">
        <v>995</v>
      </c>
      <c r="I94" s="121" t="s">
        <v>995</v>
      </c>
      <c r="J94" s="123"/>
      <c r="K94" s="123"/>
      <c r="L94" s="129"/>
      <c r="M94" s="80"/>
      <c r="N94" s="80"/>
      <c r="O94" s="81"/>
      <c r="P94" s="82"/>
      <c r="Q94" s="83"/>
      <c r="R94" s="84"/>
      <c r="S94" s="85"/>
      <c r="T94" s="86"/>
      <c r="U94" s="47"/>
      <c r="V94"/>
    </row>
    <row r="95" spans="1:22" ht="18.75" hidden="1">
      <c r="A95" s="76" t="s">
        <v>286</v>
      </c>
      <c r="B95" s="76">
        <v>80</v>
      </c>
      <c r="C95" s="130" t="s">
        <v>1152</v>
      </c>
      <c r="D95" s="146" t="s">
        <v>1153</v>
      </c>
      <c r="E95" s="146"/>
      <c r="F95" s="146"/>
      <c r="G95" s="146"/>
      <c r="H95" s="147">
        <v>11477</v>
      </c>
      <c r="I95" s="270">
        <v>42735</v>
      </c>
      <c r="J95" s="124"/>
      <c r="K95" s="124"/>
      <c r="L95" s="129"/>
      <c r="M95" s="80"/>
      <c r="N95" s="80"/>
      <c r="O95" s="81"/>
      <c r="P95" s="82"/>
      <c r="Q95" s="83"/>
      <c r="R95" s="84"/>
      <c r="S95" s="85"/>
      <c r="T95" s="86"/>
      <c r="U95" s="47"/>
      <c r="V95"/>
    </row>
    <row r="96" spans="1:22" ht="18.75" hidden="1">
      <c r="A96" s="76" t="s">
        <v>286</v>
      </c>
      <c r="B96" s="76">
        <v>81</v>
      </c>
      <c r="C96" s="130" t="s">
        <v>1152</v>
      </c>
      <c r="D96" s="146" t="s">
        <v>1154</v>
      </c>
      <c r="E96" s="146"/>
      <c r="F96" s="146"/>
      <c r="G96" s="146"/>
      <c r="H96" s="147">
        <v>11636</v>
      </c>
      <c r="I96" s="270">
        <v>42735</v>
      </c>
      <c r="J96" s="124"/>
      <c r="K96" s="124"/>
      <c r="L96" s="129"/>
      <c r="M96" s="80"/>
      <c r="N96" s="80"/>
      <c r="O96" s="81"/>
      <c r="P96" s="82"/>
      <c r="Q96" s="83"/>
      <c r="R96" s="84"/>
      <c r="S96" s="85"/>
      <c r="T96" s="86"/>
      <c r="U96" s="47"/>
      <c r="V96"/>
    </row>
    <row r="97" spans="1:22" ht="18.75" hidden="1">
      <c r="A97" s="76" t="s">
        <v>286</v>
      </c>
      <c r="B97" s="76">
        <v>82</v>
      </c>
      <c r="C97" s="76" t="s">
        <v>1152</v>
      </c>
      <c r="D97" s="117" t="s">
        <v>1155</v>
      </c>
      <c r="E97" s="117"/>
      <c r="F97" s="117"/>
      <c r="G97" s="117"/>
      <c r="H97" s="118">
        <v>11542</v>
      </c>
      <c r="I97" s="127">
        <v>42855</v>
      </c>
      <c r="J97" s="124"/>
      <c r="K97" s="124"/>
      <c r="L97" s="129"/>
      <c r="M97" s="80"/>
      <c r="N97" s="80"/>
      <c r="O97" s="81"/>
      <c r="P97" s="82"/>
      <c r="Q97" s="83"/>
      <c r="R97" s="84"/>
      <c r="S97" s="85"/>
      <c r="T97" s="86"/>
      <c r="U97" s="47"/>
      <c r="V97"/>
    </row>
    <row r="98" spans="1:22" ht="18.75" hidden="1">
      <c r="A98" s="76" t="s">
        <v>286</v>
      </c>
      <c r="B98" s="76">
        <v>83</v>
      </c>
      <c r="C98" s="76" t="s">
        <v>1152</v>
      </c>
      <c r="D98" s="117" t="s">
        <v>1156</v>
      </c>
      <c r="E98" s="117"/>
      <c r="F98" s="117"/>
      <c r="G98" s="117"/>
      <c r="H98" s="118">
        <v>11542</v>
      </c>
      <c r="I98" s="127">
        <v>42855</v>
      </c>
      <c r="J98" s="124"/>
      <c r="K98" s="124"/>
      <c r="L98" s="129"/>
      <c r="M98" s="80"/>
      <c r="N98" s="80"/>
      <c r="O98" s="81"/>
      <c r="P98" s="82"/>
      <c r="Q98" s="83"/>
      <c r="R98" s="84"/>
      <c r="S98" s="85"/>
      <c r="T98" s="86"/>
      <c r="U98" s="47"/>
      <c r="V98"/>
    </row>
    <row r="99" spans="1:22" ht="18.75" hidden="1">
      <c r="A99" s="76" t="s">
        <v>286</v>
      </c>
      <c r="B99" s="76">
        <v>84</v>
      </c>
      <c r="C99" s="76" t="s">
        <v>1152</v>
      </c>
      <c r="D99" s="146" t="s">
        <v>1157</v>
      </c>
      <c r="E99" s="117"/>
      <c r="F99" s="117"/>
      <c r="G99" s="117"/>
      <c r="H99" s="147">
        <v>11548</v>
      </c>
      <c r="I99" s="270">
        <v>42916</v>
      </c>
      <c r="J99" s="124"/>
      <c r="K99" s="124"/>
      <c r="L99" s="129"/>
      <c r="M99" s="80"/>
      <c r="N99" s="80"/>
      <c r="O99" s="81"/>
      <c r="P99" s="82"/>
      <c r="Q99" s="83"/>
      <c r="R99" s="84"/>
      <c r="S99" s="85"/>
      <c r="T99" s="86"/>
      <c r="U99" s="47"/>
      <c r="V99"/>
    </row>
    <row r="100" spans="1:22" ht="18.75" hidden="1">
      <c r="A100" s="76" t="s">
        <v>286</v>
      </c>
      <c r="B100" s="76">
        <v>85</v>
      </c>
      <c r="C100" s="76" t="s">
        <v>1152</v>
      </c>
      <c r="D100" s="117" t="s">
        <v>1158</v>
      </c>
      <c r="E100" s="117"/>
      <c r="F100" s="117"/>
      <c r="G100" s="117"/>
      <c r="H100" s="118">
        <v>11553</v>
      </c>
      <c r="I100" s="127">
        <v>43434</v>
      </c>
      <c r="J100" s="124"/>
      <c r="K100" s="124"/>
      <c r="L100" s="129"/>
      <c r="M100" s="80"/>
      <c r="N100" s="80"/>
      <c r="O100" s="81"/>
      <c r="P100" s="82"/>
      <c r="Q100" s="83"/>
      <c r="R100" s="84"/>
      <c r="S100" s="85"/>
      <c r="T100" s="86"/>
      <c r="U100" s="47"/>
      <c r="V100"/>
    </row>
    <row r="101" spans="1:22" ht="18.75" hidden="1">
      <c r="A101" s="76" t="s">
        <v>286</v>
      </c>
      <c r="B101" s="76">
        <v>86</v>
      </c>
      <c r="C101" s="76" t="s">
        <v>1152</v>
      </c>
      <c r="D101" s="117" t="s">
        <v>1159</v>
      </c>
      <c r="E101" s="117"/>
      <c r="F101" s="117"/>
      <c r="G101" s="117"/>
      <c r="H101" s="118">
        <v>11491</v>
      </c>
      <c r="I101" s="127">
        <v>42735</v>
      </c>
      <c r="J101" s="124"/>
      <c r="K101" s="124"/>
      <c r="L101" s="129"/>
      <c r="M101" s="80"/>
      <c r="N101" s="80"/>
      <c r="O101" s="81"/>
      <c r="P101" s="82"/>
      <c r="Q101" s="83"/>
      <c r="R101" s="84"/>
      <c r="S101" s="85"/>
      <c r="T101" s="86"/>
      <c r="U101" s="47"/>
      <c r="V101"/>
    </row>
    <row r="102" spans="1:22" ht="18.75" hidden="1">
      <c r="A102" s="76" t="s">
        <v>286</v>
      </c>
      <c r="B102" s="76">
        <v>87</v>
      </c>
      <c r="C102" s="76" t="s">
        <v>1152</v>
      </c>
      <c r="D102" s="117" t="s">
        <v>1160</v>
      </c>
      <c r="E102" s="117"/>
      <c r="F102" s="117"/>
      <c r="G102" s="117"/>
      <c r="H102" s="118" t="s">
        <v>1161</v>
      </c>
      <c r="I102" s="127">
        <v>44074</v>
      </c>
      <c r="J102" s="124"/>
      <c r="K102" s="124"/>
      <c r="L102" s="129"/>
      <c r="M102" s="80"/>
      <c r="N102" s="80"/>
      <c r="O102" s="81"/>
      <c r="P102" s="82"/>
      <c r="Q102" s="83"/>
      <c r="R102" s="84"/>
      <c r="S102" s="85"/>
      <c r="T102" s="86"/>
      <c r="U102" s="47"/>
      <c r="V102"/>
    </row>
    <row r="103" spans="1:22" ht="18.75" hidden="1">
      <c r="A103" s="76" t="s">
        <v>286</v>
      </c>
      <c r="B103" s="76">
        <v>88</v>
      </c>
      <c r="C103" s="76" t="s">
        <v>1152</v>
      </c>
      <c r="D103" s="117" t="s">
        <v>1162</v>
      </c>
      <c r="E103" s="117"/>
      <c r="F103" s="117"/>
      <c r="G103" s="117"/>
      <c r="H103" s="118">
        <v>11648</v>
      </c>
      <c r="I103" s="119" t="s">
        <v>1163</v>
      </c>
      <c r="J103" s="124"/>
      <c r="K103" s="124"/>
      <c r="L103" s="129"/>
      <c r="M103" s="80"/>
      <c r="N103" s="80"/>
      <c r="O103" s="81"/>
      <c r="P103" s="82"/>
      <c r="Q103" s="83"/>
      <c r="R103" s="84"/>
      <c r="S103" s="85"/>
      <c r="T103" s="86"/>
      <c r="U103" s="47"/>
      <c r="V103"/>
    </row>
    <row r="104" spans="1:22" ht="18.75" hidden="1">
      <c r="A104" s="76" t="s">
        <v>286</v>
      </c>
      <c r="B104" s="76">
        <v>89</v>
      </c>
      <c r="C104" s="76" t="s">
        <v>1152</v>
      </c>
      <c r="D104" s="117" t="s">
        <v>1164</v>
      </c>
      <c r="E104" s="117"/>
      <c r="F104" s="117"/>
      <c r="G104" s="117"/>
      <c r="H104" s="118">
        <v>11479</v>
      </c>
      <c r="I104" s="119" t="s">
        <v>1165</v>
      </c>
      <c r="J104" s="124"/>
      <c r="K104" s="124"/>
      <c r="L104" s="129"/>
      <c r="M104" s="80"/>
      <c r="N104" s="80"/>
      <c r="O104" s="81"/>
      <c r="P104" s="82"/>
      <c r="Q104" s="83"/>
      <c r="R104" s="84"/>
      <c r="S104" s="85"/>
      <c r="T104" s="86"/>
      <c r="U104" s="47"/>
      <c r="V104"/>
    </row>
    <row r="105" spans="1:22" ht="18.75" hidden="1">
      <c r="A105" s="76" t="s">
        <v>286</v>
      </c>
      <c r="B105" s="76">
        <v>90</v>
      </c>
      <c r="C105" s="76" t="s">
        <v>1152</v>
      </c>
      <c r="D105" s="117" t="s">
        <v>1166</v>
      </c>
      <c r="E105" s="117"/>
      <c r="F105" s="117"/>
      <c r="G105" s="117"/>
      <c r="H105" s="118">
        <v>11427</v>
      </c>
      <c r="I105" s="119" t="s">
        <v>1167</v>
      </c>
      <c r="J105" s="124"/>
      <c r="K105" s="124"/>
      <c r="L105" s="129"/>
      <c r="M105" s="80"/>
      <c r="N105" s="80"/>
      <c r="O105" s="81"/>
      <c r="P105" s="82"/>
      <c r="Q105" s="83"/>
      <c r="R105" s="84"/>
      <c r="S105" s="85"/>
      <c r="T105" s="86"/>
      <c r="U105" s="47"/>
      <c r="V105"/>
    </row>
    <row r="106" spans="1:22" ht="18.75" hidden="1">
      <c r="A106" s="76" t="s">
        <v>286</v>
      </c>
      <c r="B106" s="76">
        <v>91</v>
      </c>
      <c r="C106" s="76" t="s">
        <v>1152</v>
      </c>
      <c r="D106" s="117" t="s">
        <v>1168</v>
      </c>
      <c r="E106" s="117"/>
      <c r="F106" s="117"/>
      <c r="G106" s="117"/>
      <c r="H106" s="118">
        <v>11329</v>
      </c>
      <c r="I106" s="127">
        <v>36768</v>
      </c>
      <c r="J106" s="124"/>
      <c r="K106" s="124"/>
      <c r="L106" s="129"/>
      <c r="M106" s="80"/>
      <c r="N106" s="80"/>
      <c r="O106" s="81"/>
      <c r="P106" s="82"/>
      <c r="Q106" s="83"/>
      <c r="R106" s="84"/>
      <c r="S106" s="85"/>
      <c r="T106" s="86"/>
      <c r="U106" s="47"/>
      <c r="V106"/>
    </row>
    <row r="107" spans="1:22" ht="18.75" hidden="1">
      <c r="A107" s="76" t="s">
        <v>286</v>
      </c>
      <c r="B107" s="76">
        <v>92</v>
      </c>
      <c r="C107" s="76" t="s">
        <v>1152</v>
      </c>
      <c r="D107" s="117" t="s">
        <v>1169</v>
      </c>
      <c r="E107" s="117"/>
      <c r="F107" s="117"/>
      <c r="G107" s="117"/>
      <c r="H107" s="118">
        <v>11399</v>
      </c>
      <c r="I107" s="119" t="s">
        <v>1170</v>
      </c>
      <c r="J107" s="124"/>
      <c r="K107" s="124"/>
      <c r="L107" s="129"/>
      <c r="M107" s="80"/>
      <c r="N107" s="80"/>
      <c r="O107" s="81"/>
      <c r="P107" s="82"/>
      <c r="Q107" s="83"/>
      <c r="R107" s="84"/>
      <c r="S107" s="85"/>
      <c r="T107" s="86"/>
      <c r="U107" s="47"/>
      <c r="V107"/>
    </row>
    <row r="108" spans="1:22" ht="18.75" hidden="1">
      <c r="A108" s="76" t="s">
        <v>286</v>
      </c>
      <c r="B108" s="76">
        <v>93</v>
      </c>
      <c r="C108" s="76" t="s">
        <v>1152</v>
      </c>
      <c r="D108" s="117" t="s">
        <v>1171</v>
      </c>
      <c r="E108" s="117"/>
      <c r="F108" s="117"/>
      <c r="G108" s="117"/>
      <c r="H108" s="118">
        <v>11400</v>
      </c>
      <c r="I108" s="127">
        <v>42035</v>
      </c>
      <c r="J108" s="124"/>
      <c r="K108" s="124"/>
      <c r="L108" s="129"/>
      <c r="M108" s="80"/>
      <c r="N108" s="80"/>
      <c r="O108" s="81"/>
      <c r="P108" s="82"/>
      <c r="Q108" s="83"/>
      <c r="R108" s="84"/>
      <c r="S108" s="85"/>
      <c r="T108" s="86"/>
      <c r="U108" s="47"/>
      <c r="V108"/>
    </row>
    <row r="109" spans="1:22" ht="18.75" hidden="1">
      <c r="A109" s="76" t="s">
        <v>286</v>
      </c>
      <c r="B109" s="76">
        <v>94</v>
      </c>
      <c r="C109" s="76" t="s">
        <v>1152</v>
      </c>
      <c r="D109" s="117" t="s">
        <v>1172</v>
      </c>
      <c r="E109" s="117"/>
      <c r="F109" s="117"/>
      <c r="G109" s="117"/>
      <c r="H109" s="118">
        <v>11428</v>
      </c>
      <c r="I109" s="127">
        <v>42035</v>
      </c>
      <c r="J109" s="124"/>
      <c r="K109" s="124"/>
      <c r="L109" s="129"/>
      <c r="M109" s="80"/>
      <c r="N109" s="80"/>
      <c r="O109" s="81"/>
      <c r="P109" s="82"/>
      <c r="Q109" s="83"/>
      <c r="R109" s="84"/>
      <c r="S109" s="85"/>
      <c r="T109" s="86"/>
      <c r="U109" s="47"/>
      <c r="V109"/>
    </row>
    <row r="110" spans="1:22" ht="18.75" hidden="1">
      <c r="A110" s="76" t="s">
        <v>286</v>
      </c>
      <c r="B110" s="76">
        <v>95</v>
      </c>
      <c r="C110" s="76" t="s">
        <v>1152</v>
      </c>
      <c r="D110" s="117" t="s">
        <v>1169</v>
      </c>
      <c r="E110" s="117"/>
      <c r="F110" s="117"/>
      <c r="G110" s="117"/>
      <c r="H110" s="118">
        <v>11429</v>
      </c>
      <c r="I110" s="127">
        <v>42035</v>
      </c>
      <c r="J110" s="124"/>
      <c r="K110" s="124"/>
      <c r="L110" s="129"/>
      <c r="M110" s="80"/>
      <c r="N110" s="80"/>
      <c r="O110" s="81"/>
      <c r="P110" s="82"/>
      <c r="Q110" s="83"/>
      <c r="R110" s="84"/>
      <c r="S110" s="85"/>
      <c r="T110" s="86"/>
      <c r="U110" s="47"/>
      <c r="V110"/>
    </row>
    <row r="111" spans="1:22" ht="18.75" hidden="1">
      <c r="A111" s="76" t="s">
        <v>286</v>
      </c>
      <c r="B111" s="76">
        <v>96</v>
      </c>
      <c r="C111" s="76" t="s">
        <v>1152</v>
      </c>
      <c r="D111" s="117" t="s">
        <v>1173</v>
      </c>
      <c r="E111" s="117"/>
      <c r="F111" s="117"/>
      <c r="G111" s="117"/>
      <c r="H111" s="118" t="s">
        <v>1174</v>
      </c>
      <c r="I111" s="119" t="s">
        <v>995</v>
      </c>
      <c r="J111" s="124"/>
      <c r="K111" s="124"/>
      <c r="L111" s="129"/>
      <c r="M111" s="80"/>
      <c r="N111" s="80"/>
      <c r="O111" s="81"/>
      <c r="P111" s="82"/>
      <c r="Q111" s="83"/>
      <c r="R111" s="84"/>
      <c r="S111" s="85"/>
      <c r="T111" s="86"/>
      <c r="U111" s="47"/>
      <c r="V111"/>
    </row>
    <row r="112" spans="1:22" ht="18.75" hidden="1">
      <c r="A112" s="76" t="s">
        <v>286</v>
      </c>
      <c r="B112" s="76">
        <v>97</v>
      </c>
      <c r="C112" s="76" t="s">
        <v>1152</v>
      </c>
      <c r="D112" s="117" t="s">
        <v>1173</v>
      </c>
      <c r="E112" s="117"/>
      <c r="F112" s="117"/>
      <c r="G112" s="117"/>
      <c r="H112" s="118" t="s">
        <v>1174</v>
      </c>
      <c r="I112" s="119" t="s">
        <v>995</v>
      </c>
      <c r="J112" s="124"/>
      <c r="K112" s="124"/>
      <c r="L112" s="129"/>
      <c r="M112" s="80"/>
      <c r="N112" s="80"/>
      <c r="O112" s="81"/>
      <c r="P112" s="82"/>
      <c r="Q112" s="83"/>
      <c r="R112" s="84"/>
      <c r="S112" s="85"/>
      <c r="T112" s="86"/>
      <c r="U112" s="47"/>
      <c r="V112"/>
    </row>
    <row r="113" spans="1:22" ht="18.75" hidden="1">
      <c r="A113" s="76" t="s">
        <v>286</v>
      </c>
      <c r="B113" s="76">
        <v>98</v>
      </c>
      <c r="C113" s="76" t="s">
        <v>1152</v>
      </c>
      <c r="D113" s="117" t="s">
        <v>1175</v>
      </c>
      <c r="E113" s="117"/>
      <c r="F113" s="117"/>
      <c r="G113" s="117"/>
      <c r="H113" s="118" t="s">
        <v>1176</v>
      </c>
      <c r="I113" s="119" t="s">
        <v>995</v>
      </c>
      <c r="J113" s="124"/>
      <c r="K113" s="124"/>
      <c r="L113" s="129"/>
      <c r="M113" s="80"/>
      <c r="N113" s="80"/>
      <c r="O113" s="81"/>
      <c r="P113" s="82"/>
      <c r="Q113" s="83"/>
      <c r="R113" s="84"/>
      <c r="S113" s="85"/>
      <c r="T113" s="86"/>
      <c r="U113" s="47"/>
      <c r="V113"/>
    </row>
    <row r="114" spans="1:22" ht="18.75" hidden="1">
      <c r="A114" s="76" t="s">
        <v>286</v>
      </c>
      <c r="B114" s="76">
        <v>99</v>
      </c>
      <c r="C114" s="76" t="s">
        <v>1152</v>
      </c>
      <c r="D114" s="117" t="s">
        <v>1177</v>
      </c>
      <c r="E114" s="117"/>
      <c r="F114" s="117"/>
      <c r="G114" s="117"/>
      <c r="H114" s="118" t="s">
        <v>1174</v>
      </c>
      <c r="I114" s="119" t="s">
        <v>995</v>
      </c>
      <c r="J114" s="124"/>
      <c r="K114" s="124"/>
      <c r="L114" s="129"/>
      <c r="M114" s="80"/>
      <c r="N114" s="80"/>
      <c r="O114" s="81"/>
      <c r="P114" s="82"/>
      <c r="Q114" s="83"/>
      <c r="R114" s="84"/>
      <c r="S114" s="85"/>
      <c r="T114" s="86"/>
      <c r="U114" s="47"/>
      <c r="V114"/>
    </row>
    <row r="115" spans="1:22" ht="18.75" hidden="1">
      <c r="A115" s="76" t="s">
        <v>286</v>
      </c>
      <c r="B115" s="76">
        <v>100</v>
      </c>
      <c r="C115" s="76" t="s">
        <v>1152</v>
      </c>
      <c r="D115" s="117" t="s">
        <v>1178</v>
      </c>
      <c r="E115" s="117"/>
      <c r="F115" s="117"/>
      <c r="G115" s="117"/>
      <c r="H115" s="118" t="s">
        <v>1179</v>
      </c>
      <c r="I115" s="119" t="s">
        <v>995</v>
      </c>
      <c r="J115" s="124"/>
      <c r="K115" s="124"/>
      <c r="L115" s="129"/>
      <c r="M115" s="80"/>
      <c r="N115" s="80"/>
      <c r="O115" s="81"/>
      <c r="P115" s="82"/>
      <c r="Q115" s="83"/>
      <c r="R115" s="84"/>
      <c r="S115" s="85"/>
      <c r="T115" s="86"/>
      <c r="U115" s="47"/>
      <c r="V115"/>
    </row>
    <row r="116" spans="1:22" ht="18.75" hidden="1">
      <c r="A116" s="76" t="s">
        <v>286</v>
      </c>
      <c r="B116" s="76">
        <v>101</v>
      </c>
      <c r="C116" s="76" t="s">
        <v>1152</v>
      </c>
      <c r="D116" s="117" t="s">
        <v>1180</v>
      </c>
      <c r="E116" s="117"/>
      <c r="F116" s="117"/>
      <c r="G116" s="117"/>
      <c r="H116" s="118" t="s">
        <v>1181</v>
      </c>
      <c r="I116" s="119" t="s">
        <v>995</v>
      </c>
      <c r="J116" s="124"/>
      <c r="K116" s="124"/>
      <c r="L116" s="129"/>
      <c r="M116" s="80"/>
      <c r="N116" s="80"/>
      <c r="O116" s="81"/>
      <c r="P116" s="82"/>
      <c r="Q116" s="83"/>
      <c r="R116" s="84"/>
      <c r="S116" s="85"/>
      <c r="T116" s="86"/>
      <c r="U116" s="47"/>
      <c r="V116"/>
    </row>
    <row r="117" spans="1:22" ht="18.75" hidden="1">
      <c r="A117" s="76" t="s">
        <v>286</v>
      </c>
      <c r="B117" s="76">
        <v>102</v>
      </c>
      <c r="C117" s="76" t="s">
        <v>1152</v>
      </c>
      <c r="D117" s="117" t="s">
        <v>1182</v>
      </c>
      <c r="E117" s="117"/>
      <c r="F117" s="117"/>
      <c r="G117" s="117"/>
      <c r="H117" s="118" t="s">
        <v>1181</v>
      </c>
      <c r="I117" s="119" t="s">
        <v>995</v>
      </c>
      <c r="J117" s="124"/>
      <c r="K117" s="124"/>
      <c r="L117" s="129"/>
      <c r="M117" s="80"/>
      <c r="N117" s="80"/>
      <c r="O117" s="81"/>
      <c r="P117" s="82"/>
      <c r="Q117" s="83"/>
      <c r="R117" s="84"/>
      <c r="S117" s="85"/>
      <c r="T117" s="86"/>
      <c r="U117" s="47"/>
      <c r="V117"/>
    </row>
    <row r="118" spans="1:22" ht="18.75" hidden="1">
      <c r="A118" s="76" t="s">
        <v>286</v>
      </c>
      <c r="B118" s="76">
        <v>103</v>
      </c>
      <c r="C118" s="76" t="s">
        <v>1152</v>
      </c>
      <c r="D118" s="117" t="s">
        <v>1183</v>
      </c>
      <c r="E118" s="117"/>
      <c r="F118" s="117"/>
      <c r="G118" s="117"/>
      <c r="H118" s="118" t="s">
        <v>1181</v>
      </c>
      <c r="I118" s="119" t="s">
        <v>995</v>
      </c>
      <c r="J118" s="124"/>
      <c r="K118" s="124"/>
      <c r="L118" s="129"/>
      <c r="M118" s="80"/>
      <c r="N118" s="80"/>
      <c r="O118" s="81"/>
      <c r="P118" s="82"/>
      <c r="Q118" s="83"/>
      <c r="R118" s="84"/>
      <c r="S118" s="85"/>
      <c r="T118" s="86"/>
      <c r="U118" s="47"/>
      <c r="V118"/>
    </row>
    <row r="119" spans="1:22" ht="18.75" hidden="1">
      <c r="A119" s="76" t="s">
        <v>286</v>
      </c>
      <c r="B119" s="76">
        <v>104</v>
      </c>
      <c r="C119" s="76" t="s">
        <v>1152</v>
      </c>
      <c r="D119" s="117" t="s">
        <v>1184</v>
      </c>
      <c r="E119" s="117"/>
      <c r="F119" s="117"/>
      <c r="G119" s="117"/>
      <c r="H119" s="118"/>
      <c r="I119" s="119"/>
      <c r="J119" s="124"/>
      <c r="K119" s="124"/>
      <c r="L119" s="129"/>
      <c r="M119" s="80"/>
      <c r="N119" s="80"/>
      <c r="O119" s="81"/>
      <c r="P119" s="82"/>
      <c r="Q119" s="83"/>
      <c r="R119" s="84"/>
      <c r="S119" s="85"/>
      <c r="T119" s="86"/>
      <c r="U119" s="47"/>
      <c r="V119"/>
    </row>
    <row r="120" spans="1:22" ht="18.75" hidden="1">
      <c r="A120" s="76" t="s">
        <v>286</v>
      </c>
      <c r="B120" s="76">
        <v>105</v>
      </c>
      <c r="C120" s="76" t="s">
        <v>1152</v>
      </c>
      <c r="D120" s="117" t="s">
        <v>1185</v>
      </c>
      <c r="E120" s="117"/>
      <c r="F120" s="117"/>
      <c r="G120" s="117"/>
      <c r="H120" s="118" t="s">
        <v>1186</v>
      </c>
      <c r="I120" s="119" t="s">
        <v>995</v>
      </c>
      <c r="J120" s="124"/>
      <c r="K120" s="124"/>
      <c r="L120" s="129"/>
      <c r="M120" s="80"/>
      <c r="N120" s="80"/>
      <c r="O120" s="81"/>
      <c r="P120" s="82"/>
      <c r="Q120" s="83"/>
      <c r="R120" s="84"/>
      <c r="S120" s="85"/>
      <c r="T120" s="86"/>
      <c r="U120" s="47"/>
      <c r="V120"/>
    </row>
    <row r="121" spans="1:22" ht="18.75" hidden="1">
      <c r="A121" s="76" t="s">
        <v>286</v>
      </c>
      <c r="B121" s="76">
        <v>106</v>
      </c>
      <c r="C121" s="76" t="s">
        <v>1152</v>
      </c>
      <c r="D121" s="117" t="s">
        <v>1187</v>
      </c>
      <c r="E121" s="117"/>
      <c r="F121" s="117"/>
      <c r="G121" s="117"/>
      <c r="H121" s="118" t="s">
        <v>1174</v>
      </c>
      <c r="I121" s="119" t="s">
        <v>995</v>
      </c>
      <c r="J121" s="124"/>
      <c r="K121" s="124"/>
      <c r="L121" s="129"/>
      <c r="M121" s="80"/>
      <c r="N121" s="80"/>
      <c r="O121" s="81"/>
      <c r="P121" s="82"/>
      <c r="Q121" s="83"/>
      <c r="R121" s="84"/>
      <c r="S121" s="85"/>
      <c r="T121" s="86"/>
      <c r="U121" s="47"/>
      <c r="V121"/>
    </row>
    <row r="122" spans="1:22" ht="18.75" hidden="1">
      <c r="A122" s="76" t="s">
        <v>286</v>
      </c>
      <c r="B122" s="76">
        <v>107</v>
      </c>
      <c r="C122" s="76" t="s">
        <v>1152</v>
      </c>
      <c r="D122" s="117" t="s">
        <v>1188</v>
      </c>
      <c r="E122" s="117"/>
      <c r="F122" s="117"/>
      <c r="G122" s="117"/>
      <c r="H122" s="118" t="s">
        <v>1174</v>
      </c>
      <c r="I122" s="119" t="s">
        <v>995</v>
      </c>
      <c r="J122" s="124"/>
      <c r="K122" s="124"/>
      <c r="L122" s="129"/>
      <c r="M122" s="80"/>
      <c r="N122" s="80"/>
      <c r="O122" s="81"/>
      <c r="P122" s="82"/>
      <c r="Q122" s="83"/>
      <c r="R122" s="84"/>
      <c r="S122" s="85"/>
      <c r="T122" s="86"/>
      <c r="U122" s="47"/>
      <c r="V122"/>
    </row>
    <row r="123" spans="1:22" ht="18.75" hidden="1">
      <c r="A123" s="76" t="s">
        <v>286</v>
      </c>
      <c r="B123" s="76"/>
      <c r="C123" s="76"/>
      <c r="D123" s="120" t="s">
        <v>1189</v>
      </c>
      <c r="E123" s="120"/>
      <c r="F123" s="120"/>
      <c r="G123" s="120"/>
      <c r="H123" s="121" t="s">
        <v>995</v>
      </c>
      <c r="I123" s="121" t="s">
        <v>995</v>
      </c>
      <c r="J123" s="123"/>
      <c r="K123" s="123"/>
      <c r="L123" s="129"/>
      <c r="M123" s="80"/>
      <c r="N123" s="80"/>
      <c r="O123" s="81"/>
      <c r="P123" s="82"/>
      <c r="Q123" s="83"/>
      <c r="R123" s="84"/>
      <c r="S123" s="85"/>
      <c r="T123" s="86"/>
      <c r="U123" s="47"/>
      <c r="V123"/>
    </row>
    <row r="124" spans="1:22" ht="18.75" hidden="1">
      <c r="A124" s="76" t="s">
        <v>286</v>
      </c>
      <c r="B124" s="76">
        <v>108</v>
      </c>
      <c r="C124" s="76" t="s">
        <v>1190</v>
      </c>
      <c r="D124" s="117" t="s">
        <v>1191</v>
      </c>
      <c r="E124" s="117"/>
      <c r="F124" s="117"/>
      <c r="G124" s="117"/>
      <c r="H124" s="118">
        <v>11625</v>
      </c>
      <c r="I124" s="119">
        <v>2019</v>
      </c>
      <c r="J124" s="124" t="s">
        <v>19</v>
      </c>
      <c r="K124" s="124"/>
      <c r="L124" s="129"/>
      <c r="M124" s="145">
        <v>45783</v>
      </c>
      <c r="N124" s="80">
        <v>2030</v>
      </c>
      <c r="O124" s="81"/>
      <c r="P124" s="82"/>
      <c r="Q124" s="83"/>
      <c r="R124" s="84"/>
      <c r="S124" s="85" t="s">
        <v>117</v>
      </c>
      <c r="T124" s="86"/>
      <c r="U124" s="47"/>
      <c r="V124"/>
    </row>
    <row r="125" spans="1:22" ht="18.75" hidden="1">
      <c r="A125" s="76" t="s">
        <v>286</v>
      </c>
      <c r="B125" s="76">
        <v>109</v>
      </c>
      <c r="C125" s="76" t="s">
        <v>1190</v>
      </c>
      <c r="D125" s="117" t="s">
        <v>1192</v>
      </c>
      <c r="E125" s="117"/>
      <c r="F125" s="117"/>
      <c r="G125" s="117"/>
      <c r="H125" s="118" t="s">
        <v>995</v>
      </c>
      <c r="I125" s="119">
        <v>2020</v>
      </c>
      <c r="J125" s="124" t="s">
        <v>19</v>
      </c>
      <c r="K125" s="124"/>
      <c r="L125" s="129"/>
      <c r="M125" s="145">
        <v>45783</v>
      </c>
      <c r="N125" s="80">
        <v>2030</v>
      </c>
      <c r="O125" s="81"/>
      <c r="P125" s="82"/>
      <c r="Q125" s="83"/>
      <c r="R125" s="84"/>
      <c r="S125" s="85" t="s">
        <v>117</v>
      </c>
      <c r="T125" s="86"/>
      <c r="U125" s="47"/>
      <c r="V125"/>
    </row>
    <row r="126" spans="1:22" ht="30" hidden="1">
      <c r="A126" s="76" t="s">
        <v>286</v>
      </c>
      <c r="B126" s="76">
        <v>110</v>
      </c>
      <c r="C126" s="76" t="s">
        <v>1190</v>
      </c>
      <c r="D126" s="117" t="s">
        <v>1193</v>
      </c>
      <c r="E126" s="117"/>
      <c r="F126" s="117"/>
      <c r="G126" s="117"/>
      <c r="H126" s="118" t="s">
        <v>995</v>
      </c>
      <c r="I126" s="119">
        <v>2020</v>
      </c>
      <c r="J126" s="124" t="s">
        <v>19</v>
      </c>
      <c r="K126" s="124"/>
      <c r="L126" s="129"/>
      <c r="M126" s="145">
        <v>45783</v>
      </c>
      <c r="N126" s="80">
        <v>2030</v>
      </c>
      <c r="O126" s="81"/>
      <c r="P126" s="82"/>
      <c r="Q126" s="83"/>
      <c r="R126" s="84"/>
      <c r="S126" s="85" t="s">
        <v>117</v>
      </c>
      <c r="T126" s="86"/>
      <c r="U126" s="47" t="s">
        <v>1194</v>
      </c>
      <c r="V126"/>
    </row>
    <row r="127" spans="1:22" ht="30" hidden="1">
      <c r="A127" s="76" t="s">
        <v>286</v>
      </c>
      <c r="B127" s="76">
        <v>111</v>
      </c>
      <c r="C127" s="76" t="s">
        <v>1190</v>
      </c>
      <c r="D127" s="117" t="s">
        <v>1195</v>
      </c>
      <c r="E127" s="117"/>
      <c r="F127" s="117"/>
      <c r="G127" s="117"/>
      <c r="H127" s="118">
        <v>11621</v>
      </c>
      <c r="I127" s="119">
        <v>2019</v>
      </c>
      <c r="J127" s="124" t="s">
        <v>19</v>
      </c>
      <c r="K127" s="124"/>
      <c r="L127" s="129"/>
      <c r="M127" s="145">
        <v>45783</v>
      </c>
      <c r="N127" s="80">
        <v>2030</v>
      </c>
      <c r="O127" s="81"/>
      <c r="P127" s="82"/>
      <c r="Q127" s="83"/>
      <c r="R127" s="84"/>
      <c r="S127" s="85" t="s">
        <v>117</v>
      </c>
      <c r="T127" s="86"/>
      <c r="U127" s="47" t="s">
        <v>1196</v>
      </c>
      <c r="V127"/>
    </row>
    <row r="128" spans="1:22" ht="18.75" hidden="1">
      <c r="A128" s="76" t="s">
        <v>286</v>
      </c>
      <c r="B128" s="76">
        <v>112</v>
      </c>
      <c r="C128" s="76" t="s">
        <v>1190</v>
      </c>
      <c r="D128" s="117" t="s">
        <v>1197</v>
      </c>
      <c r="E128" s="117"/>
      <c r="F128" s="117"/>
      <c r="G128" s="117"/>
      <c r="H128" s="118">
        <v>11622</v>
      </c>
      <c r="I128" s="119">
        <v>2019</v>
      </c>
      <c r="J128" s="124" t="s">
        <v>19</v>
      </c>
      <c r="K128" s="124"/>
      <c r="L128" s="129"/>
      <c r="M128" s="145">
        <v>45783</v>
      </c>
      <c r="N128" s="80">
        <v>2030</v>
      </c>
      <c r="O128" s="81"/>
      <c r="P128" s="82"/>
      <c r="Q128" s="83"/>
      <c r="R128" s="84"/>
      <c r="S128" s="85" t="s">
        <v>117</v>
      </c>
      <c r="T128" s="86"/>
      <c r="U128" s="47"/>
      <c r="V128"/>
    </row>
    <row r="129" spans="1:22" ht="18.75" hidden="1">
      <c r="A129" s="76" t="s">
        <v>286</v>
      </c>
      <c r="B129" s="76">
        <v>113</v>
      </c>
      <c r="C129" s="76" t="s">
        <v>1190</v>
      </c>
      <c r="D129" s="117" t="s">
        <v>1198</v>
      </c>
      <c r="E129" s="117"/>
      <c r="F129" s="117"/>
      <c r="G129" s="117"/>
      <c r="H129" s="118" t="s">
        <v>995</v>
      </c>
      <c r="I129" s="119">
        <v>2019</v>
      </c>
      <c r="J129" s="124" t="s">
        <v>19</v>
      </c>
      <c r="K129" s="124"/>
      <c r="L129" s="129"/>
      <c r="M129" s="145">
        <v>45783</v>
      </c>
      <c r="N129" s="80">
        <v>2030</v>
      </c>
      <c r="O129" s="81"/>
      <c r="P129" s="82"/>
      <c r="Q129" s="83"/>
      <c r="R129" s="84"/>
      <c r="S129" s="85" t="s">
        <v>117</v>
      </c>
      <c r="T129" s="86"/>
      <c r="U129" s="47"/>
      <c r="V129"/>
    </row>
    <row r="130" spans="1:22" s="151" customFormat="1" ht="18.75" hidden="1">
      <c r="A130" s="130" t="s">
        <v>286</v>
      </c>
      <c r="B130" s="130">
        <v>114</v>
      </c>
      <c r="C130" s="76" t="s">
        <v>1190</v>
      </c>
      <c r="D130" s="146" t="s">
        <v>1199</v>
      </c>
      <c r="E130" s="146"/>
      <c r="F130" s="146"/>
      <c r="G130" s="146"/>
      <c r="H130" s="147">
        <v>11478</v>
      </c>
      <c r="I130" s="148">
        <v>2017</v>
      </c>
      <c r="J130" s="149" t="s">
        <v>253</v>
      </c>
      <c r="K130" s="149"/>
      <c r="L130" s="150"/>
      <c r="M130" s="145">
        <v>45783</v>
      </c>
      <c r="N130" s="149" t="s">
        <v>253</v>
      </c>
      <c r="O130" s="135"/>
      <c r="P130" s="136"/>
      <c r="Q130" s="137"/>
      <c r="R130" s="138"/>
      <c r="S130" s="139"/>
      <c r="T130" s="140"/>
      <c r="U130" s="141" t="s">
        <v>1200</v>
      </c>
    </row>
    <row r="131" spans="1:22" s="151" customFormat="1" ht="18.75" hidden="1">
      <c r="A131" s="130" t="s">
        <v>286</v>
      </c>
      <c r="B131" s="130">
        <v>115</v>
      </c>
      <c r="C131" s="76" t="s">
        <v>1190</v>
      </c>
      <c r="D131" s="146" t="s">
        <v>1201</v>
      </c>
      <c r="E131" s="146"/>
      <c r="F131" s="146"/>
      <c r="G131" s="146"/>
      <c r="H131" s="147" t="s">
        <v>995</v>
      </c>
      <c r="I131" s="148">
        <v>1958</v>
      </c>
      <c r="J131" s="149" t="s">
        <v>253</v>
      </c>
      <c r="K131" s="149"/>
      <c r="L131" s="150"/>
      <c r="M131" s="145">
        <v>45783</v>
      </c>
      <c r="N131" s="149" t="s">
        <v>253</v>
      </c>
      <c r="O131" s="135"/>
      <c r="P131" s="136"/>
      <c r="Q131" s="137"/>
      <c r="R131" s="138"/>
      <c r="S131" s="139"/>
      <c r="T131" s="140"/>
      <c r="U131" s="141"/>
    </row>
    <row r="132" spans="1:22" s="151" customFormat="1" ht="18.75" hidden="1">
      <c r="A132" s="130" t="s">
        <v>286</v>
      </c>
      <c r="B132" s="130">
        <v>116</v>
      </c>
      <c r="C132" s="76" t="s">
        <v>1190</v>
      </c>
      <c r="D132" s="146" t="s">
        <v>1202</v>
      </c>
      <c r="E132" s="146"/>
      <c r="F132" s="146"/>
      <c r="G132" s="146"/>
      <c r="H132" s="147">
        <v>11400</v>
      </c>
      <c r="I132" s="148">
        <v>2014</v>
      </c>
      <c r="J132" s="149" t="s">
        <v>253</v>
      </c>
      <c r="K132" s="149"/>
      <c r="L132" s="150"/>
      <c r="M132" s="145">
        <v>45783</v>
      </c>
      <c r="N132" s="149" t="s">
        <v>253</v>
      </c>
      <c r="O132" s="135"/>
      <c r="P132" s="136"/>
      <c r="Q132" s="137"/>
      <c r="R132" s="138"/>
      <c r="S132" s="139"/>
      <c r="T132" s="140"/>
      <c r="U132" s="141"/>
    </row>
    <row r="133" spans="1:22" s="151" customFormat="1" ht="18.75" hidden="1">
      <c r="A133" s="130" t="s">
        <v>286</v>
      </c>
      <c r="B133" s="130">
        <v>117</v>
      </c>
      <c r="C133" s="76" t="s">
        <v>1190</v>
      </c>
      <c r="D133" s="146" t="s">
        <v>1203</v>
      </c>
      <c r="E133" s="146"/>
      <c r="F133" s="146"/>
      <c r="G133" s="146"/>
      <c r="H133" s="147">
        <v>11614</v>
      </c>
      <c r="I133" s="148">
        <v>2017</v>
      </c>
      <c r="J133" s="149" t="s">
        <v>253</v>
      </c>
      <c r="K133" s="149"/>
      <c r="L133" s="150"/>
      <c r="M133" s="145">
        <v>45783</v>
      </c>
      <c r="N133" s="149" t="s">
        <v>253</v>
      </c>
      <c r="O133" s="135"/>
      <c r="P133" s="136"/>
      <c r="Q133" s="137"/>
      <c r="R133" s="138"/>
      <c r="S133" s="139"/>
      <c r="T133" s="140"/>
      <c r="U133" s="141"/>
    </row>
    <row r="134" spans="1:22" ht="18.75" hidden="1">
      <c r="A134" s="76" t="s">
        <v>286</v>
      </c>
      <c r="B134" s="76">
        <v>118</v>
      </c>
      <c r="C134" s="76" t="s">
        <v>1190</v>
      </c>
      <c r="D134" s="117" t="s">
        <v>1204</v>
      </c>
      <c r="E134" s="117"/>
      <c r="F134" s="117"/>
      <c r="G134" s="117"/>
      <c r="H134" s="118" t="s">
        <v>995</v>
      </c>
      <c r="I134" s="119">
        <v>2020</v>
      </c>
      <c r="J134" s="124" t="s">
        <v>14</v>
      </c>
      <c r="K134" s="124"/>
      <c r="L134" s="129"/>
      <c r="M134" s="145">
        <v>45783</v>
      </c>
      <c r="N134" s="80">
        <v>2027</v>
      </c>
      <c r="O134" s="81"/>
      <c r="P134" s="82"/>
      <c r="Q134" s="83" t="s">
        <v>117</v>
      </c>
      <c r="R134" s="84"/>
      <c r="S134" s="85"/>
      <c r="T134" s="86"/>
      <c r="U134" s="47" t="s">
        <v>1205</v>
      </c>
      <c r="V134"/>
    </row>
    <row r="135" spans="1:22" ht="18.75" hidden="1">
      <c r="A135" s="76" t="s">
        <v>286</v>
      </c>
      <c r="B135" s="76">
        <v>119</v>
      </c>
      <c r="C135" s="76" t="s">
        <v>1190</v>
      </c>
      <c r="D135" s="117" t="s">
        <v>1206</v>
      </c>
      <c r="E135" s="117"/>
      <c r="F135" s="117"/>
      <c r="G135" s="117"/>
      <c r="H135" s="118">
        <v>10394</v>
      </c>
      <c r="I135" s="119" t="s">
        <v>995</v>
      </c>
      <c r="J135" s="124" t="s">
        <v>19</v>
      </c>
      <c r="K135" s="124"/>
      <c r="L135" s="129"/>
      <c r="M135" s="145">
        <v>45783</v>
      </c>
      <c r="N135" s="80">
        <v>2028</v>
      </c>
      <c r="O135" s="81"/>
      <c r="P135" s="82"/>
      <c r="Q135" s="83"/>
      <c r="R135" s="84" t="s">
        <v>117</v>
      </c>
      <c r="S135" s="85"/>
      <c r="T135" s="86"/>
      <c r="U135" s="47"/>
      <c r="V135"/>
    </row>
    <row r="136" spans="1:22" ht="18.75" hidden="1">
      <c r="A136" s="76" t="s">
        <v>286</v>
      </c>
      <c r="B136" s="76">
        <v>120</v>
      </c>
      <c r="C136" s="76" t="s">
        <v>1190</v>
      </c>
      <c r="D136" s="117" t="s">
        <v>1207</v>
      </c>
      <c r="E136" s="117"/>
      <c r="F136" s="117"/>
      <c r="G136" s="117"/>
      <c r="H136" s="118">
        <v>11662</v>
      </c>
      <c r="I136" s="119" t="s">
        <v>995</v>
      </c>
      <c r="J136" s="124" t="s">
        <v>19</v>
      </c>
      <c r="K136" s="124"/>
      <c r="L136" s="129"/>
      <c r="M136" s="145">
        <v>45783</v>
      </c>
      <c r="N136" s="80">
        <v>2028</v>
      </c>
      <c r="O136" s="81"/>
      <c r="P136" s="82"/>
      <c r="Q136" s="83"/>
      <c r="R136" s="84" t="s">
        <v>117</v>
      </c>
      <c r="S136" s="85"/>
      <c r="T136" s="86"/>
      <c r="U136" s="47"/>
      <c r="V136"/>
    </row>
    <row r="137" spans="1:22" ht="18.75" hidden="1">
      <c r="A137" s="76" t="s">
        <v>286</v>
      </c>
      <c r="B137" s="76">
        <v>121</v>
      </c>
      <c r="C137" s="76" t="s">
        <v>1190</v>
      </c>
      <c r="D137" s="117" t="s">
        <v>1208</v>
      </c>
      <c r="E137" s="117"/>
      <c r="F137" s="117"/>
      <c r="G137" s="117"/>
      <c r="H137" s="118">
        <v>10397</v>
      </c>
      <c r="I137" s="119">
        <v>2019</v>
      </c>
      <c r="J137" s="124" t="s">
        <v>19</v>
      </c>
      <c r="K137" s="124"/>
      <c r="L137" s="129"/>
      <c r="M137" s="145">
        <v>45783</v>
      </c>
      <c r="N137" s="80">
        <v>2028</v>
      </c>
      <c r="O137" s="81"/>
      <c r="P137" s="82"/>
      <c r="Q137" s="83"/>
      <c r="R137" s="84" t="s">
        <v>117</v>
      </c>
      <c r="S137" s="85"/>
      <c r="T137" s="86"/>
      <c r="U137" s="47"/>
      <c r="V137"/>
    </row>
    <row r="138" spans="1:22" ht="18.75" hidden="1">
      <c r="A138" s="76" t="s">
        <v>286</v>
      </c>
      <c r="B138" s="76">
        <v>122</v>
      </c>
      <c r="C138" s="76" t="s">
        <v>1190</v>
      </c>
      <c r="D138" s="117" t="s">
        <v>1209</v>
      </c>
      <c r="E138" s="117"/>
      <c r="F138" s="117"/>
      <c r="G138" s="117"/>
      <c r="H138" s="118">
        <v>10395</v>
      </c>
      <c r="I138" s="119" t="s">
        <v>995</v>
      </c>
      <c r="J138" s="124" t="s">
        <v>19</v>
      </c>
      <c r="K138" s="124"/>
      <c r="L138" s="129"/>
      <c r="M138" s="145">
        <v>45783</v>
      </c>
      <c r="N138" s="80">
        <v>2028</v>
      </c>
      <c r="O138" s="81"/>
      <c r="P138" s="82"/>
      <c r="Q138" s="83"/>
      <c r="R138" s="84" t="s">
        <v>117</v>
      </c>
      <c r="S138" s="85"/>
      <c r="T138" s="86"/>
      <c r="U138" s="47"/>
      <c r="V138"/>
    </row>
    <row r="139" spans="1:22" ht="18.75" hidden="1">
      <c r="A139" s="76" t="s">
        <v>286</v>
      </c>
      <c r="B139" s="76">
        <v>123</v>
      </c>
      <c r="C139" s="76" t="s">
        <v>1190</v>
      </c>
      <c r="D139" s="117" t="s">
        <v>1210</v>
      </c>
      <c r="E139" s="117"/>
      <c r="F139" s="117"/>
      <c r="G139" s="117"/>
      <c r="H139" s="118">
        <v>11661</v>
      </c>
      <c r="I139" s="119">
        <v>2019</v>
      </c>
      <c r="J139" s="124" t="s">
        <v>19</v>
      </c>
      <c r="K139" s="124"/>
      <c r="L139" s="129"/>
      <c r="M139" s="145">
        <v>45783</v>
      </c>
      <c r="N139" s="80">
        <v>2028</v>
      </c>
      <c r="O139" s="81"/>
      <c r="P139" s="82"/>
      <c r="Q139" s="83"/>
      <c r="R139" s="84" t="s">
        <v>117</v>
      </c>
      <c r="S139" s="85"/>
      <c r="T139" s="86"/>
      <c r="U139" s="47"/>
      <c r="V139"/>
    </row>
    <row r="140" spans="1:22" ht="18.75" hidden="1">
      <c r="A140" s="76" t="s">
        <v>286</v>
      </c>
      <c r="B140" s="76"/>
      <c r="C140" s="76" t="s">
        <v>1190</v>
      </c>
      <c r="D140" s="117" t="s">
        <v>1211</v>
      </c>
      <c r="E140" s="117"/>
      <c r="F140" s="117"/>
      <c r="G140" s="117"/>
      <c r="H140" s="118"/>
      <c r="I140" s="119">
        <v>2024</v>
      </c>
      <c r="J140" s="124" t="s">
        <v>1212</v>
      </c>
      <c r="K140" s="124"/>
      <c r="L140" s="129"/>
      <c r="M140" s="145">
        <v>45784</v>
      </c>
      <c r="N140" s="80">
        <v>2028</v>
      </c>
      <c r="O140" s="81"/>
      <c r="P140" s="82"/>
      <c r="Q140" s="83"/>
      <c r="R140" s="84"/>
      <c r="S140" s="85"/>
      <c r="T140" s="86" t="s">
        <v>117</v>
      </c>
      <c r="U140" s="47"/>
      <c r="V140"/>
    </row>
    <row r="141" spans="1:22" ht="18.75" hidden="1">
      <c r="A141" s="76" t="s">
        <v>286</v>
      </c>
      <c r="B141" s="76"/>
      <c r="C141" s="76" t="s">
        <v>1190</v>
      </c>
      <c r="D141" s="117" t="s">
        <v>1213</v>
      </c>
      <c r="E141" s="117"/>
      <c r="F141" s="117"/>
      <c r="G141" s="117"/>
      <c r="H141" s="118"/>
      <c r="I141" s="119">
        <v>2025</v>
      </c>
      <c r="J141" s="124" t="s">
        <v>1212</v>
      </c>
      <c r="K141" s="124"/>
      <c r="L141" s="129"/>
      <c r="M141" s="145">
        <v>45785</v>
      </c>
      <c r="N141" s="80">
        <v>2030</v>
      </c>
      <c r="O141" s="81"/>
      <c r="P141" s="82"/>
      <c r="Q141" s="83"/>
      <c r="R141" s="84" t="s">
        <v>117</v>
      </c>
      <c r="S141" s="85"/>
      <c r="T141" s="86"/>
      <c r="U141" s="47"/>
      <c r="V141"/>
    </row>
    <row r="142" spans="1:22" ht="18.75" hidden="1">
      <c r="A142" s="76" t="s">
        <v>286</v>
      </c>
      <c r="B142" s="76"/>
      <c r="C142" s="76" t="s">
        <v>1190</v>
      </c>
      <c r="D142" s="117" t="s">
        <v>1214</v>
      </c>
      <c r="E142" s="117"/>
      <c r="F142" s="117"/>
      <c r="G142" s="117"/>
      <c r="H142" s="118"/>
      <c r="I142" s="119">
        <v>2025</v>
      </c>
      <c r="J142" s="124" t="s">
        <v>1212</v>
      </c>
      <c r="K142" s="124"/>
      <c r="L142" s="129"/>
      <c r="M142" s="145">
        <v>45786</v>
      </c>
      <c r="N142" s="80">
        <v>2030</v>
      </c>
      <c r="O142" s="81"/>
      <c r="P142" s="82"/>
      <c r="Q142" s="83"/>
      <c r="R142" s="84"/>
      <c r="S142" s="85"/>
      <c r="T142" s="86" t="s">
        <v>117</v>
      </c>
      <c r="U142" s="47"/>
      <c r="V142"/>
    </row>
    <row r="143" spans="1:22" ht="18.75" hidden="1">
      <c r="A143" s="76" t="s">
        <v>286</v>
      </c>
      <c r="B143" s="76"/>
      <c r="C143" s="76" t="s">
        <v>1190</v>
      </c>
      <c r="D143" s="117" t="s">
        <v>1215</v>
      </c>
      <c r="E143" s="117"/>
      <c r="F143" s="117"/>
      <c r="G143" s="117"/>
      <c r="H143" s="118"/>
      <c r="I143" s="119">
        <v>2024</v>
      </c>
      <c r="J143" s="124" t="s">
        <v>1212</v>
      </c>
      <c r="K143" s="124"/>
      <c r="L143" s="129"/>
      <c r="M143" s="145">
        <v>45787</v>
      </c>
      <c r="N143" s="80">
        <v>2031</v>
      </c>
      <c r="O143" s="81"/>
      <c r="P143" s="82"/>
      <c r="Q143" s="83"/>
      <c r="R143" s="84"/>
      <c r="S143" s="85"/>
      <c r="T143" s="86" t="s">
        <v>117</v>
      </c>
      <c r="U143" s="47"/>
      <c r="V143"/>
    </row>
    <row r="144" spans="1:22" ht="18.75" hidden="1">
      <c r="A144" s="76" t="s">
        <v>286</v>
      </c>
      <c r="B144" s="76"/>
      <c r="C144" s="76"/>
      <c r="D144" s="120" t="s">
        <v>1216</v>
      </c>
      <c r="E144" s="120"/>
      <c r="F144" s="120"/>
      <c r="G144" s="120"/>
      <c r="H144" s="121" t="s">
        <v>995</v>
      </c>
      <c r="I144" s="121" t="s">
        <v>995</v>
      </c>
      <c r="J144" s="123"/>
      <c r="K144" s="123"/>
      <c r="L144" s="129"/>
      <c r="M144" s="80"/>
      <c r="N144" s="80"/>
      <c r="O144" s="81"/>
      <c r="P144" s="82"/>
      <c r="Q144" s="83"/>
      <c r="R144" s="84"/>
      <c r="S144" s="85"/>
      <c r="T144" s="86"/>
      <c r="U144" s="47"/>
      <c r="V144"/>
    </row>
    <row r="145" spans="1:22" ht="18.75" hidden="1">
      <c r="A145" s="76" t="s">
        <v>286</v>
      </c>
      <c r="B145" s="76">
        <v>124</v>
      </c>
      <c r="C145" s="76" t="s">
        <v>235</v>
      </c>
      <c r="D145" s="117" t="s">
        <v>1217</v>
      </c>
      <c r="E145" s="117"/>
      <c r="F145" s="117"/>
      <c r="G145" s="117"/>
      <c r="H145" s="118" t="s">
        <v>253</v>
      </c>
      <c r="I145" s="119">
        <v>2000</v>
      </c>
      <c r="J145" s="124"/>
      <c r="K145" s="124"/>
      <c r="L145" s="129"/>
      <c r="M145" s="80"/>
      <c r="N145" s="80"/>
      <c r="O145" s="81"/>
      <c r="P145" s="82"/>
      <c r="Q145" s="83"/>
      <c r="R145" s="84"/>
      <c r="S145" s="85"/>
      <c r="T145" s="86"/>
      <c r="U145" s="47"/>
      <c r="V145"/>
    </row>
    <row r="146" spans="1:22" ht="18.75" hidden="1">
      <c r="A146" s="76" t="s">
        <v>286</v>
      </c>
      <c r="B146" s="76">
        <v>125</v>
      </c>
      <c r="C146" s="76" t="s">
        <v>235</v>
      </c>
      <c r="D146" s="117" t="s">
        <v>1218</v>
      </c>
      <c r="E146" s="117"/>
      <c r="F146" s="117"/>
      <c r="G146" s="117"/>
      <c r="H146" s="118" t="s">
        <v>253</v>
      </c>
      <c r="I146" s="119">
        <v>2000</v>
      </c>
      <c r="J146" s="124"/>
      <c r="K146" s="124"/>
      <c r="L146" s="129"/>
      <c r="M146" s="80"/>
      <c r="N146" s="80"/>
      <c r="O146" s="81" t="s">
        <v>117</v>
      </c>
      <c r="P146" s="82"/>
      <c r="Q146" s="83"/>
      <c r="R146" s="84"/>
      <c r="S146" s="85"/>
      <c r="T146" s="86"/>
      <c r="U146" s="47"/>
      <c r="V146"/>
    </row>
    <row r="147" spans="1:22" ht="18.75" hidden="1">
      <c r="A147" s="76" t="s">
        <v>286</v>
      </c>
      <c r="B147" s="76">
        <v>126</v>
      </c>
      <c r="C147" s="76" t="s">
        <v>235</v>
      </c>
      <c r="D147" s="117" t="s">
        <v>1219</v>
      </c>
      <c r="E147" s="117"/>
      <c r="F147" s="117"/>
      <c r="G147" s="117"/>
      <c r="H147" s="118" t="s">
        <v>253</v>
      </c>
      <c r="I147" s="119">
        <v>2019</v>
      </c>
      <c r="J147" s="124"/>
      <c r="K147" s="124"/>
      <c r="L147" s="129"/>
      <c r="M147" s="80"/>
      <c r="N147" s="80"/>
      <c r="O147" s="81"/>
      <c r="P147" s="82"/>
      <c r="Q147" s="83"/>
      <c r="R147" s="84"/>
      <c r="S147" s="85"/>
      <c r="T147" s="86" t="s">
        <v>117</v>
      </c>
      <c r="U147" s="47"/>
      <c r="V147"/>
    </row>
    <row r="148" spans="1:22" ht="18.75" hidden="1">
      <c r="A148" s="76" t="s">
        <v>286</v>
      </c>
      <c r="B148" s="76">
        <v>127</v>
      </c>
      <c r="C148" s="76" t="s">
        <v>235</v>
      </c>
      <c r="D148" s="117" t="s">
        <v>1220</v>
      </c>
      <c r="E148" s="117"/>
      <c r="F148" s="117"/>
      <c r="G148" s="117"/>
      <c r="H148" s="118">
        <v>11292</v>
      </c>
      <c r="I148" s="119">
        <v>2009</v>
      </c>
      <c r="J148" s="124"/>
      <c r="K148" s="124"/>
      <c r="L148" s="129"/>
      <c r="M148" s="80"/>
      <c r="N148" s="80"/>
      <c r="O148" s="81" t="s">
        <v>117</v>
      </c>
      <c r="P148" s="82"/>
      <c r="Q148" s="83"/>
      <c r="R148" s="84"/>
      <c r="S148" s="85"/>
      <c r="T148" s="86"/>
      <c r="U148" s="47"/>
      <c r="V148"/>
    </row>
    <row r="149" spans="1:22" ht="18.75" hidden="1">
      <c r="A149" s="76" t="s">
        <v>286</v>
      </c>
      <c r="B149" s="76">
        <v>128</v>
      </c>
      <c r="C149" s="76" t="s">
        <v>235</v>
      </c>
      <c r="D149" s="117" t="s">
        <v>1221</v>
      </c>
      <c r="E149" s="117"/>
      <c r="F149" s="117"/>
      <c r="G149" s="117"/>
      <c r="H149" s="118">
        <v>11426</v>
      </c>
      <c r="I149" s="119">
        <v>2014</v>
      </c>
      <c r="J149" s="124"/>
      <c r="K149" s="124"/>
      <c r="L149" s="129"/>
      <c r="M149" s="80"/>
      <c r="N149" s="80"/>
      <c r="O149" s="81"/>
      <c r="P149" s="82" t="s">
        <v>117</v>
      </c>
      <c r="Q149" s="83"/>
      <c r="R149" s="84"/>
      <c r="S149" s="85"/>
      <c r="T149" s="86"/>
      <c r="U149" s="47"/>
      <c r="V149"/>
    </row>
    <row r="150" spans="1:22" ht="18.75" hidden="1">
      <c r="A150" s="76" t="s">
        <v>286</v>
      </c>
      <c r="B150" s="76">
        <v>129</v>
      </c>
      <c r="C150" s="76" t="s">
        <v>235</v>
      </c>
      <c r="D150" s="117" t="s">
        <v>1222</v>
      </c>
      <c r="E150" s="117"/>
      <c r="F150" s="117"/>
      <c r="G150" s="117"/>
      <c r="H150" s="118" t="s">
        <v>253</v>
      </c>
      <c r="I150" s="119">
        <v>2000</v>
      </c>
      <c r="J150" s="124"/>
      <c r="K150" s="124"/>
      <c r="L150" s="129"/>
      <c r="M150" s="80"/>
      <c r="N150" s="80"/>
      <c r="O150" s="81"/>
      <c r="P150" s="82"/>
      <c r="Q150" s="83"/>
      <c r="R150" s="84"/>
      <c r="S150" s="85"/>
      <c r="T150" s="86"/>
      <c r="U150" s="47"/>
      <c r="V150"/>
    </row>
    <row r="151" spans="1:22" ht="18.75" hidden="1">
      <c r="A151" s="76" t="s">
        <v>286</v>
      </c>
      <c r="B151" s="76">
        <v>130</v>
      </c>
      <c r="C151" s="76" t="s">
        <v>235</v>
      </c>
      <c r="D151" s="117" t="s">
        <v>1223</v>
      </c>
      <c r="E151" s="117"/>
      <c r="F151" s="117"/>
      <c r="G151" s="117"/>
      <c r="H151" s="118" t="s">
        <v>253</v>
      </c>
      <c r="I151" s="119">
        <v>2000</v>
      </c>
      <c r="J151" s="124"/>
      <c r="K151" s="124"/>
      <c r="L151" s="129"/>
      <c r="M151" s="80"/>
      <c r="N151" s="80"/>
      <c r="O151" s="81"/>
      <c r="P151" s="82"/>
      <c r="Q151" s="83"/>
      <c r="R151" s="84"/>
      <c r="S151" s="85"/>
      <c r="T151" s="86"/>
      <c r="U151" s="47"/>
      <c r="V151"/>
    </row>
    <row r="152" spans="1:22" ht="18.75" hidden="1">
      <c r="A152" s="76" t="s">
        <v>286</v>
      </c>
      <c r="B152" s="76">
        <v>131</v>
      </c>
      <c r="C152" s="76" t="s">
        <v>235</v>
      </c>
      <c r="D152" s="117" t="s">
        <v>1224</v>
      </c>
      <c r="E152" s="117"/>
      <c r="F152" s="117"/>
      <c r="G152" s="117"/>
      <c r="H152" s="118" t="s">
        <v>253</v>
      </c>
      <c r="I152" s="119" t="s">
        <v>253</v>
      </c>
      <c r="J152" s="124"/>
      <c r="K152" s="124"/>
      <c r="L152" s="129"/>
      <c r="M152" s="80"/>
      <c r="N152" s="80"/>
      <c r="O152" s="81"/>
      <c r="P152" s="82"/>
      <c r="Q152" s="83"/>
      <c r="R152" s="84"/>
      <c r="S152" s="85"/>
      <c r="T152" s="86"/>
      <c r="U152" s="47"/>
      <c r="V152"/>
    </row>
    <row r="153" spans="1:22" ht="18.75" hidden="1">
      <c r="A153" s="76" t="s">
        <v>286</v>
      </c>
      <c r="B153" s="76">
        <v>132</v>
      </c>
      <c r="C153" s="76" t="s">
        <v>235</v>
      </c>
      <c r="D153" s="117" t="s">
        <v>1225</v>
      </c>
      <c r="E153" s="117"/>
      <c r="F153" s="117"/>
      <c r="G153" s="117"/>
      <c r="H153" s="118">
        <v>11436</v>
      </c>
      <c r="I153" s="119">
        <v>2015</v>
      </c>
      <c r="J153" s="124"/>
      <c r="K153" s="124"/>
      <c r="L153" s="129"/>
      <c r="M153" s="80"/>
      <c r="N153" s="80"/>
      <c r="O153" s="81"/>
      <c r="P153" s="82"/>
      <c r="Q153" s="83"/>
      <c r="R153" s="84"/>
      <c r="S153" s="85" t="s">
        <v>117</v>
      </c>
      <c r="T153" s="86"/>
      <c r="U153" s="47"/>
      <c r="V153"/>
    </row>
    <row r="154" spans="1:22" ht="18.75" hidden="1">
      <c r="A154" s="76" t="s">
        <v>286</v>
      </c>
      <c r="B154" s="76">
        <v>133</v>
      </c>
      <c r="C154" s="76" t="s">
        <v>235</v>
      </c>
      <c r="D154" s="117" t="s">
        <v>1226</v>
      </c>
      <c r="E154" s="117"/>
      <c r="F154" s="117"/>
      <c r="G154" s="117"/>
      <c r="H154" s="118" t="s">
        <v>253</v>
      </c>
      <c r="I154" s="119" t="s">
        <v>1227</v>
      </c>
      <c r="J154" s="124"/>
      <c r="K154" s="124"/>
      <c r="L154" s="129"/>
      <c r="M154" s="80"/>
      <c r="N154" s="80"/>
      <c r="O154" s="81"/>
      <c r="P154" s="82"/>
      <c r="Q154" s="83"/>
      <c r="R154" s="84"/>
      <c r="S154" s="85"/>
      <c r="T154" s="86" t="s">
        <v>117</v>
      </c>
      <c r="U154" s="47"/>
      <c r="V154"/>
    </row>
    <row r="155" spans="1:22" ht="18.75" hidden="1">
      <c r="A155" s="76" t="s">
        <v>286</v>
      </c>
      <c r="B155" s="76">
        <v>134</v>
      </c>
      <c r="C155" s="76" t="s">
        <v>235</v>
      </c>
      <c r="D155" s="117" t="s">
        <v>1228</v>
      </c>
      <c r="E155" s="117"/>
      <c r="F155" s="117"/>
      <c r="G155" s="117"/>
      <c r="H155" s="118" t="s">
        <v>253</v>
      </c>
      <c r="I155" s="119">
        <v>2019</v>
      </c>
      <c r="J155" s="124"/>
      <c r="K155" s="124"/>
      <c r="L155" s="129"/>
      <c r="M155" s="80"/>
      <c r="N155" s="80"/>
      <c r="O155" s="81"/>
      <c r="P155" s="82"/>
      <c r="Q155" s="83"/>
      <c r="R155" s="84"/>
      <c r="S155" s="85"/>
      <c r="T155" s="86"/>
      <c r="U155" s="47"/>
      <c r="V155"/>
    </row>
    <row r="156" spans="1:22" ht="18.75" hidden="1">
      <c r="A156" s="76" t="s">
        <v>286</v>
      </c>
      <c r="B156" s="76">
        <v>135</v>
      </c>
      <c r="C156" s="76" t="s">
        <v>235</v>
      </c>
      <c r="D156" s="117" t="s">
        <v>1229</v>
      </c>
      <c r="E156" s="117"/>
      <c r="F156" s="117"/>
      <c r="G156" s="117"/>
      <c r="H156" s="118">
        <v>11642</v>
      </c>
      <c r="I156" s="119">
        <v>2018</v>
      </c>
      <c r="J156" s="124"/>
      <c r="K156" s="124"/>
      <c r="L156" s="129"/>
      <c r="M156" s="80"/>
      <c r="N156" s="80"/>
      <c r="O156" s="81"/>
      <c r="P156" s="82"/>
      <c r="Q156" s="83"/>
      <c r="R156" s="84"/>
      <c r="S156" s="85"/>
      <c r="T156" s="86" t="s">
        <v>117</v>
      </c>
      <c r="U156" s="47"/>
      <c r="V156"/>
    </row>
    <row r="157" spans="1:22" ht="18.75" hidden="1">
      <c r="A157" s="76" t="s">
        <v>286</v>
      </c>
      <c r="B157" s="76">
        <v>136</v>
      </c>
      <c r="C157" s="76" t="s">
        <v>235</v>
      </c>
      <c r="D157" s="117" t="s">
        <v>1230</v>
      </c>
      <c r="E157" s="117"/>
      <c r="F157" s="117"/>
      <c r="G157" s="117"/>
      <c r="H157" s="118" t="s">
        <v>253</v>
      </c>
      <c r="I157" s="119">
        <v>2000</v>
      </c>
      <c r="J157" s="124"/>
      <c r="K157" s="124"/>
      <c r="L157" s="129"/>
      <c r="M157" s="80"/>
      <c r="N157" s="80"/>
      <c r="O157" s="81"/>
      <c r="P157" s="82"/>
      <c r="Q157" s="83"/>
      <c r="R157" s="84"/>
      <c r="S157" s="85"/>
      <c r="T157" s="86" t="s">
        <v>117</v>
      </c>
      <c r="U157" s="47"/>
      <c r="V157"/>
    </row>
    <row r="158" spans="1:22" ht="18.75" hidden="1">
      <c r="A158" s="76" t="s">
        <v>286</v>
      </c>
      <c r="B158" s="76">
        <v>137</v>
      </c>
      <c r="C158" s="76" t="s">
        <v>235</v>
      </c>
      <c r="D158" s="117" t="s">
        <v>1231</v>
      </c>
      <c r="E158" s="117"/>
      <c r="F158" s="117"/>
      <c r="G158" s="117"/>
      <c r="H158" s="118" t="s">
        <v>253</v>
      </c>
      <c r="I158" s="119">
        <v>2019</v>
      </c>
      <c r="J158" s="124"/>
      <c r="K158" s="124"/>
      <c r="L158" s="129"/>
      <c r="M158" s="80"/>
      <c r="N158" s="80"/>
      <c r="O158" s="81"/>
      <c r="P158" s="82"/>
      <c r="Q158" s="83"/>
      <c r="R158" s="84"/>
      <c r="S158" s="85"/>
      <c r="T158" s="86" t="s">
        <v>117</v>
      </c>
      <c r="U158" s="47"/>
      <c r="V158"/>
    </row>
    <row r="159" spans="1:22" ht="18.75" hidden="1">
      <c r="A159" s="76" t="s">
        <v>286</v>
      </c>
      <c r="B159" s="76">
        <v>138</v>
      </c>
      <c r="C159" s="76" t="s">
        <v>235</v>
      </c>
      <c r="D159" s="117" t="s">
        <v>1232</v>
      </c>
      <c r="E159" s="117"/>
      <c r="F159" s="117"/>
      <c r="G159" s="117"/>
      <c r="H159" s="118" t="s">
        <v>253</v>
      </c>
      <c r="I159" s="119">
        <v>2023</v>
      </c>
      <c r="J159" s="124"/>
      <c r="K159" s="124"/>
      <c r="L159" s="129"/>
      <c r="M159" s="80"/>
      <c r="N159" s="80"/>
      <c r="O159" s="81"/>
      <c r="P159" s="82"/>
      <c r="Q159" s="83"/>
      <c r="R159" s="84"/>
      <c r="S159" s="85" t="s">
        <v>117</v>
      </c>
      <c r="T159" s="86"/>
      <c r="U159" s="47"/>
      <c r="V159"/>
    </row>
    <row r="160" spans="1:22" ht="18.75" hidden="1">
      <c r="A160" s="76" t="s">
        <v>286</v>
      </c>
      <c r="B160" s="76">
        <v>139</v>
      </c>
      <c r="C160" s="76" t="s">
        <v>235</v>
      </c>
      <c r="D160" s="117" t="s">
        <v>1233</v>
      </c>
      <c r="E160" s="117"/>
      <c r="F160" s="117"/>
      <c r="G160" s="117"/>
      <c r="H160" s="118" t="s">
        <v>253</v>
      </c>
      <c r="I160" s="119">
        <v>2019</v>
      </c>
      <c r="J160" s="124"/>
      <c r="K160" s="124"/>
      <c r="L160" s="129"/>
      <c r="M160" s="80"/>
      <c r="N160" s="80"/>
      <c r="O160" s="81"/>
      <c r="P160" s="82"/>
      <c r="Q160" s="83"/>
      <c r="R160" s="84"/>
      <c r="S160" s="85"/>
      <c r="T160" s="86" t="s">
        <v>117</v>
      </c>
      <c r="U160" s="47"/>
      <c r="V160"/>
    </row>
    <row r="161" spans="1:22" ht="18.75" hidden="1">
      <c r="A161" s="76" t="s">
        <v>286</v>
      </c>
      <c r="B161" s="76">
        <v>140</v>
      </c>
      <c r="C161" s="76" t="s">
        <v>235</v>
      </c>
      <c r="D161" s="117" t="s">
        <v>1234</v>
      </c>
      <c r="E161" s="117"/>
      <c r="F161" s="117"/>
      <c r="G161" s="117"/>
      <c r="H161" s="118" t="s">
        <v>253</v>
      </c>
      <c r="I161" s="119">
        <v>2000</v>
      </c>
      <c r="J161" s="124"/>
      <c r="K161" s="124"/>
      <c r="L161" s="129"/>
      <c r="M161" s="80"/>
      <c r="N161" s="80"/>
      <c r="O161" s="81"/>
      <c r="P161" s="82"/>
      <c r="Q161" s="83"/>
      <c r="R161" s="84"/>
      <c r="S161" s="85"/>
      <c r="T161" s="86"/>
      <c r="U161" s="47"/>
      <c r="V161"/>
    </row>
    <row r="162" spans="1:22" ht="18.75" hidden="1">
      <c r="A162" s="76" t="s">
        <v>286</v>
      </c>
      <c r="B162" s="76">
        <v>141</v>
      </c>
      <c r="C162" s="76" t="s">
        <v>235</v>
      </c>
      <c r="D162" s="117" t="s">
        <v>1235</v>
      </c>
      <c r="E162" s="117"/>
      <c r="F162" s="117"/>
      <c r="G162" s="117"/>
      <c r="H162" s="118" t="s">
        <v>253</v>
      </c>
      <c r="I162" s="119">
        <v>2000</v>
      </c>
      <c r="J162" s="124"/>
      <c r="K162" s="124"/>
      <c r="L162" s="129"/>
      <c r="M162" s="80"/>
      <c r="N162" s="80"/>
      <c r="O162" s="81"/>
      <c r="P162" s="82"/>
      <c r="Q162" s="83"/>
      <c r="R162" s="84"/>
      <c r="S162" s="85"/>
      <c r="T162" s="86"/>
      <c r="U162" s="47" t="s">
        <v>1236</v>
      </c>
      <c r="V162"/>
    </row>
    <row r="163" spans="1:22" ht="18.75" hidden="1">
      <c r="A163" s="76" t="s">
        <v>286</v>
      </c>
      <c r="B163" s="76">
        <v>142</v>
      </c>
      <c r="C163" s="76" t="s">
        <v>235</v>
      </c>
      <c r="D163" s="117" t="s">
        <v>1237</v>
      </c>
      <c r="E163" s="117"/>
      <c r="F163" s="117"/>
      <c r="G163" s="117"/>
      <c r="H163" s="118" t="s">
        <v>253</v>
      </c>
      <c r="I163" s="119">
        <v>2023</v>
      </c>
      <c r="J163" s="124"/>
      <c r="K163" s="124"/>
      <c r="L163" s="129"/>
      <c r="M163" s="80"/>
      <c r="N163" s="80"/>
      <c r="O163" s="81"/>
      <c r="P163" s="82"/>
      <c r="Q163" s="83"/>
      <c r="R163" s="84"/>
      <c r="S163" s="85"/>
      <c r="T163" s="86"/>
      <c r="U163" s="47" t="s">
        <v>1236</v>
      </c>
      <c r="V163"/>
    </row>
    <row r="164" spans="1:22" ht="18.75" hidden="1">
      <c r="A164" s="76" t="s">
        <v>286</v>
      </c>
      <c r="B164" s="76">
        <v>143</v>
      </c>
      <c r="C164" s="76" t="s">
        <v>235</v>
      </c>
      <c r="D164" s="117" t="s">
        <v>1238</v>
      </c>
      <c r="E164" s="117"/>
      <c r="F164" s="117"/>
      <c r="G164" s="117"/>
      <c r="H164" s="118" t="s">
        <v>253</v>
      </c>
      <c r="I164" s="119">
        <v>2019</v>
      </c>
      <c r="J164" s="124"/>
      <c r="K164" s="124"/>
      <c r="L164" s="129"/>
      <c r="M164" s="80"/>
      <c r="N164" s="80"/>
      <c r="O164" s="81"/>
      <c r="P164" s="82"/>
      <c r="Q164" s="83"/>
      <c r="R164" s="84"/>
      <c r="S164" s="85"/>
      <c r="T164" s="86"/>
      <c r="U164" s="47"/>
      <c r="V164"/>
    </row>
    <row r="165" spans="1:22" ht="18.75" hidden="1">
      <c r="A165" s="76" t="s">
        <v>286</v>
      </c>
      <c r="B165" s="76">
        <v>144</v>
      </c>
      <c r="C165" s="76" t="s">
        <v>235</v>
      </c>
      <c r="D165" s="117" t="s">
        <v>1239</v>
      </c>
      <c r="E165" s="117"/>
      <c r="F165" s="117"/>
      <c r="G165" s="117"/>
      <c r="H165" s="118" t="s">
        <v>253</v>
      </c>
      <c r="I165" s="119">
        <v>2000</v>
      </c>
      <c r="J165" s="124"/>
      <c r="K165" s="124"/>
      <c r="L165" s="129"/>
      <c r="M165" s="80"/>
      <c r="N165" s="80"/>
      <c r="O165" s="81"/>
      <c r="P165" s="82"/>
      <c r="Q165" s="83"/>
      <c r="R165" s="84"/>
      <c r="S165" s="85"/>
      <c r="T165" s="86" t="s">
        <v>117</v>
      </c>
      <c r="U165" s="47"/>
      <c r="V165"/>
    </row>
    <row r="166" spans="1:22" ht="18.75" hidden="1">
      <c r="A166" s="76" t="s">
        <v>286</v>
      </c>
      <c r="B166" s="76">
        <v>145</v>
      </c>
      <c r="C166" s="76" t="s">
        <v>235</v>
      </c>
      <c r="D166" s="117" t="s">
        <v>1240</v>
      </c>
      <c r="E166" s="117"/>
      <c r="F166" s="117"/>
      <c r="G166" s="117"/>
      <c r="H166" s="118" t="s">
        <v>253</v>
      </c>
      <c r="I166" s="119">
        <v>2019</v>
      </c>
      <c r="J166" s="124"/>
      <c r="K166" s="124"/>
      <c r="L166" s="129"/>
      <c r="M166" s="80"/>
      <c r="N166" s="80"/>
      <c r="O166" s="81"/>
      <c r="P166" s="82"/>
      <c r="Q166" s="83"/>
      <c r="R166" s="84"/>
      <c r="S166" s="85"/>
      <c r="T166" s="86" t="s">
        <v>117</v>
      </c>
      <c r="U166" s="47"/>
      <c r="V166"/>
    </row>
    <row r="167" spans="1:22" ht="18.75" hidden="1">
      <c r="A167" s="76" t="s">
        <v>286</v>
      </c>
      <c r="B167" s="76">
        <v>146</v>
      </c>
      <c r="C167" s="76" t="s">
        <v>235</v>
      </c>
      <c r="D167" s="117" t="s">
        <v>1241</v>
      </c>
      <c r="E167" s="117"/>
      <c r="F167" s="117"/>
      <c r="G167" s="117"/>
      <c r="H167" s="118" t="s">
        <v>253</v>
      </c>
      <c r="I167" s="119">
        <v>2000</v>
      </c>
      <c r="J167" s="124"/>
      <c r="K167" s="124"/>
      <c r="L167" s="129"/>
      <c r="M167" s="80"/>
      <c r="N167" s="80"/>
      <c r="O167" s="81"/>
      <c r="P167" s="82"/>
      <c r="Q167" s="83"/>
      <c r="R167" s="84"/>
      <c r="S167" s="85"/>
      <c r="T167" s="86"/>
      <c r="U167" s="47"/>
      <c r="V167"/>
    </row>
    <row r="168" spans="1:22" ht="18.75" hidden="1">
      <c r="A168" s="76" t="s">
        <v>286</v>
      </c>
      <c r="B168" s="76">
        <v>147</v>
      </c>
      <c r="C168" s="76" t="s">
        <v>235</v>
      </c>
      <c r="D168" s="117" t="s">
        <v>1242</v>
      </c>
      <c r="E168" s="117"/>
      <c r="F168" s="117"/>
      <c r="G168" s="117"/>
      <c r="H168" s="118" t="s">
        <v>253</v>
      </c>
      <c r="I168" s="119">
        <v>2019</v>
      </c>
      <c r="J168" s="124"/>
      <c r="K168" s="124"/>
      <c r="L168" s="129"/>
      <c r="M168" s="80"/>
      <c r="N168" s="80"/>
      <c r="O168" s="81"/>
      <c r="P168" s="82"/>
      <c r="Q168" s="83"/>
      <c r="R168" s="84"/>
      <c r="S168" s="85"/>
      <c r="T168" s="86" t="s">
        <v>117</v>
      </c>
      <c r="U168" s="47"/>
      <c r="V168"/>
    </row>
    <row r="169" spans="1:22" ht="18.75" hidden="1">
      <c r="A169" s="76" t="s">
        <v>286</v>
      </c>
      <c r="B169" s="76">
        <v>148</v>
      </c>
      <c r="C169" s="76" t="s">
        <v>235</v>
      </c>
      <c r="D169" s="117" t="s">
        <v>1243</v>
      </c>
      <c r="E169" s="117"/>
      <c r="F169" s="117"/>
      <c r="G169" s="117"/>
      <c r="H169" s="118" t="s">
        <v>253</v>
      </c>
      <c r="I169" s="119">
        <v>2019</v>
      </c>
      <c r="J169" s="124"/>
      <c r="K169" s="124"/>
      <c r="L169" s="129"/>
      <c r="M169" s="80"/>
      <c r="N169" s="80"/>
      <c r="O169" s="81"/>
      <c r="P169" s="82"/>
      <c r="Q169" s="83"/>
      <c r="R169" s="84"/>
      <c r="S169" s="85"/>
      <c r="T169" s="86" t="s">
        <v>117</v>
      </c>
      <c r="U169" s="47"/>
      <c r="V169"/>
    </row>
    <row r="170" spans="1:22" ht="18.75" hidden="1">
      <c r="A170" s="76" t="s">
        <v>286</v>
      </c>
      <c r="B170" s="76">
        <v>149</v>
      </c>
      <c r="C170" s="76" t="s">
        <v>235</v>
      </c>
      <c r="D170" s="117" t="s">
        <v>1244</v>
      </c>
      <c r="E170" s="117"/>
      <c r="F170" s="117"/>
      <c r="G170" s="117"/>
      <c r="H170" s="118" t="s">
        <v>253</v>
      </c>
      <c r="I170" s="119">
        <v>2019</v>
      </c>
      <c r="J170" s="124"/>
      <c r="K170" s="124"/>
      <c r="L170" s="129"/>
      <c r="M170" s="80"/>
      <c r="N170" s="80"/>
      <c r="O170" s="81"/>
      <c r="P170" s="82"/>
      <c r="Q170" s="83"/>
      <c r="R170" s="84"/>
      <c r="S170" s="85"/>
      <c r="T170" s="86"/>
      <c r="U170" s="47"/>
      <c r="V170"/>
    </row>
    <row r="171" spans="1:22" ht="18.75" hidden="1">
      <c r="A171" s="76" t="s">
        <v>286</v>
      </c>
      <c r="B171" s="76">
        <v>150</v>
      </c>
      <c r="C171" s="76" t="s">
        <v>235</v>
      </c>
      <c r="D171" s="117" t="s">
        <v>1245</v>
      </c>
      <c r="E171" s="117"/>
      <c r="F171" s="117"/>
      <c r="G171" s="117"/>
      <c r="H171" s="118" t="s">
        <v>253</v>
      </c>
      <c r="I171" s="119">
        <v>2019</v>
      </c>
      <c r="J171" s="124"/>
      <c r="K171" s="124"/>
      <c r="L171" s="129"/>
      <c r="M171" s="80"/>
      <c r="N171" s="80"/>
      <c r="O171" s="81"/>
      <c r="P171" s="82"/>
      <c r="Q171" s="83"/>
      <c r="R171" s="84"/>
      <c r="S171" s="85"/>
      <c r="T171" s="86"/>
      <c r="U171" s="47"/>
      <c r="V171"/>
    </row>
    <row r="172" spans="1:22" ht="18.75" hidden="1">
      <c r="A172" s="76" t="s">
        <v>286</v>
      </c>
      <c r="B172" s="76">
        <v>151</v>
      </c>
      <c r="C172" s="76" t="s">
        <v>235</v>
      </c>
      <c r="D172" s="117" t="s">
        <v>1246</v>
      </c>
      <c r="E172" s="117"/>
      <c r="F172" s="117"/>
      <c r="G172" s="117"/>
      <c r="H172" s="118">
        <v>3120</v>
      </c>
      <c r="I172" s="119">
        <v>2022</v>
      </c>
      <c r="J172" s="124"/>
      <c r="K172" s="124"/>
      <c r="L172" s="129"/>
      <c r="M172" s="80"/>
      <c r="N172" s="80"/>
      <c r="O172" s="81"/>
      <c r="P172" s="82"/>
      <c r="Q172" s="83"/>
      <c r="R172" s="84"/>
      <c r="S172" s="85"/>
      <c r="T172" s="86"/>
      <c r="U172" s="47"/>
      <c r="V172"/>
    </row>
    <row r="173" spans="1:22" ht="18.75" hidden="1">
      <c r="A173" s="76" t="s">
        <v>286</v>
      </c>
      <c r="B173" s="76">
        <v>152</v>
      </c>
      <c r="C173" s="76" t="s">
        <v>235</v>
      </c>
      <c r="D173" s="117" t="s">
        <v>1247</v>
      </c>
      <c r="E173" s="117"/>
      <c r="F173" s="117"/>
      <c r="G173" s="117"/>
      <c r="H173" s="118">
        <v>3119</v>
      </c>
      <c r="I173" s="119">
        <v>2022</v>
      </c>
      <c r="J173" s="124"/>
      <c r="K173" s="124"/>
      <c r="L173" s="129"/>
      <c r="M173" s="80"/>
      <c r="N173" s="80"/>
      <c r="O173" s="81"/>
      <c r="P173" s="82"/>
      <c r="Q173" s="83"/>
      <c r="R173" s="84"/>
      <c r="S173" s="85"/>
      <c r="T173" s="86"/>
      <c r="U173" s="47"/>
      <c r="V173"/>
    </row>
    <row r="174" spans="1:22" ht="18.75" hidden="1">
      <c r="A174" s="76" t="s">
        <v>286</v>
      </c>
      <c r="B174" s="76"/>
      <c r="C174" s="76"/>
      <c r="D174" s="120" t="s">
        <v>1248</v>
      </c>
      <c r="E174" s="120"/>
      <c r="F174" s="120"/>
      <c r="G174" s="120"/>
      <c r="H174" s="121" t="s">
        <v>995</v>
      </c>
      <c r="I174" s="121" t="s">
        <v>995</v>
      </c>
      <c r="J174" s="123"/>
      <c r="K174" s="123"/>
      <c r="L174" s="129"/>
      <c r="M174" s="80"/>
      <c r="N174" s="80"/>
      <c r="O174" s="81"/>
      <c r="P174" s="82"/>
      <c r="Q174" s="83"/>
      <c r="R174" s="84"/>
      <c r="S174" s="85"/>
      <c r="T174" s="86"/>
      <c r="U174" s="47"/>
      <c r="V174"/>
    </row>
    <row r="175" spans="1:22" ht="18.75" hidden="1">
      <c r="A175" s="76" t="s">
        <v>286</v>
      </c>
      <c r="B175" s="76">
        <v>153</v>
      </c>
      <c r="C175" s="76" t="s">
        <v>235</v>
      </c>
      <c r="D175" s="117" t="s">
        <v>1249</v>
      </c>
      <c r="E175" s="117" t="s">
        <v>1250</v>
      </c>
      <c r="F175" s="117"/>
      <c r="G175" s="117"/>
      <c r="H175" s="118">
        <v>10897</v>
      </c>
      <c r="I175" s="119">
        <v>2006</v>
      </c>
      <c r="J175" s="275" t="s">
        <v>47</v>
      </c>
      <c r="K175" s="124" t="s">
        <v>998</v>
      </c>
      <c r="L175" s="129" t="s">
        <v>253</v>
      </c>
      <c r="M175" s="80"/>
      <c r="N175" s="80"/>
      <c r="O175" s="81" t="s">
        <v>117</v>
      </c>
      <c r="P175" s="82"/>
      <c r="Q175" s="83"/>
      <c r="R175" s="84"/>
      <c r="S175" s="85"/>
      <c r="T175" s="86"/>
      <c r="U175" s="47"/>
      <c r="V175"/>
    </row>
    <row r="176" spans="1:22" ht="18.75" hidden="1">
      <c r="A176" s="76" t="s">
        <v>286</v>
      </c>
      <c r="B176" s="76">
        <v>154</v>
      </c>
      <c r="C176" s="76" t="s">
        <v>235</v>
      </c>
      <c r="D176" s="117" t="s">
        <v>1251</v>
      </c>
      <c r="E176" s="117" t="s">
        <v>1250</v>
      </c>
      <c r="F176" s="117"/>
      <c r="G176" s="117"/>
      <c r="H176" s="118">
        <v>11379</v>
      </c>
      <c r="I176" s="119">
        <v>2021</v>
      </c>
      <c r="J176" s="275" t="s">
        <v>19</v>
      </c>
      <c r="K176" s="124" t="s">
        <v>998</v>
      </c>
      <c r="L176" s="129" t="s">
        <v>253</v>
      </c>
      <c r="M176" s="80"/>
      <c r="N176" s="80"/>
      <c r="O176" s="81"/>
      <c r="P176" s="82"/>
      <c r="Q176" s="83"/>
      <c r="R176" s="84" t="s">
        <v>117</v>
      </c>
      <c r="S176" s="85"/>
      <c r="T176" s="86"/>
      <c r="U176" s="47"/>
      <c r="V176"/>
    </row>
    <row r="177" spans="1:22" ht="18.75" hidden="1">
      <c r="A177" s="76" t="s">
        <v>286</v>
      </c>
      <c r="B177" s="76">
        <v>155</v>
      </c>
      <c r="C177" s="76" t="s">
        <v>235</v>
      </c>
      <c r="D177" s="117" t="s">
        <v>1252</v>
      </c>
      <c r="E177" s="117" t="s">
        <v>1250</v>
      </c>
      <c r="F177" s="117"/>
      <c r="G177" s="117"/>
      <c r="H177" s="118">
        <v>11402</v>
      </c>
      <c r="I177" s="119">
        <v>2014</v>
      </c>
      <c r="J177" s="275" t="s">
        <v>47</v>
      </c>
      <c r="K177" s="124" t="s">
        <v>998</v>
      </c>
      <c r="L177" s="129" t="s">
        <v>253</v>
      </c>
      <c r="M177" s="80"/>
      <c r="N177" s="80"/>
      <c r="O177" s="81" t="s">
        <v>117</v>
      </c>
      <c r="P177" s="82"/>
      <c r="Q177" s="83"/>
      <c r="R177" s="84"/>
      <c r="S177" s="85"/>
      <c r="T177" s="86"/>
      <c r="U177" s="47"/>
      <c r="V177"/>
    </row>
    <row r="178" spans="1:22" ht="18.75" hidden="1">
      <c r="A178" s="76" t="s">
        <v>286</v>
      </c>
      <c r="B178" s="76">
        <v>156</v>
      </c>
      <c r="C178" s="76" t="s">
        <v>235</v>
      </c>
      <c r="D178" s="117" t="s">
        <v>1253</v>
      </c>
      <c r="E178" s="117" t="s">
        <v>1250</v>
      </c>
      <c r="F178" s="117"/>
      <c r="G178" s="117"/>
      <c r="H178" s="118" t="s">
        <v>995</v>
      </c>
      <c r="I178" s="119">
        <v>2018</v>
      </c>
      <c r="J178" s="275" t="s">
        <v>19</v>
      </c>
      <c r="K178" s="124" t="s">
        <v>998</v>
      </c>
      <c r="L178" s="129" t="s">
        <v>253</v>
      </c>
      <c r="M178" s="80"/>
      <c r="N178" s="80"/>
      <c r="O178" s="81"/>
      <c r="P178" s="82" t="s">
        <v>117</v>
      </c>
      <c r="Q178" s="83"/>
      <c r="R178" s="84"/>
      <c r="S178" s="85"/>
      <c r="T178" s="86"/>
      <c r="U178" s="47"/>
      <c r="V178"/>
    </row>
    <row r="179" spans="1:22" ht="18.75" hidden="1">
      <c r="A179" s="76" t="s">
        <v>286</v>
      </c>
      <c r="B179" s="76">
        <v>157</v>
      </c>
      <c r="C179" s="76" t="s">
        <v>235</v>
      </c>
      <c r="D179" s="117" t="s">
        <v>1254</v>
      </c>
      <c r="E179" s="117" t="s">
        <v>1250</v>
      </c>
      <c r="F179" s="117"/>
      <c r="G179" s="117"/>
      <c r="H179" s="118" t="s">
        <v>995</v>
      </c>
      <c r="I179" s="119">
        <v>2022</v>
      </c>
      <c r="J179" s="275" t="s">
        <v>1255</v>
      </c>
      <c r="K179" s="124" t="s">
        <v>998</v>
      </c>
      <c r="L179" s="129">
        <v>2022</v>
      </c>
      <c r="M179" s="80"/>
      <c r="N179" s="80"/>
      <c r="O179" s="81"/>
      <c r="P179" s="82" t="s">
        <v>117</v>
      </c>
      <c r="Q179" s="83"/>
      <c r="R179" s="84"/>
      <c r="S179" s="85"/>
      <c r="T179" s="86" t="s">
        <v>117</v>
      </c>
      <c r="U179" s="47"/>
      <c r="V179"/>
    </row>
    <row r="180" spans="1:22" ht="18.75" hidden="1">
      <c r="A180" s="76" t="s">
        <v>286</v>
      </c>
      <c r="B180" s="76">
        <v>158</v>
      </c>
      <c r="C180" s="76" t="s">
        <v>235</v>
      </c>
      <c r="D180" s="117" t="s">
        <v>1256</v>
      </c>
      <c r="E180" s="117" t="s">
        <v>1250</v>
      </c>
      <c r="F180" s="117"/>
      <c r="G180" s="117"/>
      <c r="H180" s="118">
        <v>11106</v>
      </c>
      <c r="I180" s="119">
        <v>2007</v>
      </c>
      <c r="J180" s="275" t="s">
        <v>19</v>
      </c>
      <c r="K180" s="124" t="s">
        <v>998</v>
      </c>
      <c r="L180" s="129">
        <v>2016</v>
      </c>
      <c r="M180" s="80"/>
      <c r="N180" s="80"/>
      <c r="O180" s="81"/>
      <c r="P180" s="82"/>
      <c r="Q180" s="83"/>
      <c r="R180" s="84"/>
      <c r="S180" s="85"/>
      <c r="T180" s="86"/>
      <c r="U180" s="47"/>
      <c r="V180"/>
    </row>
    <row r="181" spans="1:22" ht="18.75" hidden="1">
      <c r="A181" s="76" t="s">
        <v>286</v>
      </c>
      <c r="B181" s="76">
        <v>159</v>
      </c>
      <c r="C181" s="76" t="s">
        <v>235</v>
      </c>
      <c r="D181" s="117" t="s">
        <v>1257</v>
      </c>
      <c r="E181" s="117" t="s">
        <v>1250</v>
      </c>
      <c r="F181" s="117"/>
      <c r="G181" s="117"/>
      <c r="H181" s="118">
        <v>11560</v>
      </c>
      <c r="I181" s="119">
        <v>2018</v>
      </c>
      <c r="J181" s="275" t="s">
        <v>19</v>
      </c>
      <c r="K181" s="124" t="s">
        <v>998</v>
      </c>
      <c r="L181" s="129" t="s">
        <v>253</v>
      </c>
      <c r="M181" s="80"/>
      <c r="N181" s="80"/>
      <c r="O181" s="81"/>
      <c r="P181" s="82"/>
      <c r="Q181" s="83" t="s">
        <v>117</v>
      </c>
      <c r="R181" s="84"/>
      <c r="S181" s="85"/>
      <c r="T181" s="86"/>
      <c r="U181" s="47"/>
      <c r="V181"/>
    </row>
    <row r="182" spans="1:22" ht="18.75" hidden="1">
      <c r="A182" s="76" t="s">
        <v>286</v>
      </c>
      <c r="B182" s="76">
        <v>160</v>
      </c>
      <c r="C182" s="76" t="s">
        <v>235</v>
      </c>
      <c r="D182" s="117" t="s">
        <v>1258</v>
      </c>
      <c r="E182" s="117" t="s">
        <v>1250</v>
      </c>
      <c r="F182" s="117"/>
      <c r="G182" s="117"/>
      <c r="H182" s="118">
        <v>11334</v>
      </c>
      <c r="I182" s="119" t="s">
        <v>1259</v>
      </c>
      <c r="J182" s="275" t="s">
        <v>19</v>
      </c>
      <c r="K182" s="124" t="s">
        <v>998</v>
      </c>
      <c r="L182" s="129" t="s">
        <v>253</v>
      </c>
      <c r="M182" s="80"/>
      <c r="N182" s="80"/>
      <c r="O182" s="81"/>
      <c r="P182" s="82"/>
      <c r="Q182" s="83" t="s">
        <v>117</v>
      </c>
      <c r="R182" s="84"/>
      <c r="S182" s="85"/>
      <c r="T182" s="86"/>
      <c r="U182" s="47"/>
      <c r="V182"/>
    </row>
    <row r="183" spans="1:22" ht="18.75" hidden="1">
      <c r="A183" s="76" t="s">
        <v>286</v>
      </c>
      <c r="B183" s="76">
        <v>161</v>
      </c>
      <c r="C183" s="76" t="s">
        <v>235</v>
      </c>
      <c r="D183" s="117" t="s">
        <v>1260</v>
      </c>
      <c r="E183" s="117" t="s">
        <v>1250</v>
      </c>
      <c r="F183" s="117"/>
      <c r="G183" s="117"/>
      <c r="H183" s="118">
        <v>11368</v>
      </c>
      <c r="I183" s="119">
        <v>2013</v>
      </c>
      <c r="J183" s="275"/>
      <c r="K183" s="124" t="s">
        <v>998</v>
      </c>
      <c r="L183" s="129">
        <v>2013</v>
      </c>
      <c r="M183" s="80"/>
      <c r="N183" s="80"/>
      <c r="O183" s="81" t="s">
        <v>117</v>
      </c>
      <c r="P183" s="82"/>
      <c r="Q183" s="83"/>
      <c r="R183" s="84"/>
      <c r="S183" s="85"/>
      <c r="T183" s="86"/>
      <c r="U183" s="47"/>
      <c r="V183"/>
    </row>
    <row r="184" spans="1:22" ht="18.75" hidden="1">
      <c r="A184" s="76" t="s">
        <v>286</v>
      </c>
      <c r="B184" s="76">
        <v>162</v>
      </c>
      <c r="C184" s="76" t="s">
        <v>235</v>
      </c>
      <c r="D184" s="117" t="s">
        <v>1260</v>
      </c>
      <c r="E184" s="117" t="s">
        <v>1250</v>
      </c>
      <c r="F184" s="117"/>
      <c r="G184" s="117"/>
      <c r="H184" s="118" t="s">
        <v>995</v>
      </c>
      <c r="I184" s="119">
        <v>2024</v>
      </c>
      <c r="J184" s="275"/>
      <c r="K184" s="124" t="s">
        <v>998</v>
      </c>
      <c r="L184" s="129">
        <v>2024</v>
      </c>
      <c r="M184" s="80"/>
      <c r="N184" s="80"/>
      <c r="O184" s="81"/>
      <c r="P184" s="82"/>
      <c r="Q184" s="83"/>
      <c r="R184" s="84"/>
      <c r="S184" s="85"/>
      <c r="T184" s="86" t="s">
        <v>117</v>
      </c>
      <c r="U184" s="47"/>
      <c r="V184"/>
    </row>
    <row r="185" spans="1:22" ht="18.75" hidden="1">
      <c r="A185" s="76" t="s">
        <v>286</v>
      </c>
      <c r="B185" s="76">
        <v>163</v>
      </c>
      <c r="C185" s="76" t="s">
        <v>235</v>
      </c>
      <c r="D185" s="117" t="s">
        <v>1260</v>
      </c>
      <c r="E185" s="117" t="s">
        <v>1250</v>
      </c>
      <c r="F185" s="117"/>
      <c r="G185" s="117"/>
      <c r="H185" s="118">
        <v>11534</v>
      </c>
      <c r="I185" s="119">
        <v>2016</v>
      </c>
      <c r="J185" s="275"/>
      <c r="K185" s="124" t="s">
        <v>998</v>
      </c>
      <c r="L185" s="129">
        <v>2016</v>
      </c>
      <c r="M185" s="80"/>
      <c r="N185" s="80"/>
      <c r="O185" s="81"/>
      <c r="P185" s="82" t="s">
        <v>117</v>
      </c>
      <c r="Q185" s="83"/>
      <c r="R185" s="84"/>
      <c r="S185" s="85"/>
      <c r="T185" s="86"/>
      <c r="U185" s="47"/>
      <c r="V185"/>
    </row>
    <row r="186" spans="1:22" ht="18.75" hidden="1">
      <c r="A186" s="76" t="s">
        <v>286</v>
      </c>
      <c r="B186" s="76">
        <v>164</v>
      </c>
      <c r="C186" s="76" t="s">
        <v>235</v>
      </c>
      <c r="D186" s="117" t="s">
        <v>1261</v>
      </c>
      <c r="E186" s="117" t="s">
        <v>1250</v>
      </c>
      <c r="F186" s="117"/>
      <c r="G186" s="117"/>
      <c r="H186" s="118" t="s">
        <v>995</v>
      </c>
      <c r="I186" s="119">
        <v>2011</v>
      </c>
      <c r="J186" s="275"/>
      <c r="K186" s="124" t="s">
        <v>998</v>
      </c>
      <c r="L186" s="129" t="s">
        <v>253</v>
      </c>
      <c r="M186" s="80"/>
      <c r="N186" s="80"/>
      <c r="O186" s="81"/>
      <c r="P186" s="82"/>
      <c r="Q186" s="83" t="s">
        <v>117</v>
      </c>
      <c r="R186" s="84"/>
      <c r="S186" s="85"/>
      <c r="T186" s="86"/>
      <c r="U186" s="47"/>
      <c r="V186"/>
    </row>
    <row r="187" spans="1:22" ht="18.75" hidden="1">
      <c r="A187" s="76" t="s">
        <v>286</v>
      </c>
      <c r="B187" s="76">
        <v>165</v>
      </c>
      <c r="C187" s="76" t="s">
        <v>235</v>
      </c>
      <c r="D187" s="117" t="s">
        <v>1262</v>
      </c>
      <c r="E187" s="117" t="s">
        <v>1250</v>
      </c>
      <c r="F187" s="117"/>
      <c r="G187" s="117"/>
      <c r="H187" s="118">
        <v>11370</v>
      </c>
      <c r="I187" s="119">
        <v>2013</v>
      </c>
      <c r="J187" s="124"/>
      <c r="K187" s="124" t="s">
        <v>998</v>
      </c>
      <c r="L187" s="129" t="s">
        <v>253</v>
      </c>
      <c r="M187" s="80"/>
      <c r="N187" s="80"/>
      <c r="O187" s="81" t="s">
        <v>117</v>
      </c>
      <c r="P187" s="82"/>
      <c r="Q187" s="83"/>
      <c r="R187" s="84"/>
      <c r="S187" s="85"/>
      <c r="T187" s="86"/>
      <c r="U187" s="47"/>
      <c r="V187"/>
    </row>
    <row r="188" spans="1:22" ht="18.75" hidden="1">
      <c r="A188" s="76" t="s">
        <v>286</v>
      </c>
      <c r="B188" s="76">
        <v>166</v>
      </c>
      <c r="C188" s="76" t="s">
        <v>235</v>
      </c>
      <c r="D188" s="117" t="s">
        <v>1263</v>
      </c>
      <c r="E188" s="117" t="s">
        <v>1250</v>
      </c>
      <c r="F188" s="117"/>
      <c r="G188" s="117"/>
      <c r="H188" s="118">
        <v>11468</v>
      </c>
      <c r="I188" s="119">
        <v>2015</v>
      </c>
      <c r="J188" s="124"/>
      <c r="K188" s="124" t="s">
        <v>998</v>
      </c>
      <c r="L188" s="129" t="s">
        <v>253</v>
      </c>
      <c r="M188" s="80"/>
      <c r="N188" s="80"/>
      <c r="O188" s="81"/>
      <c r="P188" s="82"/>
      <c r="Q188" s="83" t="s">
        <v>117</v>
      </c>
      <c r="R188" s="84"/>
      <c r="S188" s="85"/>
      <c r="T188" s="86"/>
      <c r="U188" s="47"/>
      <c r="V188"/>
    </row>
    <row r="189" spans="1:22" ht="18.75" hidden="1">
      <c r="A189" s="76" t="s">
        <v>286</v>
      </c>
      <c r="B189" s="76">
        <v>167</v>
      </c>
      <c r="C189" s="76" t="s">
        <v>235</v>
      </c>
      <c r="D189" s="117" t="s">
        <v>1264</v>
      </c>
      <c r="E189" s="117" t="s">
        <v>1250</v>
      </c>
      <c r="F189" s="117"/>
      <c r="G189" s="117"/>
      <c r="H189" s="118">
        <v>11563</v>
      </c>
      <c r="I189" s="119">
        <v>2018</v>
      </c>
      <c r="J189" s="124"/>
      <c r="K189" s="124" t="s">
        <v>998</v>
      </c>
      <c r="L189" s="129">
        <v>2022</v>
      </c>
      <c r="M189" s="80"/>
      <c r="N189" s="80"/>
      <c r="O189" s="81"/>
      <c r="P189" s="82"/>
      <c r="Q189" s="83" t="s">
        <v>117</v>
      </c>
      <c r="R189" s="84"/>
      <c r="S189" s="85"/>
      <c r="T189" s="86"/>
      <c r="U189" s="47"/>
      <c r="V189"/>
    </row>
    <row r="190" spans="1:22" ht="18.75" hidden="1">
      <c r="A190" s="76" t="s">
        <v>286</v>
      </c>
      <c r="B190" s="76">
        <v>168</v>
      </c>
      <c r="C190" s="76" t="s">
        <v>235</v>
      </c>
      <c r="D190" s="117" t="s">
        <v>1265</v>
      </c>
      <c r="E190" s="117" t="s">
        <v>1250</v>
      </c>
      <c r="F190" s="117"/>
      <c r="G190" s="117"/>
      <c r="H190" s="118">
        <v>11422</v>
      </c>
      <c r="I190" s="119">
        <v>2015</v>
      </c>
      <c r="J190" s="124"/>
      <c r="K190" s="124" t="s">
        <v>998</v>
      </c>
      <c r="L190" s="129">
        <v>2023</v>
      </c>
      <c r="M190" s="80"/>
      <c r="N190" s="80"/>
      <c r="O190" s="81"/>
      <c r="P190" s="82"/>
      <c r="Q190" s="83" t="s">
        <v>117</v>
      </c>
      <c r="R190" s="84"/>
      <c r="S190" s="85"/>
      <c r="T190" s="86"/>
      <c r="U190" s="47"/>
      <c r="V190"/>
    </row>
    <row r="191" spans="1:22" ht="18.75" hidden="1">
      <c r="A191" s="76" t="s">
        <v>286</v>
      </c>
      <c r="B191" s="76">
        <v>169</v>
      </c>
      <c r="C191" s="76" t="s">
        <v>235</v>
      </c>
      <c r="D191" s="117" t="s">
        <v>1266</v>
      </c>
      <c r="E191" s="117" t="s">
        <v>1250</v>
      </c>
      <c r="F191" s="117"/>
      <c r="G191" s="117"/>
      <c r="H191" s="118" t="s">
        <v>995</v>
      </c>
      <c r="I191" s="119">
        <v>2024</v>
      </c>
      <c r="J191" s="124"/>
      <c r="K191" s="124" t="s">
        <v>998</v>
      </c>
      <c r="L191" s="129">
        <v>2024</v>
      </c>
      <c r="M191" s="80"/>
      <c r="N191" s="80"/>
      <c r="O191" s="81"/>
      <c r="P191" s="82"/>
      <c r="Q191" s="83"/>
      <c r="R191" s="84"/>
      <c r="S191" s="85"/>
      <c r="T191" s="86" t="s">
        <v>117</v>
      </c>
      <c r="U191" s="47"/>
      <c r="V191"/>
    </row>
    <row r="192" spans="1:22" ht="18.75" hidden="1">
      <c r="A192" s="76" t="s">
        <v>286</v>
      </c>
      <c r="B192" s="76">
        <v>170</v>
      </c>
      <c r="C192" s="76" t="s">
        <v>235</v>
      </c>
      <c r="D192" s="117" t="s">
        <v>1267</v>
      </c>
      <c r="E192" s="117" t="s">
        <v>1250</v>
      </c>
      <c r="F192" s="117"/>
      <c r="G192" s="117"/>
      <c r="H192" s="118" t="s">
        <v>995</v>
      </c>
      <c r="I192" s="119">
        <v>2022</v>
      </c>
      <c r="J192" s="124"/>
      <c r="K192" s="124" t="s">
        <v>998</v>
      </c>
      <c r="L192" s="129">
        <v>2022</v>
      </c>
      <c r="M192" s="80"/>
      <c r="N192" s="80"/>
      <c r="O192" s="81"/>
      <c r="P192" s="82"/>
      <c r="Q192" s="83"/>
      <c r="R192" s="84"/>
      <c r="S192" s="85"/>
      <c r="T192" s="86" t="s">
        <v>117</v>
      </c>
      <c r="U192" s="47"/>
      <c r="V192"/>
    </row>
    <row r="193" spans="1:22" ht="18.75" hidden="1">
      <c r="A193" s="76" t="s">
        <v>286</v>
      </c>
      <c r="B193" s="76">
        <v>171</v>
      </c>
      <c r="C193" s="76" t="s">
        <v>235</v>
      </c>
      <c r="D193" s="117" t="s">
        <v>1268</v>
      </c>
      <c r="E193" s="117" t="s">
        <v>1250</v>
      </c>
      <c r="F193" s="117"/>
      <c r="G193" s="117"/>
      <c r="H193" s="118">
        <v>11335</v>
      </c>
      <c r="I193" s="119">
        <v>2011</v>
      </c>
      <c r="J193" s="124"/>
      <c r="K193" s="124" t="s">
        <v>998</v>
      </c>
      <c r="L193" s="129">
        <v>2010</v>
      </c>
      <c r="M193" s="80"/>
      <c r="N193" s="80"/>
      <c r="O193" s="81" t="s">
        <v>117</v>
      </c>
      <c r="P193" s="82"/>
      <c r="Q193" s="83"/>
      <c r="R193" s="84"/>
      <c r="S193" s="85"/>
      <c r="T193" s="86"/>
      <c r="U193" s="47"/>
      <c r="V193"/>
    </row>
    <row r="194" spans="1:22" ht="18.75" hidden="1">
      <c r="A194" s="76" t="s">
        <v>286</v>
      </c>
      <c r="B194" s="76">
        <v>172</v>
      </c>
      <c r="C194" s="76" t="s">
        <v>235</v>
      </c>
      <c r="D194" s="117" t="s">
        <v>1269</v>
      </c>
      <c r="E194" s="117" t="s">
        <v>1250</v>
      </c>
      <c r="F194" s="117"/>
      <c r="G194" s="117"/>
      <c r="H194" s="118" t="s">
        <v>995</v>
      </c>
      <c r="I194" s="119">
        <v>2021</v>
      </c>
      <c r="J194" s="124" t="s">
        <v>1255</v>
      </c>
      <c r="K194" s="124" t="s">
        <v>998</v>
      </c>
      <c r="L194" s="129">
        <v>2021</v>
      </c>
      <c r="M194" s="80"/>
      <c r="N194" s="80"/>
      <c r="O194" s="81"/>
      <c r="P194" s="82"/>
      <c r="Q194" s="83"/>
      <c r="R194" s="84"/>
      <c r="S194" s="85"/>
      <c r="T194" s="86" t="s">
        <v>117</v>
      </c>
      <c r="U194" s="47"/>
      <c r="V194"/>
    </row>
    <row r="195" spans="1:22" ht="18.75" hidden="1">
      <c r="A195" s="76" t="s">
        <v>286</v>
      </c>
      <c r="B195" s="76">
        <v>173</v>
      </c>
      <c r="C195" s="76" t="s">
        <v>235</v>
      </c>
      <c r="D195" s="117" t="s">
        <v>1270</v>
      </c>
      <c r="E195" s="117" t="s">
        <v>1250</v>
      </c>
      <c r="F195" s="117"/>
      <c r="G195" s="117"/>
      <c r="H195" s="118" t="s">
        <v>995</v>
      </c>
      <c r="I195" s="119">
        <v>2024</v>
      </c>
      <c r="J195" s="124" t="s">
        <v>1255</v>
      </c>
      <c r="K195" s="124" t="s">
        <v>998</v>
      </c>
      <c r="L195" s="129">
        <v>2024</v>
      </c>
      <c r="M195" s="80"/>
      <c r="N195" s="80"/>
      <c r="O195" s="81"/>
      <c r="P195" s="82"/>
      <c r="Q195" s="83"/>
      <c r="R195" s="84"/>
      <c r="S195" s="85"/>
      <c r="T195" s="86" t="s">
        <v>117</v>
      </c>
      <c r="U195" s="47"/>
      <c r="V195"/>
    </row>
    <row r="196" spans="1:22" ht="18.75" hidden="1">
      <c r="A196" s="76" t="s">
        <v>286</v>
      </c>
      <c r="B196" s="76">
        <v>174</v>
      </c>
      <c r="C196" s="76" t="s">
        <v>235</v>
      </c>
      <c r="D196" s="117" t="s">
        <v>1271</v>
      </c>
      <c r="E196" s="117" t="s">
        <v>1250</v>
      </c>
      <c r="F196" s="117"/>
      <c r="G196" s="117"/>
      <c r="H196" s="118" t="s">
        <v>995</v>
      </c>
      <c r="I196" s="119">
        <v>2024</v>
      </c>
      <c r="J196" s="124" t="s">
        <v>1255</v>
      </c>
      <c r="K196" s="124" t="s">
        <v>998</v>
      </c>
      <c r="L196" s="129">
        <v>2024</v>
      </c>
      <c r="M196" s="80"/>
      <c r="N196" s="80"/>
      <c r="O196" s="81"/>
      <c r="P196" s="82"/>
      <c r="Q196" s="83"/>
      <c r="R196" s="84"/>
      <c r="S196" s="85"/>
      <c r="T196" s="86" t="s">
        <v>117</v>
      </c>
      <c r="U196" s="47"/>
      <c r="V196"/>
    </row>
    <row r="197" spans="1:22" ht="18.75" hidden="1">
      <c r="A197" s="76" t="s">
        <v>286</v>
      </c>
      <c r="B197" s="76">
        <v>175</v>
      </c>
      <c r="C197" s="76" t="s">
        <v>235</v>
      </c>
      <c r="D197" s="117" t="s">
        <v>1272</v>
      </c>
      <c r="E197" s="117" t="s">
        <v>1250</v>
      </c>
      <c r="F197" s="117"/>
      <c r="G197" s="117"/>
      <c r="H197" s="118"/>
      <c r="I197" s="119">
        <v>2024</v>
      </c>
      <c r="J197" s="124" t="s">
        <v>1255</v>
      </c>
      <c r="K197" s="124" t="s">
        <v>998</v>
      </c>
      <c r="L197" s="129">
        <v>2024</v>
      </c>
      <c r="M197" s="80"/>
      <c r="N197" s="80"/>
      <c r="O197" s="81"/>
      <c r="P197" s="82"/>
      <c r="Q197" s="83"/>
      <c r="R197" s="84"/>
      <c r="S197" s="85"/>
      <c r="T197" s="86" t="s">
        <v>117</v>
      </c>
      <c r="U197" s="47"/>
      <c r="V197"/>
    </row>
    <row r="198" spans="1:22" ht="18.75" hidden="1">
      <c r="A198" s="76" t="s">
        <v>286</v>
      </c>
      <c r="B198" s="76">
        <v>176</v>
      </c>
      <c r="C198" s="76" t="s">
        <v>235</v>
      </c>
      <c r="D198" s="117" t="s">
        <v>1273</v>
      </c>
      <c r="E198" s="117" t="s">
        <v>1250</v>
      </c>
      <c r="F198" s="117"/>
      <c r="G198" s="117"/>
      <c r="H198" s="118" t="s">
        <v>995</v>
      </c>
      <c r="I198" s="119">
        <v>2023</v>
      </c>
      <c r="J198" s="124" t="s">
        <v>1255</v>
      </c>
      <c r="K198" s="124" t="s">
        <v>998</v>
      </c>
      <c r="L198" s="129" t="s">
        <v>253</v>
      </c>
      <c r="M198" s="80"/>
      <c r="N198" s="80"/>
      <c r="O198" s="81"/>
      <c r="P198" s="82"/>
      <c r="Q198" s="83"/>
      <c r="R198" s="84"/>
      <c r="S198" s="85"/>
      <c r="T198" s="86" t="s">
        <v>117</v>
      </c>
      <c r="U198" s="47"/>
      <c r="V198"/>
    </row>
    <row r="199" spans="1:22" ht="18.75" hidden="1">
      <c r="A199" s="76" t="s">
        <v>286</v>
      </c>
      <c r="B199" s="76">
        <v>177</v>
      </c>
      <c r="C199" s="76" t="s">
        <v>235</v>
      </c>
      <c r="D199" s="117" t="s">
        <v>1274</v>
      </c>
      <c r="E199" s="117" t="s">
        <v>1250</v>
      </c>
      <c r="F199" s="117"/>
      <c r="G199" s="117"/>
      <c r="H199" s="118">
        <v>3161</v>
      </c>
      <c r="I199" s="119">
        <v>2024</v>
      </c>
      <c r="J199" s="124" t="s">
        <v>1255</v>
      </c>
      <c r="K199" s="124" t="s">
        <v>998</v>
      </c>
      <c r="L199" s="129">
        <v>2024</v>
      </c>
      <c r="M199" s="80"/>
      <c r="N199" s="80"/>
      <c r="O199" s="81"/>
      <c r="P199" s="82"/>
      <c r="Q199" s="83"/>
      <c r="R199" s="84"/>
      <c r="S199" s="85"/>
      <c r="T199" s="86" t="s">
        <v>117</v>
      </c>
      <c r="U199" s="47"/>
      <c r="V199"/>
    </row>
    <row r="200" spans="1:22" ht="18.75">
      <c r="A200" s="76"/>
      <c r="B200" s="76"/>
      <c r="C200" s="76"/>
      <c r="D200" s="384"/>
      <c r="E200" s="384"/>
      <c r="F200" s="499"/>
      <c r="G200" s="384"/>
      <c r="H200" s="385"/>
      <c r="I200" s="386"/>
      <c r="J200" s="387"/>
      <c r="K200" s="387"/>
      <c r="L200" s="388"/>
      <c r="M200" s="80"/>
      <c r="N200" s="80"/>
      <c r="O200" s="81"/>
      <c r="P200" s="82"/>
      <c r="Q200" s="83"/>
      <c r="R200" s="84"/>
      <c r="S200" s="85"/>
      <c r="T200" s="86"/>
      <c r="U200" s="493"/>
      <c r="V200" s="495"/>
    </row>
    <row r="201" spans="1:22" ht="18.75">
      <c r="A201" s="76"/>
      <c r="B201" s="76"/>
      <c r="C201" s="76"/>
      <c r="D201" s="384"/>
      <c r="E201" s="384"/>
      <c r="F201" s="499"/>
      <c r="G201" s="384"/>
      <c r="H201" s="385"/>
      <c r="I201" s="386"/>
      <c r="J201" s="387"/>
      <c r="K201" s="387"/>
      <c r="L201" s="388"/>
      <c r="M201" s="80"/>
      <c r="N201" s="80"/>
      <c r="O201" s="81"/>
      <c r="P201" s="82"/>
      <c r="Q201" s="83"/>
      <c r="R201" s="84"/>
      <c r="S201" s="85"/>
      <c r="T201" s="86"/>
      <c r="U201" s="493"/>
      <c r="V201" s="495"/>
    </row>
    <row r="202" spans="1:22" ht="18.75">
      <c r="A202" s="76"/>
      <c r="B202" s="76"/>
      <c r="C202" s="76"/>
      <c r="D202" s="384"/>
      <c r="E202" s="384"/>
      <c r="F202" s="499"/>
      <c r="G202" s="384"/>
      <c r="H202" s="385"/>
      <c r="I202" s="386"/>
      <c r="J202" s="387"/>
      <c r="K202" s="387"/>
      <c r="L202" s="388"/>
      <c r="M202" s="80"/>
      <c r="N202" s="80"/>
      <c r="O202" s="81"/>
      <c r="P202" s="82"/>
      <c r="Q202" s="83"/>
      <c r="R202" s="84"/>
      <c r="S202" s="85"/>
      <c r="T202" s="86"/>
      <c r="U202" s="493"/>
      <c r="V202" s="495"/>
    </row>
  </sheetData>
  <autoFilter ref="A4:T199" xr:uid="{22049DB4-EFCF-4B04-8A6E-5779500E1D53}">
    <filterColumn colId="2">
      <filters>
        <filter val="Fabrication"/>
      </filters>
    </filterColumn>
  </autoFilter>
  <pageMargins left="0.7" right="0.7" top="0.75" bottom="0.75" header="0.3" footer="0.3"/>
  <pageSetup scale="42" fitToHeight="0"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U104"/>
  <sheetViews>
    <sheetView zoomScaleNormal="100" workbookViewId="0">
      <pane ySplit="4" topLeftCell="A49" activePane="bottomLeft" state="frozen"/>
      <selection pane="bottomLeft" activeCell="D12" sqref="D12"/>
    </sheetView>
  </sheetViews>
  <sheetFormatPr defaultColWidth="8.85546875" defaultRowHeight="15" customHeight="1"/>
  <cols>
    <col min="1" max="1" width="7.7109375" style="89" bestFit="1" customWidth="1"/>
    <col min="2" max="2" width="5.7109375" style="89" bestFit="1" customWidth="1"/>
    <col min="3" max="3" width="13.28515625" style="89" bestFit="1" customWidth="1"/>
    <col min="4" max="4" width="57.7109375" style="89" customWidth="1"/>
    <col min="5" max="5" width="12.85546875" style="89" bestFit="1" customWidth="1"/>
    <col min="6" max="6" width="11.7109375" style="94" bestFit="1" customWidth="1"/>
    <col min="7" max="7" width="11.140625" style="94" bestFit="1" customWidth="1"/>
    <col min="8" max="8" width="10" style="94" bestFit="1" customWidth="1"/>
    <col min="9" max="9" width="21.28515625" style="94" bestFit="1" customWidth="1"/>
    <col min="10" max="10" width="19.5703125" style="89" bestFit="1" customWidth="1"/>
    <col min="11" max="13" width="8.7109375" style="94" bestFit="1" customWidth="1"/>
    <col min="14" max="14" width="8.28515625" style="94" bestFit="1" customWidth="1"/>
    <col min="15" max="15" width="8.7109375" style="94" bestFit="1" customWidth="1"/>
    <col min="16" max="16" width="8.28515625" style="94" bestFit="1" customWidth="1"/>
    <col min="17" max="17" width="66.140625" style="92" customWidth="1"/>
    <col min="18" max="16384" width="8.85546875" style="89"/>
  </cols>
  <sheetData>
    <row r="1" spans="1:21" ht="18.75">
      <c r="D1" s="90" t="s">
        <v>97</v>
      </c>
      <c r="E1" s="90"/>
      <c r="F1" s="91"/>
      <c r="G1" s="91"/>
      <c r="H1" s="91"/>
      <c r="I1" s="91"/>
      <c r="J1" s="90"/>
      <c r="K1" s="91"/>
      <c r="L1" s="91"/>
      <c r="M1" s="91"/>
      <c r="N1" s="91"/>
      <c r="O1" s="91"/>
      <c r="P1" s="91"/>
      <c r="R1" s="90"/>
      <c r="S1" s="90"/>
      <c r="T1" s="90"/>
      <c r="U1" s="90"/>
    </row>
    <row r="2" spans="1:21" ht="18.75">
      <c r="D2" s="90"/>
      <c r="E2" s="90"/>
      <c r="J2" s="93" t="s">
        <v>37</v>
      </c>
      <c r="K2" s="65">
        <f t="shared" ref="K2:P2" si="0">COUNTA(K5:K31)</f>
        <v>2</v>
      </c>
      <c r="L2" s="66">
        <f t="shared" si="0"/>
        <v>8</v>
      </c>
      <c r="M2" s="67">
        <f t="shared" si="0"/>
        <v>2</v>
      </c>
      <c r="N2" s="68">
        <f t="shared" si="0"/>
        <v>3</v>
      </c>
      <c r="O2" s="69">
        <f t="shared" si="0"/>
        <v>4</v>
      </c>
      <c r="P2" s="70">
        <f t="shared" si="0"/>
        <v>7</v>
      </c>
      <c r="R2" s="90"/>
      <c r="S2" s="90"/>
      <c r="T2" s="90"/>
      <c r="U2" s="90"/>
    </row>
    <row r="4" spans="1:21" s="105" customFormat="1" ht="15.75">
      <c r="A4" s="74" t="s">
        <v>98</v>
      </c>
      <c r="B4" s="74" t="s">
        <v>99</v>
      </c>
      <c r="C4" s="74" t="s">
        <v>100</v>
      </c>
      <c r="D4" s="95" t="s">
        <v>101</v>
      </c>
      <c r="E4" s="96" t="s">
        <v>2</v>
      </c>
      <c r="F4" s="501" t="s">
        <v>3</v>
      </c>
      <c r="G4" s="122" t="s">
        <v>4</v>
      </c>
      <c r="H4" s="122" t="s">
        <v>1275</v>
      </c>
      <c r="I4" s="122" t="s">
        <v>1276</v>
      </c>
      <c r="J4" s="98" t="s">
        <v>105</v>
      </c>
      <c r="K4" s="99" t="s">
        <v>106</v>
      </c>
      <c r="L4" s="100" t="s">
        <v>107</v>
      </c>
      <c r="M4" s="101" t="s">
        <v>108</v>
      </c>
      <c r="N4" s="102" t="s">
        <v>109</v>
      </c>
      <c r="O4" s="103" t="s">
        <v>110</v>
      </c>
      <c r="P4" s="104" t="s">
        <v>111</v>
      </c>
      <c r="Q4" s="75" t="s">
        <v>45</v>
      </c>
    </row>
    <row r="5" spans="1:21">
      <c r="A5" s="130" t="s">
        <v>1277</v>
      </c>
      <c r="B5" s="130">
        <v>1</v>
      </c>
      <c r="C5" s="130" t="s">
        <v>113</v>
      </c>
      <c r="D5" s="131" t="s">
        <v>1278</v>
      </c>
      <c r="E5" s="132"/>
      <c r="F5" s="133">
        <v>1974</v>
      </c>
      <c r="G5" s="134" t="s">
        <v>1279</v>
      </c>
      <c r="H5" s="134"/>
      <c r="I5" s="134" t="s">
        <v>530</v>
      </c>
      <c r="J5" s="134" t="s">
        <v>116</v>
      </c>
      <c r="K5" s="135"/>
      <c r="L5" s="136" t="s">
        <v>117</v>
      </c>
      <c r="M5" s="137"/>
      <c r="N5" s="138"/>
      <c r="O5" s="139"/>
      <c r="P5" s="140"/>
      <c r="Q5" s="141" t="s">
        <v>1280</v>
      </c>
    </row>
    <row r="6" spans="1:21" ht="30">
      <c r="A6" s="76" t="s">
        <v>1277</v>
      </c>
      <c r="B6" s="76">
        <v>2</v>
      </c>
      <c r="C6" s="76" t="s">
        <v>113</v>
      </c>
      <c r="D6" s="77" t="s">
        <v>1281</v>
      </c>
      <c r="E6" s="78"/>
      <c r="F6" s="79" t="s">
        <v>1282</v>
      </c>
      <c r="G6" s="80" t="s">
        <v>1279</v>
      </c>
      <c r="H6" s="80"/>
      <c r="I6" s="80" t="s">
        <v>115</v>
      </c>
      <c r="J6" s="80" t="s">
        <v>116</v>
      </c>
      <c r="K6" s="81"/>
      <c r="L6" s="82" t="s">
        <v>117</v>
      </c>
      <c r="M6" s="83"/>
      <c r="N6" s="84"/>
      <c r="O6" s="85"/>
      <c r="P6" s="86"/>
      <c r="Q6" s="47" t="s">
        <v>1283</v>
      </c>
    </row>
    <row r="7" spans="1:21" ht="45">
      <c r="A7" s="76" t="s">
        <v>1277</v>
      </c>
      <c r="B7" s="76">
        <v>3</v>
      </c>
      <c r="C7" s="76" t="s">
        <v>113</v>
      </c>
      <c r="D7" s="77" t="s">
        <v>1284</v>
      </c>
      <c r="E7" s="78"/>
      <c r="F7" s="79">
        <v>2007</v>
      </c>
      <c r="G7" s="80" t="s">
        <v>1279</v>
      </c>
      <c r="H7" s="80"/>
      <c r="I7" s="80" t="s">
        <v>115</v>
      </c>
      <c r="J7" s="80" t="s">
        <v>116</v>
      </c>
      <c r="K7" s="81"/>
      <c r="L7" s="82" t="s">
        <v>117</v>
      </c>
      <c r="M7" s="83"/>
      <c r="N7" s="84"/>
      <c r="O7" s="85"/>
      <c r="P7" s="86"/>
      <c r="Q7" s="47" t="s">
        <v>1285</v>
      </c>
    </row>
    <row r="8" spans="1:21">
      <c r="A8" s="76" t="s">
        <v>1277</v>
      </c>
      <c r="B8" s="76">
        <v>4</v>
      </c>
      <c r="C8" s="76" t="s">
        <v>113</v>
      </c>
      <c r="D8" s="77" t="s">
        <v>1286</v>
      </c>
      <c r="E8" s="78"/>
      <c r="F8" s="79">
        <v>2017</v>
      </c>
      <c r="G8" s="80" t="s">
        <v>1287</v>
      </c>
      <c r="H8" s="80"/>
      <c r="I8" s="80" t="s">
        <v>115</v>
      </c>
      <c r="J8" s="80" t="s">
        <v>116</v>
      </c>
      <c r="K8" s="81"/>
      <c r="L8" s="82"/>
      <c r="M8" s="83"/>
      <c r="N8" s="84"/>
      <c r="O8" s="85"/>
      <c r="P8" s="86" t="s">
        <v>117</v>
      </c>
      <c r="Q8" s="47"/>
    </row>
    <row r="9" spans="1:21" ht="60">
      <c r="A9" s="76" t="s">
        <v>1277</v>
      </c>
      <c r="B9" s="76">
        <v>5</v>
      </c>
      <c r="C9" s="76" t="s">
        <v>113</v>
      </c>
      <c r="D9" s="77" t="s">
        <v>1288</v>
      </c>
      <c r="E9" s="78"/>
      <c r="F9" s="79">
        <v>1975</v>
      </c>
      <c r="G9" s="80" t="s">
        <v>1289</v>
      </c>
      <c r="H9" s="80"/>
      <c r="I9" s="80" t="s">
        <v>115</v>
      </c>
      <c r="J9" s="80" t="s">
        <v>116</v>
      </c>
      <c r="K9" s="81" t="s">
        <v>117</v>
      </c>
      <c r="L9" s="82"/>
      <c r="M9" s="83"/>
      <c r="N9" s="84"/>
      <c r="O9" s="85"/>
      <c r="P9" s="86"/>
      <c r="Q9" s="47" t="s">
        <v>1290</v>
      </c>
    </row>
    <row r="10" spans="1:21" ht="60">
      <c r="A10" s="76" t="s">
        <v>1277</v>
      </c>
      <c r="B10" s="76">
        <v>6</v>
      </c>
      <c r="C10" s="76" t="s">
        <v>113</v>
      </c>
      <c r="D10" s="77" t="s">
        <v>1291</v>
      </c>
      <c r="E10" s="78"/>
      <c r="F10" s="79">
        <v>1995</v>
      </c>
      <c r="G10" s="80" t="s">
        <v>1289</v>
      </c>
      <c r="H10" s="80"/>
      <c r="I10" s="80" t="s">
        <v>115</v>
      </c>
      <c r="J10" s="80" t="s">
        <v>116</v>
      </c>
      <c r="K10" s="81" t="s">
        <v>117</v>
      </c>
      <c r="L10" s="82"/>
      <c r="M10" s="83"/>
      <c r="N10" s="84"/>
      <c r="O10" s="85"/>
      <c r="P10" s="86"/>
      <c r="Q10" s="47" t="s">
        <v>1292</v>
      </c>
    </row>
    <row r="11" spans="1:21">
      <c r="A11" s="76" t="s">
        <v>1277</v>
      </c>
      <c r="B11" s="76">
        <v>7</v>
      </c>
      <c r="C11" s="76" t="s">
        <v>113</v>
      </c>
      <c r="D11" s="77" t="s">
        <v>1293</v>
      </c>
      <c r="E11" s="78"/>
      <c r="F11" s="79">
        <v>2006</v>
      </c>
      <c r="G11" s="80" t="s">
        <v>1287</v>
      </c>
      <c r="H11" s="80"/>
      <c r="I11" s="80" t="s">
        <v>115</v>
      </c>
      <c r="J11" s="80" t="s">
        <v>116</v>
      </c>
      <c r="K11" s="81"/>
      <c r="L11" s="82"/>
      <c r="M11" s="83"/>
      <c r="N11" s="84"/>
      <c r="O11" s="85"/>
      <c r="P11" s="86"/>
      <c r="Q11" s="47"/>
    </row>
    <row r="12" spans="1:21">
      <c r="A12" s="76" t="s">
        <v>1277</v>
      </c>
      <c r="B12" s="76">
        <v>8</v>
      </c>
      <c r="C12" s="76" t="s">
        <v>113</v>
      </c>
      <c r="D12" s="77" t="s">
        <v>1294</v>
      </c>
      <c r="E12" s="78"/>
      <c r="F12" s="79">
        <v>2014</v>
      </c>
      <c r="G12" s="80" t="s">
        <v>1295</v>
      </c>
      <c r="H12" s="80"/>
      <c r="I12" s="80" t="s">
        <v>115</v>
      </c>
      <c r="J12" s="80" t="s">
        <v>116</v>
      </c>
      <c r="K12" s="81"/>
      <c r="L12" s="82"/>
      <c r="M12" s="83"/>
      <c r="N12" s="84" t="s">
        <v>117</v>
      </c>
      <c r="O12" s="85"/>
      <c r="P12" s="86"/>
      <c r="Q12" s="47" t="s">
        <v>1296</v>
      </c>
    </row>
    <row r="13" spans="1:21">
      <c r="A13" s="76" t="s">
        <v>1277</v>
      </c>
      <c r="B13" s="76">
        <v>9</v>
      </c>
      <c r="C13" s="76" t="s">
        <v>113</v>
      </c>
      <c r="D13" s="77" t="s">
        <v>1297</v>
      </c>
      <c r="E13" s="78"/>
      <c r="F13" s="79">
        <v>1989</v>
      </c>
      <c r="G13" s="80" t="s">
        <v>1295</v>
      </c>
      <c r="H13" s="80"/>
      <c r="I13" s="80" t="s">
        <v>115</v>
      </c>
      <c r="J13" s="80" t="s">
        <v>116</v>
      </c>
      <c r="K13" s="81"/>
      <c r="L13" s="82"/>
      <c r="M13" s="83"/>
      <c r="N13" s="84"/>
      <c r="O13" s="85" t="s">
        <v>117</v>
      </c>
      <c r="P13" s="86"/>
      <c r="Q13" s="47"/>
    </row>
    <row r="14" spans="1:21">
      <c r="A14" s="76" t="s">
        <v>1277</v>
      </c>
      <c r="B14" s="76">
        <v>10</v>
      </c>
      <c r="C14" s="76" t="s">
        <v>113</v>
      </c>
      <c r="D14" s="77" t="s">
        <v>1298</v>
      </c>
      <c r="E14" s="78"/>
      <c r="F14" s="79">
        <v>1998</v>
      </c>
      <c r="G14" s="80" t="s">
        <v>1295</v>
      </c>
      <c r="H14" s="80"/>
      <c r="I14" s="80" t="s">
        <v>115</v>
      </c>
      <c r="J14" s="80" t="s">
        <v>116</v>
      </c>
      <c r="K14" s="81"/>
      <c r="L14" s="82"/>
      <c r="M14" s="83"/>
      <c r="N14" s="84" t="s">
        <v>117</v>
      </c>
      <c r="O14" s="85"/>
      <c r="P14" s="86"/>
      <c r="Q14" s="47"/>
    </row>
    <row r="15" spans="1:21">
      <c r="A15" s="76" t="s">
        <v>1277</v>
      </c>
      <c r="B15" s="76">
        <v>11</v>
      </c>
      <c r="C15" s="76" t="s">
        <v>113</v>
      </c>
      <c r="D15" s="88" t="s">
        <v>1299</v>
      </c>
      <c r="E15" s="78"/>
      <c r="F15" s="79">
        <v>2022</v>
      </c>
      <c r="G15" s="80" t="s">
        <v>1287</v>
      </c>
      <c r="H15" s="80"/>
      <c r="I15" s="80" t="s">
        <v>115</v>
      </c>
      <c r="J15" s="80" t="s">
        <v>116</v>
      </c>
      <c r="K15" s="81"/>
      <c r="L15" s="82"/>
      <c r="M15" s="83"/>
      <c r="N15" s="84"/>
      <c r="O15" s="85"/>
      <c r="P15" s="86" t="s">
        <v>117</v>
      </c>
      <c r="Q15" s="47" t="s">
        <v>1300</v>
      </c>
    </row>
    <row r="16" spans="1:21" ht="45">
      <c r="A16" s="76" t="s">
        <v>1277</v>
      </c>
      <c r="B16" s="76">
        <v>12</v>
      </c>
      <c r="C16" s="76" t="s">
        <v>113</v>
      </c>
      <c r="D16" s="77" t="s">
        <v>1301</v>
      </c>
      <c r="E16" s="78"/>
      <c r="F16" s="79">
        <v>2003</v>
      </c>
      <c r="G16" s="80" t="s">
        <v>1289</v>
      </c>
      <c r="H16" s="80"/>
      <c r="I16" s="80" t="s">
        <v>115</v>
      </c>
      <c r="J16" s="80" t="s">
        <v>116</v>
      </c>
      <c r="K16" s="81"/>
      <c r="L16" s="82" t="s">
        <v>117</v>
      </c>
      <c r="M16" s="83"/>
      <c r="N16" s="84"/>
      <c r="O16" s="85"/>
      <c r="P16" s="86"/>
      <c r="Q16" s="47" t="s">
        <v>1302</v>
      </c>
    </row>
    <row r="17" spans="1:17">
      <c r="A17" s="76" t="s">
        <v>1277</v>
      </c>
      <c r="B17" s="76">
        <v>13</v>
      </c>
      <c r="C17" s="76" t="s">
        <v>113</v>
      </c>
      <c r="D17" s="77" t="s">
        <v>1303</v>
      </c>
      <c r="E17" s="78"/>
      <c r="F17" s="79">
        <v>2007</v>
      </c>
      <c r="G17" s="80" t="s">
        <v>1287</v>
      </c>
      <c r="H17" s="80"/>
      <c r="I17" s="80" t="s">
        <v>115</v>
      </c>
      <c r="J17" s="80" t="s">
        <v>116</v>
      </c>
      <c r="K17" s="81"/>
      <c r="L17" s="82"/>
      <c r="M17" s="83"/>
      <c r="N17" s="84"/>
      <c r="O17" s="85"/>
      <c r="P17" s="86" t="s">
        <v>117</v>
      </c>
      <c r="Q17" s="47"/>
    </row>
    <row r="18" spans="1:17">
      <c r="A18" s="130" t="s">
        <v>1277</v>
      </c>
      <c r="B18" s="130">
        <v>14</v>
      </c>
      <c r="C18" s="130" t="s">
        <v>113</v>
      </c>
      <c r="D18" s="131" t="s">
        <v>1304</v>
      </c>
      <c r="E18" s="132"/>
      <c r="F18" s="133">
        <v>1987</v>
      </c>
      <c r="G18" s="134" t="s">
        <v>1295</v>
      </c>
      <c r="H18" s="134"/>
      <c r="I18" s="134" t="s">
        <v>134</v>
      </c>
      <c r="J18" s="80" t="s">
        <v>116</v>
      </c>
      <c r="K18" s="135"/>
      <c r="L18" s="136"/>
      <c r="M18" s="137"/>
      <c r="N18" s="138"/>
      <c r="O18" s="139" t="s">
        <v>117</v>
      </c>
      <c r="P18" s="140"/>
      <c r="Q18" s="141"/>
    </row>
    <row r="19" spans="1:17">
      <c r="A19" s="76" t="s">
        <v>1277</v>
      </c>
      <c r="B19" s="76">
        <v>14</v>
      </c>
      <c r="C19" s="76" t="s">
        <v>113</v>
      </c>
      <c r="D19" s="77" t="s">
        <v>1304</v>
      </c>
      <c r="E19" s="78"/>
      <c r="F19" s="79">
        <v>2025</v>
      </c>
      <c r="G19" s="80" t="s">
        <v>1287</v>
      </c>
      <c r="H19" s="80"/>
      <c r="I19" s="80" t="s">
        <v>115</v>
      </c>
      <c r="J19" s="80" t="s">
        <v>116</v>
      </c>
      <c r="K19" s="81"/>
      <c r="L19" s="82"/>
      <c r="M19" s="83"/>
      <c r="N19" s="84"/>
      <c r="O19" s="85"/>
      <c r="P19" s="86" t="s">
        <v>117</v>
      </c>
      <c r="Q19" s="47"/>
    </row>
    <row r="20" spans="1:17" ht="30">
      <c r="A20" s="76" t="s">
        <v>1277</v>
      </c>
      <c r="B20" s="76">
        <v>15</v>
      </c>
      <c r="C20" s="76" t="s">
        <v>113</v>
      </c>
      <c r="D20" s="77" t="s">
        <v>1305</v>
      </c>
      <c r="E20" s="78"/>
      <c r="F20" s="79">
        <v>1972</v>
      </c>
      <c r="G20" s="80" t="s">
        <v>1289</v>
      </c>
      <c r="H20" s="80"/>
      <c r="I20" s="80" t="s">
        <v>115</v>
      </c>
      <c r="J20" s="80" t="s">
        <v>116</v>
      </c>
      <c r="K20" s="81"/>
      <c r="L20" s="82" t="s">
        <v>117</v>
      </c>
      <c r="M20" s="83"/>
      <c r="N20" s="84"/>
      <c r="O20" s="85"/>
      <c r="P20" s="86"/>
      <c r="Q20" s="47" t="s">
        <v>1306</v>
      </c>
    </row>
    <row r="21" spans="1:17" ht="30">
      <c r="A21" s="76" t="s">
        <v>1277</v>
      </c>
      <c r="B21" s="76">
        <v>16</v>
      </c>
      <c r="C21" s="76" t="s">
        <v>113</v>
      </c>
      <c r="D21" s="77" t="s">
        <v>1307</v>
      </c>
      <c r="E21" s="78"/>
      <c r="F21" s="79">
        <v>1983</v>
      </c>
      <c r="G21" s="80" t="s">
        <v>1289</v>
      </c>
      <c r="H21" s="80"/>
      <c r="I21" s="80" t="s">
        <v>115</v>
      </c>
      <c r="J21" s="80" t="s">
        <v>116</v>
      </c>
      <c r="K21" s="81"/>
      <c r="L21" s="82" t="s">
        <v>117</v>
      </c>
      <c r="M21" s="83"/>
      <c r="N21" s="84"/>
      <c r="O21" s="85"/>
      <c r="P21" s="86"/>
      <c r="Q21" s="47" t="s">
        <v>1306</v>
      </c>
    </row>
    <row r="22" spans="1:17" ht="30">
      <c r="A22" s="76" t="s">
        <v>1277</v>
      </c>
      <c r="B22" s="76">
        <v>17</v>
      </c>
      <c r="C22" s="76" t="s">
        <v>113</v>
      </c>
      <c r="D22" s="77" t="s">
        <v>1305</v>
      </c>
      <c r="E22" s="78"/>
      <c r="F22" s="79">
        <v>1987</v>
      </c>
      <c r="G22" s="80" t="s">
        <v>1289</v>
      </c>
      <c r="H22" s="80"/>
      <c r="I22" s="80" t="s">
        <v>115</v>
      </c>
      <c r="J22" s="80" t="s">
        <v>116</v>
      </c>
      <c r="K22" s="81"/>
      <c r="L22" s="82" t="s">
        <v>117</v>
      </c>
      <c r="M22" s="83"/>
      <c r="N22" s="84"/>
      <c r="O22" s="85"/>
      <c r="P22" s="86"/>
      <c r="Q22" s="47" t="s">
        <v>1306</v>
      </c>
    </row>
    <row r="23" spans="1:17" ht="30">
      <c r="A23" s="76" t="s">
        <v>1277</v>
      </c>
      <c r="B23" s="76">
        <v>18</v>
      </c>
      <c r="C23" s="76" t="s">
        <v>113</v>
      </c>
      <c r="D23" s="77" t="s">
        <v>1308</v>
      </c>
      <c r="E23" s="78"/>
      <c r="F23" s="79">
        <v>1987</v>
      </c>
      <c r="G23" s="80" t="s">
        <v>1289</v>
      </c>
      <c r="H23" s="80"/>
      <c r="I23" s="80" t="s">
        <v>115</v>
      </c>
      <c r="J23" s="80" t="s">
        <v>116</v>
      </c>
      <c r="K23" s="81"/>
      <c r="L23" s="82" t="s">
        <v>117</v>
      </c>
      <c r="M23" s="83"/>
      <c r="N23" s="84"/>
      <c r="O23" s="85"/>
      <c r="P23" s="86"/>
      <c r="Q23" s="47" t="s">
        <v>1306</v>
      </c>
    </row>
    <row r="24" spans="1:17" ht="30">
      <c r="A24" s="130" t="s">
        <v>1277</v>
      </c>
      <c r="B24" s="130">
        <v>19</v>
      </c>
      <c r="C24" s="130" t="s">
        <v>113</v>
      </c>
      <c r="D24" s="131" t="s">
        <v>1309</v>
      </c>
      <c r="E24" s="132"/>
      <c r="F24" s="133" t="s">
        <v>253</v>
      </c>
      <c r="G24" s="134" t="s">
        <v>1279</v>
      </c>
      <c r="H24" s="134"/>
      <c r="I24" s="134" t="s">
        <v>530</v>
      </c>
      <c r="J24" s="134" t="s">
        <v>116</v>
      </c>
      <c r="K24" s="135"/>
      <c r="L24" s="136"/>
      <c r="M24" s="137"/>
      <c r="N24" s="138" t="s">
        <v>117</v>
      </c>
      <c r="O24" s="139"/>
      <c r="P24" s="140"/>
      <c r="Q24" s="47" t="s">
        <v>1306</v>
      </c>
    </row>
    <row r="25" spans="1:17">
      <c r="A25" s="76" t="s">
        <v>1277</v>
      </c>
      <c r="B25" s="76">
        <v>20</v>
      </c>
      <c r="C25" s="76" t="s">
        <v>113</v>
      </c>
      <c r="D25" s="77" t="s">
        <v>1310</v>
      </c>
      <c r="E25" s="78"/>
      <c r="F25" s="79">
        <v>2012</v>
      </c>
      <c r="G25" s="80" t="s">
        <v>1295</v>
      </c>
      <c r="H25" s="80"/>
      <c r="I25" s="80" t="s">
        <v>115</v>
      </c>
      <c r="J25" s="80" t="s">
        <v>116</v>
      </c>
      <c r="K25" s="81"/>
      <c r="L25" s="82"/>
      <c r="M25" s="83"/>
      <c r="N25" s="84"/>
      <c r="O25" s="85" t="s">
        <v>117</v>
      </c>
      <c r="P25" s="86"/>
      <c r="Q25" s="47"/>
    </row>
    <row r="26" spans="1:17">
      <c r="A26" s="76" t="s">
        <v>1277</v>
      </c>
      <c r="B26" s="76">
        <v>20</v>
      </c>
      <c r="C26" s="76" t="s">
        <v>113</v>
      </c>
      <c r="D26" s="77" t="s">
        <v>1311</v>
      </c>
      <c r="E26" s="78"/>
      <c r="F26" s="79">
        <v>2024</v>
      </c>
      <c r="G26" s="80" t="s">
        <v>1287</v>
      </c>
      <c r="H26" s="80"/>
      <c r="I26" s="80" t="s">
        <v>115</v>
      </c>
      <c r="J26" s="80" t="s">
        <v>116</v>
      </c>
      <c r="K26" s="81"/>
      <c r="L26" s="82"/>
      <c r="M26" s="83"/>
      <c r="N26" s="84"/>
      <c r="O26" s="85"/>
      <c r="P26" s="86" t="s">
        <v>117</v>
      </c>
      <c r="Q26" s="47"/>
    </row>
    <row r="27" spans="1:17">
      <c r="A27" s="76" t="s">
        <v>1277</v>
      </c>
      <c r="B27" s="76">
        <v>21</v>
      </c>
      <c r="C27" s="76" t="s">
        <v>113</v>
      </c>
      <c r="D27" s="77" t="s">
        <v>1312</v>
      </c>
      <c r="E27" s="78"/>
      <c r="F27" s="79">
        <v>2024</v>
      </c>
      <c r="G27" s="80" t="s">
        <v>1287</v>
      </c>
      <c r="H27" s="80"/>
      <c r="I27" s="80" t="s">
        <v>115</v>
      </c>
      <c r="J27" s="80" t="s">
        <v>116</v>
      </c>
      <c r="K27" s="81"/>
      <c r="L27" s="82"/>
      <c r="M27" s="83"/>
      <c r="N27" s="84"/>
      <c r="O27" s="85"/>
      <c r="P27" s="86" t="s">
        <v>117</v>
      </c>
      <c r="Q27" s="47"/>
    </row>
    <row r="28" spans="1:17">
      <c r="A28" s="76" t="s">
        <v>1277</v>
      </c>
      <c r="B28" s="76">
        <v>22</v>
      </c>
      <c r="C28" s="76" t="s">
        <v>113</v>
      </c>
      <c r="D28" s="77" t="s">
        <v>1313</v>
      </c>
      <c r="E28" s="78"/>
      <c r="F28" s="79">
        <v>1997</v>
      </c>
      <c r="G28" s="80" t="s">
        <v>1279</v>
      </c>
      <c r="H28" s="80"/>
      <c r="I28" s="80" t="s">
        <v>115</v>
      </c>
      <c r="J28" s="80" t="s">
        <v>116</v>
      </c>
      <c r="K28" s="81"/>
      <c r="L28" s="82"/>
      <c r="M28" s="83" t="s">
        <v>117</v>
      </c>
      <c r="N28" s="84"/>
      <c r="O28" s="85"/>
      <c r="P28" s="86"/>
      <c r="Q28" s="47" t="s">
        <v>1314</v>
      </c>
    </row>
    <row r="29" spans="1:17">
      <c r="A29" s="76" t="s">
        <v>1277</v>
      </c>
      <c r="B29" s="76">
        <v>23</v>
      </c>
      <c r="C29" s="76" t="s">
        <v>113</v>
      </c>
      <c r="D29" s="77" t="s">
        <v>1315</v>
      </c>
      <c r="E29" s="78"/>
      <c r="F29" s="79">
        <v>2005</v>
      </c>
      <c r="G29" s="80" t="s">
        <v>1295</v>
      </c>
      <c r="H29" s="80"/>
      <c r="I29" s="80" t="s">
        <v>115</v>
      </c>
      <c r="J29" s="80" t="s">
        <v>116</v>
      </c>
      <c r="K29" s="81"/>
      <c r="L29" s="82"/>
      <c r="M29" s="83"/>
      <c r="N29" s="84"/>
      <c r="O29" s="85" t="s">
        <v>117</v>
      </c>
      <c r="P29" s="86"/>
      <c r="Q29" s="47"/>
    </row>
    <row r="30" spans="1:17">
      <c r="A30" s="76" t="s">
        <v>1277</v>
      </c>
      <c r="B30" s="76">
        <v>24</v>
      </c>
      <c r="C30" s="76" t="s">
        <v>113</v>
      </c>
      <c r="D30" s="77" t="s">
        <v>1316</v>
      </c>
      <c r="E30" s="78"/>
      <c r="F30" s="79">
        <v>2013</v>
      </c>
      <c r="G30" s="80" t="s">
        <v>1287</v>
      </c>
      <c r="H30" s="80"/>
      <c r="I30" s="80" t="s">
        <v>115</v>
      </c>
      <c r="J30" s="80" t="s">
        <v>116</v>
      </c>
      <c r="K30" s="81"/>
      <c r="L30" s="82"/>
      <c r="M30" s="83"/>
      <c r="N30" s="84"/>
      <c r="O30" s="85"/>
      <c r="P30" s="86" t="s">
        <v>117</v>
      </c>
      <c r="Q30" s="47"/>
    </row>
    <row r="31" spans="1:17">
      <c r="A31" s="76" t="s">
        <v>1277</v>
      </c>
      <c r="B31" s="76">
        <v>25</v>
      </c>
      <c r="C31" s="76" t="s">
        <v>113</v>
      </c>
      <c r="D31" s="77" t="s">
        <v>1317</v>
      </c>
      <c r="E31" s="78"/>
      <c r="F31" s="79">
        <v>2017</v>
      </c>
      <c r="G31" s="80" t="s">
        <v>19</v>
      </c>
      <c r="H31" s="80"/>
      <c r="I31" s="80" t="s">
        <v>115</v>
      </c>
      <c r="J31" s="80" t="s">
        <v>116</v>
      </c>
      <c r="K31" s="81"/>
      <c r="L31" s="82"/>
      <c r="M31" s="83" t="s">
        <v>117</v>
      </c>
      <c r="N31" s="84"/>
      <c r="O31" s="85"/>
      <c r="P31" s="86"/>
      <c r="Q31" s="47"/>
    </row>
    <row r="32" spans="1:17" ht="26.25">
      <c r="A32" s="76" t="s">
        <v>1277</v>
      </c>
      <c r="B32" s="76">
        <v>26</v>
      </c>
      <c r="C32" s="76" t="s">
        <v>130</v>
      </c>
      <c r="D32" s="164" t="s">
        <v>49</v>
      </c>
      <c r="E32" s="165">
        <v>1249</v>
      </c>
      <c r="F32" s="502">
        <v>1976</v>
      </c>
      <c r="G32" s="163" t="s">
        <v>14</v>
      </c>
      <c r="H32" s="163" t="s">
        <v>1318</v>
      </c>
      <c r="I32" s="163" t="s">
        <v>115</v>
      </c>
      <c r="J32" s="80" t="s">
        <v>116</v>
      </c>
      <c r="K32" s="210" t="s">
        <v>995</v>
      </c>
      <c r="L32" s="211" t="s">
        <v>995</v>
      </c>
      <c r="M32" s="212" t="s">
        <v>15</v>
      </c>
      <c r="N32" s="213" t="s">
        <v>995</v>
      </c>
      <c r="O32" s="214" t="s">
        <v>995</v>
      </c>
      <c r="P32" s="215" t="s">
        <v>995</v>
      </c>
      <c r="Q32" s="209" t="s">
        <v>1319</v>
      </c>
    </row>
    <row r="33" spans="1:17">
      <c r="A33" s="76" t="s">
        <v>1277</v>
      </c>
      <c r="B33" s="76">
        <v>27</v>
      </c>
      <c r="C33" s="76" t="s">
        <v>130</v>
      </c>
      <c r="D33" s="164" t="s">
        <v>51</v>
      </c>
      <c r="E33" s="165">
        <v>10474</v>
      </c>
      <c r="F33" s="503">
        <v>28975</v>
      </c>
      <c r="G33" s="163" t="s">
        <v>14</v>
      </c>
      <c r="H33" s="163" t="s">
        <v>1318</v>
      </c>
      <c r="I33" s="163" t="s">
        <v>115</v>
      </c>
      <c r="J33" s="80" t="s">
        <v>116</v>
      </c>
      <c r="K33" s="210" t="s">
        <v>995</v>
      </c>
      <c r="L33" s="211" t="s">
        <v>995</v>
      </c>
      <c r="M33" s="212" t="s">
        <v>15</v>
      </c>
      <c r="N33" s="213" t="s">
        <v>995</v>
      </c>
      <c r="O33" s="214" t="s">
        <v>995</v>
      </c>
      <c r="P33" s="215" t="s">
        <v>995</v>
      </c>
      <c r="Q33" s="200"/>
    </row>
    <row r="34" spans="1:17">
      <c r="A34" s="76" t="s">
        <v>1277</v>
      </c>
      <c r="B34" s="76">
        <v>28</v>
      </c>
      <c r="C34" s="76" t="s">
        <v>130</v>
      </c>
      <c r="D34" s="164" t="s">
        <v>49</v>
      </c>
      <c r="E34" s="165">
        <v>6793</v>
      </c>
      <c r="F34" s="503">
        <v>28856</v>
      </c>
      <c r="G34" s="163" t="s">
        <v>19</v>
      </c>
      <c r="H34" s="163">
        <v>1003</v>
      </c>
      <c r="I34" s="163" t="s">
        <v>115</v>
      </c>
      <c r="J34" s="80" t="s">
        <v>116</v>
      </c>
      <c r="K34" s="210"/>
      <c r="L34" s="211" t="s">
        <v>995</v>
      </c>
      <c r="M34" s="212" t="s">
        <v>995</v>
      </c>
      <c r="N34" s="213" t="s">
        <v>15</v>
      </c>
      <c r="O34" s="214" t="s">
        <v>995</v>
      </c>
      <c r="P34" s="215" t="s">
        <v>995</v>
      </c>
      <c r="Q34" s="200"/>
    </row>
    <row r="35" spans="1:17">
      <c r="A35" s="76" t="s">
        <v>1277</v>
      </c>
      <c r="B35" s="76">
        <v>29</v>
      </c>
      <c r="C35" s="76" t="s">
        <v>130</v>
      </c>
      <c r="D35" s="164" t="s">
        <v>49</v>
      </c>
      <c r="E35" s="165">
        <v>5934</v>
      </c>
      <c r="F35" s="503">
        <v>31866</v>
      </c>
      <c r="G35" s="163" t="s">
        <v>19</v>
      </c>
      <c r="H35" s="163">
        <v>1003</v>
      </c>
      <c r="I35" s="163" t="s">
        <v>115</v>
      </c>
      <c r="J35" s="80" t="s">
        <v>116</v>
      </c>
      <c r="K35" s="210" t="s">
        <v>995</v>
      </c>
      <c r="L35" s="216"/>
      <c r="M35" s="212" t="s">
        <v>995</v>
      </c>
      <c r="N35" s="213" t="s">
        <v>15</v>
      </c>
      <c r="O35" s="214" t="s">
        <v>995</v>
      </c>
      <c r="P35" s="215" t="s">
        <v>995</v>
      </c>
      <c r="Q35" s="200"/>
    </row>
    <row r="36" spans="1:17">
      <c r="A36" s="76" t="s">
        <v>1277</v>
      </c>
      <c r="B36" s="76">
        <v>30</v>
      </c>
      <c r="C36" s="76" t="s">
        <v>130</v>
      </c>
      <c r="D36" s="164" t="s">
        <v>54</v>
      </c>
      <c r="E36" s="165">
        <v>21327</v>
      </c>
      <c r="F36" s="503">
        <v>35338</v>
      </c>
      <c r="G36" s="163" t="s">
        <v>14</v>
      </c>
      <c r="H36" s="163">
        <v>1003</v>
      </c>
      <c r="I36" s="163" t="s">
        <v>115</v>
      </c>
      <c r="J36" s="80" t="s">
        <v>116</v>
      </c>
      <c r="K36" s="210" t="s">
        <v>995</v>
      </c>
      <c r="L36" s="211" t="s">
        <v>995</v>
      </c>
      <c r="M36" s="212" t="s">
        <v>15</v>
      </c>
      <c r="N36" s="213" t="s">
        <v>995</v>
      </c>
      <c r="O36" s="214" t="s">
        <v>995</v>
      </c>
      <c r="P36" s="215" t="s">
        <v>995</v>
      </c>
      <c r="Q36" s="200"/>
    </row>
    <row r="37" spans="1:17">
      <c r="A37" s="76" t="s">
        <v>1277</v>
      </c>
      <c r="B37" s="76">
        <v>31</v>
      </c>
      <c r="C37" s="76" t="s">
        <v>130</v>
      </c>
      <c r="D37" s="164" t="s">
        <v>61</v>
      </c>
      <c r="E37" s="165">
        <v>3089</v>
      </c>
      <c r="F37" s="503">
        <v>45139</v>
      </c>
      <c r="G37" s="163" t="s">
        <v>17</v>
      </c>
      <c r="H37" s="163">
        <v>1003</v>
      </c>
      <c r="I37" s="163" t="s">
        <v>115</v>
      </c>
      <c r="J37" s="80" t="s">
        <v>116</v>
      </c>
      <c r="K37" s="210" t="s">
        <v>995</v>
      </c>
      <c r="L37" s="211" t="s">
        <v>995</v>
      </c>
      <c r="M37" s="212" t="s">
        <v>995</v>
      </c>
      <c r="N37" s="213" t="s">
        <v>995</v>
      </c>
      <c r="O37" s="214" t="s">
        <v>995</v>
      </c>
      <c r="P37" s="215" t="s">
        <v>15</v>
      </c>
      <c r="Q37" s="200"/>
    </row>
    <row r="38" spans="1:17">
      <c r="A38" s="76" t="s">
        <v>1277</v>
      </c>
      <c r="B38" s="76">
        <v>32</v>
      </c>
      <c r="C38" s="76" t="s">
        <v>130</v>
      </c>
      <c r="D38" s="164" t="s">
        <v>1320</v>
      </c>
      <c r="E38" s="165" t="s">
        <v>1321</v>
      </c>
      <c r="F38" s="503">
        <v>36892</v>
      </c>
      <c r="G38" s="163" t="s">
        <v>19</v>
      </c>
      <c r="H38" s="163">
        <v>1003</v>
      </c>
      <c r="I38" s="163" t="s">
        <v>115</v>
      </c>
      <c r="J38" s="80" t="s">
        <v>116</v>
      </c>
      <c r="K38" s="210" t="s">
        <v>995</v>
      </c>
      <c r="L38" s="211" t="s">
        <v>995</v>
      </c>
      <c r="M38" s="212" t="s">
        <v>995</v>
      </c>
      <c r="N38" s="213" t="s">
        <v>995</v>
      </c>
      <c r="O38" s="214" t="s">
        <v>15</v>
      </c>
      <c r="P38" s="215" t="s">
        <v>995</v>
      </c>
      <c r="Q38" s="200"/>
    </row>
    <row r="39" spans="1:17">
      <c r="A39" s="76" t="s">
        <v>1277</v>
      </c>
      <c r="B39" s="76">
        <v>33</v>
      </c>
      <c r="C39" s="76" t="s">
        <v>130</v>
      </c>
      <c r="D39" s="164" t="s">
        <v>55</v>
      </c>
      <c r="E39" s="165">
        <v>21081</v>
      </c>
      <c r="F39" s="503">
        <v>35338</v>
      </c>
      <c r="G39" s="163" t="s">
        <v>14</v>
      </c>
      <c r="H39" s="163" t="s">
        <v>1318</v>
      </c>
      <c r="I39" s="163" t="s">
        <v>115</v>
      </c>
      <c r="J39" s="80" t="s">
        <v>116</v>
      </c>
      <c r="K39" s="210" t="s">
        <v>995</v>
      </c>
      <c r="L39" s="211" t="s">
        <v>995</v>
      </c>
      <c r="M39" s="212" t="s">
        <v>15</v>
      </c>
      <c r="N39" s="213" t="s">
        <v>995</v>
      </c>
      <c r="O39" s="214" t="s">
        <v>995</v>
      </c>
      <c r="P39" s="215" t="s">
        <v>995</v>
      </c>
      <c r="Q39" s="200"/>
    </row>
    <row r="40" spans="1:17">
      <c r="A40" s="76" t="s">
        <v>1277</v>
      </c>
      <c r="B40" s="76">
        <v>34</v>
      </c>
      <c r="C40" s="76" t="s">
        <v>130</v>
      </c>
      <c r="D40" s="164" t="s">
        <v>58</v>
      </c>
      <c r="E40" s="165">
        <v>10481</v>
      </c>
      <c r="F40" s="503">
        <v>37195</v>
      </c>
      <c r="G40" s="163" t="s">
        <v>14</v>
      </c>
      <c r="H40" s="163" t="s">
        <v>1318</v>
      </c>
      <c r="I40" s="163" t="s">
        <v>115</v>
      </c>
      <c r="J40" s="80" t="s">
        <v>116</v>
      </c>
      <c r="K40" s="210" t="s">
        <v>995</v>
      </c>
      <c r="L40" s="211" t="s">
        <v>995</v>
      </c>
      <c r="M40" s="212" t="s">
        <v>15</v>
      </c>
      <c r="N40" s="213" t="s">
        <v>995</v>
      </c>
      <c r="O40" s="214" t="s">
        <v>995</v>
      </c>
      <c r="P40" s="215" t="s">
        <v>995</v>
      </c>
      <c r="Q40" s="200"/>
    </row>
    <row r="41" spans="1:17">
      <c r="A41" s="76" t="s">
        <v>1277</v>
      </c>
      <c r="B41" s="76">
        <v>35</v>
      </c>
      <c r="C41" s="76" t="s">
        <v>130</v>
      </c>
      <c r="D41" s="164" t="s">
        <v>59</v>
      </c>
      <c r="E41" s="165">
        <v>10487</v>
      </c>
      <c r="F41" s="503">
        <v>36646</v>
      </c>
      <c r="G41" s="163" t="s">
        <v>19</v>
      </c>
      <c r="H41" s="163">
        <v>1001</v>
      </c>
      <c r="I41" s="163" t="s">
        <v>115</v>
      </c>
      <c r="J41" s="80" t="s">
        <v>116</v>
      </c>
      <c r="K41" s="210" t="s">
        <v>995</v>
      </c>
      <c r="L41" s="211" t="s">
        <v>995</v>
      </c>
      <c r="M41" s="212" t="s">
        <v>995</v>
      </c>
      <c r="N41" s="213" t="s">
        <v>15</v>
      </c>
      <c r="O41" s="214" t="s">
        <v>995</v>
      </c>
      <c r="P41" s="215" t="s">
        <v>995</v>
      </c>
      <c r="Q41" s="200"/>
    </row>
    <row r="42" spans="1:17">
      <c r="A42" s="76" t="s">
        <v>1277</v>
      </c>
      <c r="B42" s="76">
        <v>36</v>
      </c>
      <c r="C42" s="76" t="s">
        <v>130</v>
      </c>
      <c r="D42" s="164" t="s">
        <v>61</v>
      </c>
      <c r="E42" s="165">
        <v>10627</v>
      </c>
      <c r="F42" s="503">
        <v>39021</v>
      </c>
      <c r="G42" s="163" t="s">
        <v>19</v>
      </c>
      <c r="H42" s="163" t="s">
        <v>1318</v>
      </c>
      <c r="I42" s="163" t="s">
        <v>115</v>
      </c>
      <c r="J42" s="80" t="s">
        <v>116</v>
      </c>
      <c r="K42" s="210" t="s">
        <v>995</v>
      </c>
      <c r="L42" s="211" t="s">
        <v>995</v>
      </c>
      <c r="M42" s="212" t="s">
        <v>995</v>
      </c>
      <c r="N42" s="213" t="s">
        <v>995</v>
      </c>
      <c r="O42" s="214" t="s">
        <v>15</v>
      </c>
      <c r="P42" s="215" t="s">
        <v>995</v>
      </c>
      <c r="Q42" s="200"/>
    </row>
    <row r="43" spans="1:17">
      <c r="A43" s="76" t="s">
        <v>1277</v>
      </c>
      <c r="B43" s="76">
        <v>37</v>
      </c>
      <c r="C43" s="76" t="s">
        <v>130</v>
      </c>
      <c r="D43" s="164" t="s">
        <v>61</v>
      </c>
      <c r="E43" s="165">
        <v>10641</v>
      </c>
      <c r="F43" s="503">
        <v>39721</v>
      </c>
      <c r="G43" s="163" t="s">
        <v>19</v>
      </c>
      <c r="H43" s="163" t="s">
        <v>1318</v>
      </c>
      <c r="I43" s="163" t="s">
        <v>115</v>
      </c>
      <c r="J43" s="80" t="s">
        <v>116</v>
      </c>
      <c r="K43" s="210" t="s">
        <v>995</v>
      </c>
      <c r="L43" s="211" t="s">
        <v>995</v>
      </c>
      <c r="M43" s="212" t="s">
        <v>995</v>
      </c>
      <c r="N43" s="213" t="s">
        <v>995</v>
      </c>
      <c r="O43" s="214" t="s">
        <v>15</v>
      </c>
      <c r="P43" s="215" t="s">
        <v>995</v>
      </c>
      <c r="Q43" s="200"/>
    </row>
    <row r="44" spans="1:17">
      <c r="A44" s="76" t="s">
        <v>1277</v>
      </c>
      <c r="B44" s="76">
        <v>38</v>
      </c>
      <c r="C44" s="76" t="s">
        <v>130</v>
      </c>
      <c r="D44" s="164" t="s">
        <v>1322</v>
      </c>
      <c r="E44" s="165">
        <v>11473</v>
      </c>
      <c r="F44" s="503">
        <v>42339</v>
      </c>
      <c r="G44" s="163" t="s">
        <v>19</v>
      </c>
      <c r="H44" s="163" t="s">
        <v>1318</v>
      </c>
      <c r="I44" s="163" t="s">
        <v>115</v>
      </c>
      <c r="J44" s="80" t="s">
        <v>116</v>
      </c>
      <c r="K44" s="210" t="s">
        <v>995</v>
      </c>
      <c r="L44" s="211"/>
      <c r="M44" s="212" t="s">
        <v>995</v>
      </c>
      <c r="N44" s="213" t="s">
        <v>15</v>
      </c>
      <c r="O44" s="214" t="s">
        <v>995</v>
      </c>
      <c r="P44" s="215" t="s">
        <v>995</v>
      </c>
      <c r="Q44" s="200"/>
    </row>
    <row r="45" spans="1:17">
      <c r="A45" s="76" t="s">
        <v>1277</v>
      </c>
      <c r="B45" s="76">
        <v>39</v>
      </c>
      <c r="C45" s="76" t="s">
        <v>130</v>
      </c>
      <c r="D45" s="164" t="s">
        <v>64</v>
      </c>
      <c r="E45" s="165">
        <v>10658</v>
      </c>
      <c r="F45" s="503">
        <v>40117</v>
      </c>
      <c r="G45" s="163" t="s">
        <v>19</v>
      </c>
      <c r="H45" s="163">
        <v>3009</v>
      </c>
      <c r="I45" s="163" t="s">
        <v>115</v>
      </c>
      <c r="J45" s="80" t="s">
        <v>116</v>
      </c>
      <c r="K45" s="210" t="s">
        <v>995</v>
      </c>
      <c r="L45" s="211" t="s">
        <v>995</v>
      </c>
      <c r="M45" s="212" t="s">
        <v>995</v>
      </c>
      <c r="N45" s="213" t="s">
        <v>995</v>
      </c>
      <c r="O45" s="214" t="s">
        <v>995</v>
      </c>
      <c r="P45" s="215" t="s">
        <v>15</v>
      </c>
      <c r="Q45" s="200"/>
    </row>
    <row r="46" spans="1:17">
      <c r="A46" s="76" t="s">
        <v>1277</v>
      </c>
      <c r="B46" s="76">
        <v>40</v>
      </c>
      <c r="C46" s="76" t="s">
        <v>130</v>
      </c>
      <c r="D46" s="164" t="s">
        <v>64</v>
      </c>
      <c r="E46" s="165">
        <v>10659</v>
      </c>
      <c r="F46" s="503">
        <v>40117</v>
      </c>
      <c r="G46" s="163" t="s">
        <v>19</v>
      </c>
      <c r="H46" s="163">
        <v>3009</v>
      </c>
      <c r="I46" s="163" t="s">
        <v>115</v>
      </c>
      <c r="J46" s="80" t="s">
        <v>116</v>
      </c>
      <c r="K46" s="210" t="s">
        <v>995</v>
      </c>
      <c r="L46" s="211" t="s">
        <v>995</v>
      </c>
      <c r="M46" s="212" t="s">
        <v>995</v>
      </c>
      <c r="N46" s="213" t="s">
        <v>995</v>
      </c>
      <c r="O46" s="214" t="s">
        <v>995</v>
      </c>
      <c r="P46" s="215" t="s">
        <v>15</v>
      </c>
      <c r="Q46" s="200"/>
    </row>
    <row r="47" spans="1:17">
      <c r="A47" s="76" t="s">
        <v>1277</v>
      </c>
      <c r="B47" s="76">
        <v>41</v>
      </c>
      <c r="C47" s="76" t="s">
        <v>130</v>
      </c>
      <c r="D47" s="164" t="s">
        <v>64</v>
      </c>
      <c r="E47" s="165">
        <v>10660</v>
      </c>
      <c r="F47" s="503">
        <v>40209</v>
      </c>
      <c r="G47" s="163" t="s">
        <v>19</v>
      </c>
      <c r="H47" s="163">
        <v>3009</v>
      </c>
      <c r="I47" s="163" t="s">
        <v>115</v>
      </c>
      <c r="J47" s="80" t="s">
        <v>116</v>
      </c>
      <c r="K47" s="210" t="s">
        <v>995</v>
      </c>
      <c r="L47" s="211" t="s">
        <v>995</v>
      </c>
      <c r="M47" s="212" t="s">
        <v>995</v>
      </c>
      <c r="N47" s="213" t="s">
        <v>995</v>
      </c>
      <c r="O47" s="214" t="s">
        <v>995</v>
      </c>
      <c r="P47" s="215" t="s">
        <v>15</v>
      </c>
      <c r="Q47" s="200"/>
    </row>
    <row r="48" spans="1:17">
      <c r="A48" s="76" t="s">
        <v>1277</v>
      </c>
      <c r="B48" s="76">
        <v>42</v>
      </c>
      <c r="C48" s="76" t="s">
        <v>130</v>
      </c>
      <c r="D48" s="164" t="s">
        <v>66</v>
      </c>
      <c r="E48" s="165">
        <v>10657</v>
      </c>
      <c r="F48" s="503">
        <v>39844</v>
      </c>
      <c r="G48" s="163" t="s">
        <v>19</v>
      </c>
      <c r="H48" s="163">
        <v>3009</v>
      </c>
      <c r="I48" s="163" t="s">
        <v>115</v>
      </c>
      <c r="J48" s="80" t="s">
        <v>116</v>
      </c>
      <c r="K48" s="210" t="s">
        <v>995</v>
      </c>
      <c r="L48" s="211" t="s">
        <v>995</v>
      </c>
      <c r="M48" s="286" t="s">
        <v>995</v>
      </c>
      <c r="N48" s="213" t="s">
        <v>15</v>
      </c>
      <c r="O48" s="214" t="s">
        <v>995</v>
      </c>
      <c r="P48" s="215" t="s">
        <v>995</v>
      </c>
      <c r="Q48" s="200"/>
    </row>
    <row r="49" spans="1:17">
      <c r="A49" s="76" t="s">
        <v>1277</v>
      </c>
      <c r="B49" s="76">
        <v>43</v>
      </c>
      <c r="C49" s="76" t="s">
        <v>130</v>
      </c>
      <c r="D49" s="164" t="s">
        <v>64</v>
      </c>
      <c r="E49" s="165">
        <v>11901</v>
      </c>
      <c r="F49" s="503">
        <v>40209</v>
      </c>
      <c r="G49" s="163" t="s">
        <v>19</v>
      </c>
      <c r="H49" s="163">
        <v>3009</v>
      </c>
      <c r="I49" s="163" t="s">
        <v>115</v>
      </c>
      <c r="J49" s="80" t="s">
        <v>116</v>
      </c>
      <c r="K49" s="210" t="s">
        <v>995</v>
      </c>
      <c r="L49" s="211" t="s">
        <v>995</v>
      </c>
      <c r="M49" s="212" t="s">
        <v>995</v>
      </c>
      <c r="N49" s="213" t="s">
        <v>995</v>
      </c>
      <c r="O49" s="214" t="s">
        <v>995</v>
      </c>
      <c r="P49" s="215" t="s">
        <v>15</v>
      </c>
      <c r="Q49" s="200"/>
    </row>
    <row r="50" spans="1:17">
      <c r="A50" s="76" t="s">
        <v>1277</v>
      </c>
      <c r="B50" s="76">
        <v>44</v>
      </c>
      <c r="C50" s="76" t="s">
        <v>130</v>
      </c>
      <c r="D50" s="164" t="s">
        <v>61</v>
      </c>
      <c r="E50" s="165">
        <v>11411</v>
      </c>
      <c r="F50" s="503">
        <v>41891</v>
      </c>
      <c r="G50" s="163" t="s">
        <v>17</v>
      </c>
      <c r="H50" s="163" t="s">
        <v>1318</v>
      </c>
      <c r="I50" s="163" t="s">
        <v>115</v>
      </c>
      <c r="J50" s="80" t="s">
        <v>116</v>
      </c>
      <c r="K50" s="210" t="s">
        <v>995</v>
      </c>
      <c r="L50" s="211" t="s">
        <v>995</v>
      </c>
      <c r="M50" s="212" t="s">
        <v>995</v>
      </c>
      <c r="N50" s="213" t="s">
        <v>995</v>
      </c>
      <c r="O50" s="214" t="s">
        <v>995</v>
      </c>
      <c r="P50" s="215" t="s">
        <v>15</v>
      </c>
      <c r="Q50" s="200"/>
    </row>
    <row r="51" spans="1:17">
      <c r="A51" s="76" t="s">
        <v>1277</v>
      </c>
      <c r="B51" s="76">
        <v>45</v>
      </c>
      <c r="C51" s="76" t="s">
        <v>130</v>
      </c>
      <c r="D51" s="164" t="s">
        <v>68</v>
      </c>
      <c r="E51" s="165">
        <v>11923</v>
      </c>
      <c r="F51" s="503">
        <v>41311</v>
      </c>
      <c r="G51" s="163" t="s">
        <v>17</v>
      </c>
      <c r="H51" s="163" t="s">
        <v>1318</v>
      </c>
      <c r="I51" s="163" t="s">
        <v>115</v>
      </c>
      <c r="J51" s="80" t="s">
        <v>116</v>
      </c>
      <c r="K51" s="210" t="s">
        <v>995</v>
      </c>
      <c r="L51" s="211" t="s">
        <v>995</v>
      </c>
      <c r="M51" s="212" t="s">
        <v>995</v>
      </c>
      <c r="N51" s="213" t="s">
        <v>995</v>
      </c>
      <c r="O51" s="214" t="s">
        <v>995</v>
      </c>
      <c r="P51" s="215" t="s">
        <v>15</v>
      </c>
      <c r="Q51" s="200"/>
    </row>
    <row r="52" spans="1:17">
      <c r="A52" s="76" t="s">
        <v>1277</v>
      </c>
      <c r="B52" s="76">
        <v>46</v>
      </c>
      <c r="C52" s="76" t="s">
        <v>130</v>
      </c>
      <c r="D52" s="164" t="s">
        <v>1323</v>
      </c>
      <c r="E52" s="165">
        <v>11921</v>
      </c>
      <c r="F52" s="503">
        <v>41287</v>
      </c>
      <c r="G52" s="163" t="s">
        <v>19</v>
      </c>
      <c r="H52" s="163">
        <v>1001</v>
      </c>
      <c r="I52" s="163" t="s">
        <v>115</v>
      </c>
      <c r="J52" s="80" t="s">
        <v>116</v>
      </c>
      <c r="K52" s="210" t="s">
        <v>995</v>
      </c>
      <c r="L52" s="211" t="s">
        <v>995</v>
      </c>
      <c r="M52" s="212" t="s">
        <v>995</v>
      </c>
      <c r="N52" s="213" t="s">
        <v>995</v>
      </c>
      <c r="O52" s="214" t="s">
        <v>995</v>
      </c>
      <c r="P52" s="215" t="s">
        <v>15</v>
      </c>
      <c r="Q52" s="200"/>
    </row>
    <row r="53" spans="1:17">
      <c r="A53" s="76" t="s">
        <v>1277</v>
      </c>
      <c r="B53" s="76">
        <v>47</v>
      </c>
      <c r="C53" s="76" t="s">
        <v>130</v>
      </c>
      <c r="D53" s="164" t="s">
        <v>1323</v>
      </c>
      <c r="E53" s="165">
        <v>3088</v>
      </c>
      <c r="F53" s="503">
        <v>44501</v>
      </c>
      <c r="G53" s="163" t="s">
        <v>17</v>
      </c>
      <c r="H53" s="163">
        <v>1001</v>
      </c>
      <c r="I53" s="163" t="s">
        <v>115</v>
      </c>
      <c r="J53" s="80" t="s">
        <v>116</v>
      </c>
      <c r="K53" s="210" t="s">
        <v>995</v>
      </c>
      <c r="L53" s="211" t="s">
        <v>995</v>
      </c>
      <c r="M53" s="212" t="s">
        <v>995</v>
      </c>
      <c r="N53" s="213" t="s">
        <v>995</v>
      </c>
      <c r="O53" s="214" t="s">
        <v>995</v>
      </c>
      <c r="P53" s="215" t="s">
        <v>15</v>
      </c>
      <c r="Q53" s="200"/>
    </row>
    <row r="54" spans="1:17">
      <c r="A54" s="76" t="s">
        <v>1277</v>
      </c>
      <c r="B54" s="76">
        <v>48</v>
      </c>
      <c r="C54" s="76" t="s">
        <v>130</v>
      </c>
      <c r="D54" s="164" t="s">
        <v>71</v>
      </c>
      <c r="E54" s="165">
        <v>11916</v>
      </c>
      <c r="F54" s="502" t="s">
        <v>72</v>
      </c>
      <c r="G54" s="163" t="s">
        <v>19</v>
      </c>
      <c r="H54" s="163">
        <v>1001</v>
      </c>
      <c r="I54" s="163" t="s">
        <v>115</v>
      </c>
      <c r="J54" s="80" t="s">
        <v>116</v>
      </c>
      <c r="K54" s="210" t="s">
        <v>995</v>
      </c>
      <c r="L54" s="211" t="s">
        <v>995</v>
      </c>
      <c r="M54" s="212" t="s">
        <v>995</v>
      </c>
      <c r="N54" s="213" t="s">
        <v>995</v>
      </c>
      <c r="O54" s="214" t="s">
        <v>995</v>
      </c>
      <c r="P54" s="215" t="s">
        <v>15</v>
      </c>
      <c r="Q54" s="200"/>
    </row>
    <row r="55" spans="1:17">
      <c r="A55" s="76" t="s">
        <v>1277</v>
      </c>
      <c r="B55" s="76">
        <v>49</v>
      </c>
      <c r="C55" s="76" t="s">
        <v>130</v>
      </c>
      <c r="D55" s="164" t="s">
        <v>71</v>
      </c>
      <c r="E55" s="165">
        <v>3086</v>
      </c>
      <c r="F55" s="503">
        <v>44501</v>
      </c>
      <c r="G55" s="163" t="s">
        <v>17</v>
      </c>
      <c r="H55" s="163">
        <v>1001</v>
      </c>
      <c r="I55" s="163" t="s">
        <v>115</v>
      </c>
      <c r="J55" s="80" t="s">
        <v>116</v>
      </c>
      <c r="K55" s="210" t="s">
        <v>995</v>
      </c>
      <c r="L55" s="211" t="s">
        <v>995</v>
      </c>
      <c r="M55" s="212" t="s">
        <v>995</v>
      </c>
      <c r="N55" s="213" t="s">
        <v>995</v>
      </c>
      <c r="O55" s="214" t="s">
        <v>995</v>
      </c>
      <c r="P55" s="215" t="s">
        <v>15</v>
      </c>
      <c r="Q55" s="200"/>
    </row>
    <row r="56" spans="1:17">
      <c r="A56" s="76" t="s">
        <v>1277</v>
      </c>
      <c r="B56" s="76">
        <v>50</v>
      </c>
      <c r="C56" s="76" t="s">
        <v>130</v>
      </c>
      <c r="D56" s="164" t="s">
        <v>61</v>
      </c>
      <c r="E56" s="165">
        <v>10629</v>
      </c>
      <c r="F56" s="502" t="s">
        <v>73</v>
      </c>
      <c r="G56" s="163" t="s">
        <v>19</v>
      </c>
      <c r="H56" s="163">
        <v>1001</v>
      </c>
      <c r="I56" s="163" t="s">
        <v>115</v>
      </c>
      <c r="J56" s="80" t="s">
        <v>116</v>
      </c>
      <c r="K56" s="210" t="s">
        <v>995</v>
      </c>
      <c r="L56" s="211" t="s">
        <v>995</v>
      </c>
      <c r="M56" s="212" t="s">
        <v>995</v>
      </c>
      <c r="N56" s="213" t="s">
        <v>995</v>
      </c>
      <c r="O56" s="214" t="s">
        <v>15</v>
      </c>
      <c r="P56" s="215" t="s">
        <v>995</v>
      </c>
      <c r="Q56" s="200"/>
    </row>
    <row r="57" spans="1:17">
      <c r="A57" s="76" t="s">
        <v>1277</v>
      </c>
      <c r="B57" s="76">
        <v>51</v>
      </c>
      <c r="C57" s="76" t="s">
        <v>130</v>
      </c>
      <c r="D57" s="164" t="s">
        <v>49</v>
      </c>
      <c r="E57" s="165">
        <v>21079</v>
      </c>
      <c r="F57" s="502">
        <v>1996</v>
      </c>
      <c r="G57" s="163" t="s">
        <v>14</v>
      </c>
      <c r="H57" s="163">
        <v>1001</v>
      </c>
      <c r="I57" s="163" t="s">
        <v>115</v>
      </c>
      <c r="J57" s="80" t="s">
        <v>116</v>
      </c>
      <c r="K57" s="210" t="s">
        <v>995</v>
      </c>
      <c r="L57" s="211" t="s">
        <v>995</v>
      </c>
      <c r="M57" s="212" t="s">
        <v>15</v>
      </c>
      <c r="N57" s="213" t="s">
        <v>995</v>
      </c>
      <c r="O57" s="214" t="s">
        <v>995</v>
      </c>
      <c r="P57" s="215" t="s">
        <v>995</v>
      </c>
      <c r="Q57" s="200"/>
    </row>
    <row r="58" spans="1:17">
      <c r="A58" s="76" t="s">
        <v>1277</v>
      </c>
      <c r="B58" s="76">
        <v>52</v>
      </c>
      <c r="C58" s="76" t="s">
        <v>130</v>
      </c>
      <c r="D58" s="164" t="s">
        <v>55</v>
      </c>
      <c r="E58" s="165">
        <v>21080</v>
      </c>
      <c r="F58" s="502">
        <v>1996</v>
      </c>
      <c r="G58" s="163" t="s">
        <v>14</v>
      </c>
      <c r="H58" s="163">
        <v>1001</v>
      </c>
      <c r="I58" s="163" t="s">
        <v>115</v>
      </c>
      <c r="J58" s="80" t="s">
        <v>116</v>
      </c>
      <c r="K58" s="210" t="s">
        <v>995</v>
      </c>
      <c r="L58" s="211" t="s">
        <v>995</v>
      </c>
      <c r="M58" s="212" t="s">
        <v>15</v>
      </c>
      <c r="N58" s="213" t="s">
        <v>995</v>
      </c>
      <c r="O58" s="214" t="s">
        <v>995</v>
      </c>
      <c r="P58" s="215" t="s">
        <v>995</v>
      </c>
      <c r="Q58" s="200"/>
    </row>
    <row r="59" spans="1:17">
      <c r="A59" s="76" t="s">
        <v>1277</v>
      </c>
      <c r="B59" s="76">
        <v>53</v>
      </c>
      <c r="C59" s="76" t="s">
        <v>130</v>
      </c>
      <c r="D59" s="164" t="s">
        <v>49</v>
      </c>
      <c r="E59" s="165">
        <v>10484</v>
      </c>
      <c r="F59" s="502" t="s">
        <v>74</v>
      </c>
      <c r="G59" s="163" t="s">
        <v>14</v>
      </c>
      <c r="H59" s="163">
        <v>1001</v>
      </c>
      <c r="I59" s="163" t="s">
        <v>115</v>
      </c>
      <c r="J59" s="80" t="s">
        <v>116</v>
      </c>
      <c r="K59" s="210" t="s">
        <v>995</v>
      </c>
      <c r="L59" s="211" t="s">
        <v>995</v>
      </c>
      <c r="M59" s="212" t="s">
        <v>995</v>
      </c>
      <c r="N59" s="213" t="s">
        <v>15</v>
      </c>
      <c r="O59" s="214" t="s">
        <v>995</v>
      </c>
      <c r="P59" s="215" t="s">
        <v>995</v>
      </c>
      <c r="Q59" s="200"/>
    </row>
    <row r="60" spans="1:17" ht="26.25">
      <c r="A60" s="76" t="s">
        <v>1277</v>
      </c>
      <c r="B60" s="76">
        <v>54</v>
      </c>
      <c r="C60" s="76" t="s">
        <v>130</v>
      </c>
      <c r="D60" s="164" t="s">
        <v>75</v>
      </c>
      <c r="E60" s="165" t="s">
        <v>76</v>
      </c>
      <c r="F60" s="502">
        <v>2016</v>
      </c>
      <c r="G60" s="163" t="s">
        <v>14</v>
      </c>
      <c r="H60" s="163">
        <v>1011</v>
      </c>
      <c r="I60" s="163" t="s">
        <v>115</v>
      </c>
      <c r="J60" s="80" t="s">
        <v>116</v>
      </c>
      <c r="K60" s="210" t="s">
        <v>995</v>
      </c>
      <c r="L60" s="285" t="s">
        <v>15</v>
      </c>
      <c r="M60" s="212"/>
      <c r="N60" s="213" t="s">
        <v>995</v>
      </c>
      <c r="O60" s="214" t="s">
        <v>995</v>
      </c>
      <c r="P60" s="215" t="s">
        <v>995</v>
      </c>
      <c r="Q60" s="200"/>
    </row>
    <row r="61" spans="1:17">
      <c r="A61" s="76" t="s">
        <v>1277</v>
      </c>
      <c r="B61" s="76">
        <v>55</v>
      </c>
      <c r="C61" s="76" t="s">
        <v>228</v>
      </c>
      <c r="D61" s="164" t="s">
        <v>49</v>
      </c>
      <c r="E61" s="165">
        <v>6791</v>
      </c>
      <c r="F61" s="503">
        <v>34911</v>
      </c>
      <c r="G61" s="163" t="s">
        <v>14</v>
      </c>
      <c r="H61" s="163" t="s">
        <v>1324</v>
      </c>
      <c r="I61" s="163" t="s">
        <v>115</v>
      </c>
      <c r="J61" s="80" t="s">
        <v>116</v>
      </c>
      <c r="K61" s="210" t="s">
        <v>995</v>
      </c>
      <c r="L61" s="211" t="s">
        <v>995</v>
      </c>
      <c r="M61" s="212" t="s">
        <v>995</v>
      </c>
      <c r="N61" s="213" t="s">
        <v>15</v>
      </c>
      <c r="O61" s="214" t="s">
        <v>995</v>
      </c>
      <c r="P61" s="215" t="s">
        <v>995</v>
      </c>
      <c r="Q61" s="168"/>
    </row>
    <row r="62" spans="1:17">
      <c r="A62" s="76" t="s">
        <v>1277</v>
      </c>
      <c r="B62" s="76">
        <v>56</v>
      </c>
      <c r="C62" s="76" t="s">
        <v>228</v>
      </c>
      <c r="D62" s="164" t="s">
        <v>89</v>
      </c>
      <c r="E62" s="165">
        <v>10620</v>
      </c>
      <c r="F62" s="503">
        <v>36738</v>
      </c>
      <c r="G62" s="163" t="s">
        <v>14</v>
      </c>
      <c r="H62" s="163" t="s">
        <v>1324</v>
      </c>
      <c r="I62" s="163" t="s">
        <v>115</v>
      </c>
      <c r="J62" s="80" t="s">
        <v>116</v>
      </c>
      <c r="K62" s="210" t="s">
        <v>995</v>
      </c>
      <c r="L62" s="211" t="s">
        <v>995</v>
      </c>
      <c r="M62" s="212" t="s">
        <v>995</v>
      </c>
      <c r="N62" s="213" t="s">
        <v>15</v>
      </c>
      <c r="O62" s="214" t="s">
        <v>995</v>
      </c>
      <c r="P62" s="215" t="s">
        <v>995</v>
      </c>
      <c r="Q62" s="168"/>
    </row>
    <row r="63" spans="1:17">
      <c r="A63" s="76" t="s">
        <v>1277</v>
      </c>
      <c r="B63" s="76">
        <v>57</v>
      </c>
      <c r="C63" s="76" t="s">
        <v>228</v>
      </c>
      <c r="D63" s="164" t="s">
        <v>49</v>
      </c>
      <c r="E63" s="165">
        <v>11924</v>
      </c>
      <c r="F63" s="503">
        <v>41456</v>
      </c>
      <c r="G63" s="163" t="s">
        <v>17</v>
      </c>
      <c r="H63" s="163" t="s">
        <v>1324</v>
      </c>
      <c r="I63" s="163" t="s">
        <v>115</v>
      </c>
      <c r="J63" s="80" t="s">
        <v>116</v>
      </c>
      <c r="K63" s="210" t="s">
        <v>995</v>
      </c>
      <c r="L63" s="211" t="s">
        <v>995</v>
      </c>
      <c r="M63" s="212" t="s">
        <v>995</v>
      </c>
      <c r="N63" s="213" t="s">
        <v>995</v>
      </c>
      <c r="O63" s="214" t="s">
        <v>995</v>
      </c>
      <c r="P63" s="215" t="s">
        <v>15</v>
      </c>
      <c r="Q63" s="168"/>
    </row>
    <row r="64" spans="1:17">
      <c r="A64" s="76" t="s">
        <v>1277</v>
      </c>
      <c r="B64" s="76">
        <v>58</v>
      </c>
      <c r="C64" s="76" t="s">
        <v>228</v>
      </c>
      <c r="D64" s="164" t="s">
        <v>1325</v>
      </c>
      <c r="E64" s="165">
        <v>11540</v>
      </c>
      <c r="F64" s="503">
        <v>42794</v>
      </c>
      <c r="G64" s="163" t="s">
        <v>17</v>
      </c>
      <c r="H64" s="163" t="s">
        <v>1324</v>
      </c>
      <c r="I64" s="163" t="s">
        <v>115</v>
      </c>
      <c r="J64" s="80" t="s">
        <v>116</v>
      </c>
      <c r="K64" s="210" t="s">
        <v>995</v>
      </c>
      <c r="L64" s="211" t="s">
        <v>995</v>
      </c>
      <c r="M64" s="212" t="s">
        <v>995</v>
      </c>
      <c r="N64" s="213" t="s">
        <v>995</v>
      </c>
      <c r="O64" s="214" t="s">
        <v>995</v>
      </c>
      <c r="P64" s="215" t="s">
        <v>15</v>
      </c>
      <c r="Q64" s="168"/>
    </row>
    <row r="65" spans="1:17">
      <c r="A65" s="76" t="s">
        <v>1277</v>
      </c>
      <c r="B65" s="76">
        <v>59</v>
      </c>
      <c r="C65" s="76" t="s">
        <v>228</v>
      </c>
      <c r="D65" s="164" t="s">
        <v>49</v>
      </c>
      <c r="E65" s="165">
        <v>11909</v>
      </c>
      <c r="F65" s="503">
        <v>40209</v>
      </c>
      <c r="G65" s="163" t="s">
        <v>19</v>
      </c>
      <c r="H65" s="163" t="s">
        <v>1326</v>
      </c>
      <c r="I65" s="163" t="s">
        <v>115</v>
      </c>
      <c r="J65" s="80" t="s">
        <v>116</v>
      </c>
      <c r="K65" s="210" t="s">
        <v>995</v>
      </c>
      <c r="L65" s="211" t="s">
        <v>995</v>
      </c>
      <c r="M65" s="212" t="s">
        <v>995</v>
      </c>
      <c r="N65" s="213" t="s">
        <v>995</v>
      </c>
      <c r="O65" s="214" t="s">
        <v>117</v>
      </c>
      <c r="P65" s="215" t="s">
        <v>995</v>
      </c>
      <c r="Q65" s="168"/>
    </row>
    <row r="66" spans="1:17">
      <c r="A66" s="76" t="s">
        <v>1277</v>
      </c>
      <c r="B66" s="76">
        <v>60</v>
      </c>
      <c r="C66" s="76" t="s">
        <v>228</v>
      </c>
      <c r="D66" s="164" t="s">
        <v>49</v>
      </c>
      <c r="E66" s="165">
        <v>11471</v>
      </c>
      <c r="F66" s="503">
        <v>42400</v>
      </c>
      <c r="G66" s="163" t="s">
        <v>17</v>
      </c>
      <c r="H66" s="163" t="s">
        <v>1326</v>
      </c>
      <c r="I66" s="163" t="s">
        <v>115</v>
      </c>
      <c r="J66" s="80" t="s">
        <v>116</v>
      </c>
      <c r="K66" s="210" t="s">
        <v>995</v>
      </c>
      <c r="L66" s="211" t="s">
        <v>995</v>
      </c>
      <c r="M66" s="212" t="s">
        <v>995</v>
      </c>
      <c r="N66" s="213" t="s">
        <v>995</v>
      </c>
      <c r="O66" s="214" t="s">
        <v>995</v>
      </c>
      <c r="P66" s="215" t="s">
        <v>15</v>
      </c>
      <c r="Q66" s="168"/>
    </row>
    <row r="67" spans="1:17">
      <c r="A67" s="76" t="s">
        <v>1277</v>
      </c>
      <c r="B67" s="76">
        <v>61</v>
      </c>
      <c r="C67" s="76" t="s">
        <v>228</v>
      </c>
      <c r="D67" s="164" t="s">
        <v>1325</v>
      </c>
      <c r="E67" s="165">
        <v>11539</v>
      </c>
      <c r="F67" s="503">
        <v>42767</v>
      </c>
      <c r="G67" s="163" t="s">
        <v>17</v>
      </c>
      <c r="H67" s="163" t="s">
        <v>1326</v>
      </c>
      <c r="I67" s="163" t="s">
        <v>115</v>
      </c>
      <c r="J67" s="80" t="s">
        <v>116</v>
      </c>
      <c r="K67" s="210" t="s">
        <v>995</v>
      </c>
      <c r="L67" s="211" t="s">
        <v>995</v>
      </c>
      <c r="M67" s="212" t="s">
        <v>995</v>
      </c>
      <c r="N67" s="213" t="s">
        <v>995</v>
      </c>
      <c r="O67" s="214" t="s">
        <v>995</v>
      </c>
      <c r="P67" s="215" t="s">
        <v>15</v>
      </c>
      <c r="Q67" s="168"/>
    </row>
    <row r="68" spans="1:17" ht="14.45" customHeight="1">
      <c r="A68" s="76" t="s">
        <v>1277</v>
      </c>
      <c r="B68" s="76">
        <v>62</v>
      </c>
      <c r="C68" s="76" t="s">
        <v>228</v>
      </c>
      <c r="D68" s="164" t="s">
        <v>1327</v>
      </c>
      <c r="E68" s="165">
        <v>11938</v>
      </c>
      <c r="F68" s="503">
        <v>44394</v>
      </c>
      <c r="G68" s="163" t="s">
        <v>17</v>
      </c>
      <c r="H68" s="163">
        <v>254</v>
      </c>
      <c r="I68" s="163" t="s">
        <v>115</v>
      </c>
      <c r="J68" s="80" t="s">
        <v>116</v>
      </c>
      <c r="K68" s="210" t="s">
        <v>995</v>
      </c>
      <c r="L68" s="211" t="s">
        <v>995</v>
      </c>
      <c r="M68" s="212" t="s">
        <v>995</v>
      </c>
      <c r="N68" s="213" t="s">
        <v>995</v>
      </c>
      <c r="O68" s="214" t="s">
        <v>995</v>
      </c>
      <c r="P68" s="215" t="s">
        <v>15</v>
      </c>
      <c r="Q68" s="168"/>
    </row>
    <row r="69" spans="1:17">
      <c r="A69" s="76" t="s">
        <v>1277</v>
      </c>
      <c r="B69" s="76">
        <v>63</v>
      </c>
      <c r="C69" s="76" t="s">
        <v>228</v>
      </c>
      <c r="D69" s="164" t="s">
        <v>91</v>
      </c>
      <c r="E69" s="165">
        <v>11656</v>
      </c>
      <c r="F69" s="503">
        <v>44201</v>
      </c>
      <c r="G69" s="163" t="s">
        <v>17</v>
      </c>
      <c r="H69" s="163">
        <v>4262</v>
      </c>
      <c r="I69" s="163" t="s">
        <v>115</v>
      </c>
      <c r="J69" s="80" t="s">
        <v>116</v>
      </c>
      <c r="K69" s="210" t="s">
        <v>995</v>
      </c>
      <c r="L69" s="211" t="s">
        <v>995</v>
      </c>
      <c r="M69" s="212" t="s">
        <v>995</v>
      </c>
      <c r="N69" s="213" t="s">
        <v>995</v>
      </c>
      <c r="O69" s="214" t="s">
        <v>995</v>
      </c>
      <c r="P69" s="215" t="s">
        <v>15</v>
      </c>
      <c r="Q69" s="168"/>
    </row>
    <row r="70" spans="1:17">
      <c r="A70" s="76" t="s">
        <v>1277</v>
      </c>
      <c r="B70" s="76">
        <v>64</v>
      </c>
      <c r="C70" s="76" t="s">
        <v>228</v>
      </c>
      <c r="D70" s="164" t="s">
        <v>61</v>
      </c>
      <c r="E70" s="165">
        <v>11657</v>
      </c>
      <c r="F70" s="503">
        <v>44202</v>
      </c>
      <c r="G70" s="163" t="s">
        <v>17</v>
      </c>
      <c r="H70" s="163">
        <v>4262</v>
      </c>
      <c r="I70" s="163" t="s">
        <v>115</v>
      </c>
      <c r="J70" s="80" t="s">
        <v>116</v>
      </c>
      <c r="K70" s="210" t="s">
        <v>995</v>
      </c>
      <c r="L70" s="211" t="s">
        <v>995</v>
      </c>
      <c r="M70" s="212" t="s">
        <v>995</v>
      </c>
      <c r="N70" s="213" t="s">
        <v>995</v>
      </c>
      <c r="O70" s="214" t="s">
        <v>995</v>
      </c>
      <c r="P70" s="215" t="s">
        <v>15</v>
      </c>
      <c r="Q70" s="168"/>
    </row>
    <row r="71" spans="1:17">
      <c r="A71" s="76" t="s">
        <v>1277</v>
      </c>
      <c r="B71" s="76">
        <v>65</v>
      </c>
      <c r="C71" s="76" t="s">
        <v>228</v>
      </c>
      <c r="D71" s="164" t="s">
        <v>1328</v>
      </c>
      <c r="E71" s="165">
        <v>11658</v>
      </c>
      <c r="F71" s="503">
        <v>44203</v>
      </c>
      <c r="G71" s="163" t="s">
        <v>17</v>
      </c>
      <c r="H71" s="163">
        <v>4262</v>
      </c>
      <c r="I71" s="163" t="s">
        <v>115</v>
      </c>
      <c r="J71" s="80" t="s">
        <v>116</v>
      </c>
      <c r="K71" s="210" t="s">
        <v>995</v>
      </c>
      <c r="L71" s="211" t="s">
        <v>995</v>
      </c>
      <c r="M71" s="212" t="s">
        <v>995</v>
      </c>
      <c r="N71" s="213" t="s">
        <v>995</v>
      </c>
      <c r="O71" s="214" t="s">
        <v>995</v>
      </c>
      <c r="P71" s="215" t="s">
        <v>15</v>
      </c>
      <c r="Q71" s="168"/>
    </row>
    <row r="72" spans="1:17">
      <c r="A72" s="76" t="s">
        <v>1277</v>
      </c>
      <c r="B72" s="76">
        <v>66</v>
      </c>
      <c r="C72" s="76" t="s">
        <v>228</v>
      </c>
      <c r="D72" s="164" t="s">
        <v>49</v>
      </c>
      <c r="E72" s="165">
        <v>10486</v>
      </c>
      <c r="F72" s="503">
        <v>37376</v>
      </c>
      <c r="G72" s="163" t="s">
        <v>19</v>
      </c>
      <c r="H72" s="163">
        <v>1002</v>
      </c>
      <c r="I72" s="163" t="s">
        <v>115</v>
      </c>
      <c r="J72" s="80" t="s">
        <v>116</v>
      </c>
      <c r="K72" s="210" t="s">
        <v>995</v>
      </c>
      <c r="L72" s="211" t="s">
        <v>995</v>
      </c>
      <c r="M72" s="212" t="s">
        <v>995</v>
      </c>
      <c r="N72" s="213" t="s">
        <v>995</v>
      </c>
      <c r="O72" s="214" t="s">
        <v>15</v>
      </c>
      <c r="P72" s="215" t="s">
        <v>995</v>
      </c>
      <c r="Q72" s="168"/>
    </row>
    <row r="73" spans="1:17">
      <c r="A73" s="76" t="s">
        <v>1277</v>
      </c>
      <c r="B73" s="76">
        <v>67</v>
      </c>
      <c r="C73" s="76" t="s">
        <v>228</v>
      </c>
      <c r="D73" s="164" t="s">
        <v>49</v>
      </c>
      <c r="E73" s="165">
        <v>11541</v>
      </c>
      <c r="F73" s="503">
        <v>42794</v>
      </c>
      <c r="G73" s="163" t="s">
        <v>17</v>
      </c>
      <c r="H73" s="163">
        <v>1002</v>
      </c>
      <c r="I73" s="163" t="s">
        <v>115</v>
      </c>
      <c r="J73" s="80" t="s">
        <v>116</v>
      </c>
      <c r="K73" s="210" t="s">
        <v>995</v>
      </c>
      <c r="L73" s="211" t="s">
        <v>995</v>
      </c>
      <c r="M73" s="212" t="s">
        <v>995</v>
      </c>
      <c r="N73" s="213" t="s">
        <v>995</v>
      </c>
      <c r="O73" s="214" t="s">
        <v>995</v>
      </c>
      <c r="P73" s="215" t="s">
        <v>15</v>
      </c>
      <c r="Q73" s="168"/>
    </row>
    <row r="74" spans="1:17">
      <c r="A74" s="76" t="s">
        <v>1277</v>
      </c>
      <c r="B74" s="76">
        <v>68</v>
      </c>
      <c r="C74" s="76" t="s">
        <v>228</v>
      </c>
      <c r="D74" s="164" t="s">
        <v>1329</v>
      </c>
      <c r="E74" s="165">
        <v>7875</v>
      </c>
      <c r="F74" s="503">
        <v>35520</v>
      </c>
      <c r="G74" s="163" t="s">
        <v>19</v>
      </c>
      <c r="H74" s="163">
        <v>1002</v>
      </c>
      <c r="I74" s="163" t="s">
        <v>115</v>
      </c>
      <c r="J74" s="80" t="s">
        <v>116</v>
      </c>
      <c r="K74" s="210" t="s">
        <v>995</v>
      </c>
      <c r="L74" s="211" t="s">
        <v>995</v>
      </c>
      <c r="M74" s="212" t="s">
        <v>995</v>
      </c>
      <c r="N74" s="213" t="s">
        <v>995</v>
      </c>
      <c r="O74" s="214" t="s">
        <v>117</v>
      </c>
      <c r="P74" s="215" t="s">
        <v>995</v>
      </c>
      <c r="Q74" s="168"/>
    </row>
    <row r="75" spans="1:17">
      <c r="A75" s="76" t="s">
        <v>1277</v>
      </c>
      <c r="B75" s="76">
        <v>69</v>
      </c>
      <c r="C75" s="76" t="s">
        <v>228</v>
      </c>
      <c r="D75" s="164" t="s">
        <v>1330</v>
      </c>
      <c r="E75" s="165">
        <v>11677</v>
      </c>
      <c r="F75" s="503">
        <v>43861</v>
      </c>
      <c r="G75" s="163" t="s">
        <v>17</v>
      </c>
      <c r="H75" s="163">
        <v>1002</v>
      </c>
      <c r="I75" s="163" t="s">
        <v>115</v>
      </c>
      <c r="J75" s="80" t="s">
        <v>116</v>
      </c>
      <c r="K75" s="210" t="s">
        <v>995</v>
      </c>
      <c r="L75" s="211" t="s">
        <v>995</v>
      </c>
      <c r="M75" s="212" t="s">
        <v>995</v>
      </c>
      <c r="N75" s="213" t="s">
        <v>995</v>
      </c>
      <c r="O75" s="214" t="s">
        <v>995</v>
      </c>
      <c r="P75" s="215" t="s">
        <v>15</v>
      </c>
      <c r="Q75" s="168"/>
    </row>
    <row r="76" spans="1:17">
      <c r="A76" s="76" t="s">
        <v>1277</v>
      </c>
      <c r="B76" s="76">
        <v>70</v>
      </c>
      <c r="C76" s="76" t="s">
        <v>228</v>
      </c>
      <c r="D76" s="164" t="s">
        <v>49</v>
      </c>
      <c r="E76" s="165">
        <v>10640</v>
      </c>
      <c r="F76" s="503">
        <v>39721</v>
      </c>
      <c r="G76" s="163" t="s">
        <v>17</v>
      </c>
      <c r="H76" s="163">
        <v>3008</v>
      </c>
      <c r="I76" s="163" t="s">
        <v>115</v>
      </c>
      <c r="J76" s="80" t="s">
        <v>116</v>
      </c>
      <c r="K76" s="210" t="s">
        <v>995</v>
      </c>
      <c r="L76" s="211" t="s">
        <v>995</v>
      </c>
      <c r="M76" s="212" t="s">
        <v>995</v>
      </c>
      <c r="N76" s="213" t="s">
        <v>995</v>
      </c>
      <c r="O76" s="214" t="s">
        <v>995</v>
      </c>
      <c r="P76" s="215" t="s">
        <v>15</v>
      </c>
      <c r="Q76" s="168"/>
    </row>
    <row r="77" spans="1:17">
      <c r="A77" s="76" t="s">
        <v>1277</v>
      </c>
      <c r="B77" s="76">
        <v>71</v>
      </c>
      <c r="C77" s="76" t="s">
        <v>228</v>
      </c>
      <c r="D77" s="164" t="s">
        <v>49</v>
      </c>
      <c r="E77" s="165">
        <v>10639</v>
      </c>
      <c r="F77" s="503">
        <v>39721</v>
      </c>
      <c r="G77" s="163" t="s">
        <v>17</v>
      </c>
      <c r="H77" s="163">
        <v>3008</v>
      </c>
      <c r="I77" s="163" t="s">
        <v>115</v>
      </c>
      <c r="J77" s="80" t="s">
        <v>116</v>
      </c>
      <c r="K77" s="210" t="s">
        <v>995</v>
      </c>
      <c r="L77" s="211" t="s">
        <v>995</v>
      </c>
      <c r="M77" s="212" t="s">
        <v>995</v>
      </c>
      <c r="N77" s="213" t="s">
        <v>995</v>
      </c>
      <c r="O77" s="214" t="s">
        <v>995</v>
      </c>
      <c r="P77" s="215" t="s">
        <v>15</v>
      </c>
      <c r="Q77" s="168"/>
    </row>
    <row r="78" spans="1:17">
      <c r="A78" s="76" t="s">
        <v>1277</v>
      </c>
      <c r="B78" s="76">
        <v>72</v>
      </c>
      <c r="C78" s="76" t="s">
        <v>228</v>
      </c>
      <c r="D78" s="164" t="s">
        <v>49</v>
      </c>
      <c r="E78" s="165">
        <v>510</v>
      </c>
      <c r="F78" s="502">
        <v>1978</v>
      </c>
      <c r="G78" s="163" t="s">
        <v>80</v>
      </c>
      <c r="H78" s="163">
        <v>3008</v>
      </c>
      <c r="I78" s="163" t="s">
        <v>115</v>
      </c>
      <c r="J78" s="80" t="s">
        <v>116</v>
      </c>
      <c r="K78" s="210" t="s">
        <v>995</v>
      </c>
      <c r="L78" s="211" t="s">
        <v>995</v>
      </c>
      <c r="M78" s="212" t="s">
        <v>995</v>
      </c>
      <c r="N78" s="213" t="s">
        <v>15</v>
      </c>
      <c r="O78" s="214" t="s">
        <v>995</v>
      </c>
      <c r="P78" s="215" t="s">
        <v>995</v>
      </c>
      <c r="Q78" s="168"/>
    </row>
    <row r="79" spans="1:17">
      <c r="A79" s="76" t="s">
        <v>1277</v>
      </c>
      <c r="B79" s="76">
        <v>73</v>
      </c>
      <c r="C79" s="76" t="s">
        <v>228</v>
      </c>
      <c r="D79" s="164" t="s">
        <v>49</v>
      </c>
      <c r="E79" s="165">
        <v>10628</v>
      </c>
      <c r="F79" s="503">
        <v>39021</v>
      </c>
      <c r="G79" s="163" t="s">
        <v>17</v>
      </c>
      <c r="H79" s="163">
        <v>3008</v>
      </c>
      <c r="I79" s="163" t="s">
        <v>115</v>
      </c>
      <c r="J79" s="80" t="s">
        <v>116</v>
      </c>
      <c r="K79" s="210" t="s">
        <v>995</v>
      </c>
      <c r="L79" s="211" t="s">
        <v>995</v>
      </c>
      <c r="M79" s="212" t="s">
        <v>995</v>
      </c>
      <c r="N79" s="213" t="s">
        <v>995</v>
      </c>
      <c r="O79" s="214" t="s">
        <v>995</v>
      </c>
      <c r="P79" s="215" t="s">
        <v>15</v>
      </c>
      <c r="Q79" s="168"/>
    </row>
    <row r="80" spans="1:17">
      <c r="A80" s="76" t="s">
        <v>1277</v>
      </c>
      <c r="B80" s="76">
        <v>74</v>
      </c>
      <c r="C80" s="76" t="s">
        <v>228</v>
      </c>
      <c r="D80" s="164" t="s">
        <v>1329</v>
      </c>
      <c r="E80" s="165">
        <v>10635</v>
      </c>
      <c r="F80" s="503">
        <v>39386</v>
      </c>
      <c r="G80" s="163" t="s">
        <v>17</v>
      </c>
      <c r="H80" s="163">
        <v>3008</v>
      </c>
      <c r="I80" s="163" t="s">
        <v>115</v>
      </c>
      <c r="J80" s="80" t="s">
        <v>116</v>
      </c>
      <c r="K80" s="210" t="s">
        <v>995</v>
      </c>
      <c r="L80" s="211" t="s">
        <v>995</v>
      </c>
      <c r="M80" s="212" t="s">
        <v>995</v>
      </c>
      <c r="N80" s="213" t="s">
        <v>995</v>
      </c>
      <c r="O80" s="214" t="s">
        <v>995</v>
      </c>
      <c r="P80" s="215" t="s">
        <v>15</v>
      </c>
      <c r="Q80" s="168"/>
    </row>
    <row r="81" spans="1:17">
      <c r="A81" s="76" t="s">
        <v>1277</v>
      </c>
      <c r="B81" s="76">
        <v>75</v>
      </c>
      <c r="C81" s="76" t="s">
        <v>228</v>
      </c>
      <c r="D81" s="164" t="s">
        <v>1331</v>
      </c>
      <c r="E81" s="165">
        <v>10643</v>
      </c>
      <c r="F81" s="503">
        <v>37741</v>
      </c>
      <c r="G81" s="163" t="s">
        <v>17</v>
      </c>
      <c r="H81" s="163">
        <v>3008</v>
      </c>
      <c r="I81" s="163" t="s">
        <v>115</v>
      </c>
      <c r="J81" s="80" t="s">
        <v>116</v>
      </c>
      <c r="K81" s="210" t="s">
        <v>995</v>
      </c>
      <c r="L81" s="211" t="s">
        <v>995</v>
      </c>
      <c r="M81" s="212" t="s">
        <v>995</v>
      </c>
      <c r="N81" s="213" t="s">
        <v>995</v>
      </c>
      <c r="O81" s="214" t="s">
        <v>995</v>
      </c>
      <c r="P81" s="215" t="s">
        <v>15</v>
      </c>
      <c r="Q81" s="168"/>
    </row>
    <row r="82" spans="1:17">
      <c r="A82" s="76" t="s">
        <v>1277</v>
      </c>
      <c r="B82" s="76">
        <v>76</v>
      </c>
      <c r="C82" s="76" t="s">
        <v>228</v>
      </c>
      <c r="D82" s="164" t="s">
        <v>66</v>
      </c>
      <c r="E82" s="165">
        <v>11678</v>
      </c>
      <c r="F82" s="503">
        <v>43861</v>
      </c>
      <c r="G82" s="163" t="s">
        <v>17</v>
      </c>
      <c r="H82" s="163">
        <v>3008</v>
      </c>
      <c r="I82" s="163" t="s">
        <v>115</v>
      </c>
      <c r="J82" s="80" t="s">
        <v>116</v>
      </c>
      <c r="K82" s="210" t="s">
        <v>995</v>
      </c>
      <c r="L82" s="211" t="s">
        <v>995</v>
      </c>
      <c r="M82" s="212" t="s">
        <v>995</v>
      </c>
      <c r="N82" s="213" t="s">
        <v>995</v>
      </c>
      <c r="O82" s="214" t="s">
        <v>995</v>
      </c>
      <c r="P82" s="215" t="s">
        <v>15</v>
      </c>
      <c r="Q82" s="168"/>
    </row>
    <row r="83" spans="1:17">
      <c r="A83" s="76" t="s">
        <v>1277</v>
      </c>
      <c r="B83" s="76">
        <v>77</v>
      </c>
      <c r="C83" s="76" t="s">
        <v>228</v>
      </c>
      <c r="D83" s="164" t="s">
        <v>49</v>
      </c>
      <c r="E83" s="165">
        <v>1064</v>
      </c>
      <c r="F83" s="503">
        <v>27760</v>
      </c>
      <c r="G83" s="163" t="s">
        <v>14</v>
      </c>
      <c r="H83" s="163">
        <v>3004</v>
      </c>
      <c r="I83" s="163" t="s">
        <v>115</v>
      </c>
      <c r="J83" s="80" t="s">
        <v>116</v>
      </c>
      <c r="K83" s="210" t="s">
        <v>995</v>
      </c>
      <c r="L83" s="211" t="s">
        <v>995</v>
      </c>
      <c r="M83" s="212" t="s">
        <v>995</v>
      </c>
      <c r="N83" s="213" t="s">
        <v>15</v>
      </c>
      <c r="O83" s="214" t="s">
        <v>995</v>
      </c>
      <c r="P83" s="215" t="s">
        <v>995</v>
      </c>
      <c r="Q83" s="168"/>
    </row>
    <row r="84" spans="1:17">
      <c r="A84" s="76" t="s">
        <v>1277</v>
      </c>
      <c r="B84" s="76">
        <v>78</v>
      </c>
      <c r="C84" s="76" t="s">
        <v>228</v>
      </c>
      <c r="D84" s="164" t="s">
        <v>49</v>
      </c>
      <c r="E84" s="165">
        <v>3147</v>
      </c>
      <c r="F84" s="503">
        <v>45167</v>
      </c>
      <c r="G84" s="163" t="s">
        <v>17</v>
      </c>
      <c r="H84" s="163">
        <v>3004</v>
      </c>
      <c r="I84" s="163" t="s">
        <v>115</v>
      </c>
      <c r="J84" s="80" t="s">
        <v>116</v>
      </c>
      <c r="K84" s="210" t="s">
        <v>995</v>
      </c>
      <c r="L84" s="211" t="s">
        <v>995</v>
      </c>
      <c r="M84" s="212" t="s">
        <v>995</v>
      </c>
      <c r="N84" s="213" t="s">
        <v>995</v>
      </c>
      <c r="O84" s="214" t="s">
        <v>995</v>
      </c>
      <c r="P84" s="215" t="s">
        <v>117</v>
      </c>
      <c r="Q84" s="168"/>
    </row>
    <row r="85" spans="1:17">
      <c r="A85" s="76" t="s">
        <v>1277</v>
      </c>
      <c r="B85" s="76">
        <v>79</v>
      </c>
      <c r="C85" s="76" t="s">
        <v>228</v>
      </c>
      <c r="D85" s="164" t="s">
        <v>49</v>
      </c>
      <c r="E85" s="165">
        <v>10485</v>
      </c>
      <c r="F85" s="503">
        <v>37376</v>
      </c>
      <c r="G85" s="163" t="s">
        <v>14</v>
      </c>
      <c r="H85" s="163">
        <v>3004</v>
      </c>
      <c r="I85" s="163" t="s">
        <v>115</v>
      </c>
      <c r="J85" s="80" t="s">
        <v>116</v>
      </c>
      <c r="K85" s="210" t="s">
        <v>995</v>
      </c>
      <c r="L85" s="211" t="s">
        <v>995</v>
      </c>
      <c r="M85" s="212" t="s">
        <v>995</v>
      </c>
      <c r="N85" s="213" t="s">
        <v>15</v>
      </c>
      <c r="O85" s="214" t="s">
        <v>995</v>
      </c>
      <c r="P85" s="215" t="s">
        <v>995</v>
      </c>
      <c r="Q85" s="168"/>
    </row>
    <row r="86" spans="1:17">
      <c r="A86" s="76" t="s">
        <v>1277</v>
      </c>
      <c r="B86" s="76">
        <v>80</v>
      </c>
      <c r="C86" s="76" t="s">
        <v>228</v>
      </c>
      <c r="D86" s="164" t="s">
        <v>1331</v>
      </c>
      <c r="E86" s="165">
        <v>10528</v>
      </c>
      <c r="F86" s="503">
        <v>37741</v>
      </c>
      <c r="G86" s="163" t="s">
        <v>17</v>
      </c>
      <c r="H86" s="163">
        <v>3014</v>
      </c>
      <c r="I86" s="163" t="s">
        <v>115</v>
      </c>
      <c r="J86" s="80" t="s">
        <v>116</v>
      </c>
      <c r="K86" s="210" t="s">
        <v>995</v>
      </c>
      <c r="L86" s="211" t="s">
        <v>995</v>
      </c>
      <c r="M86" s="212" t="s">
        <v>995</v>
      </c>
      <c r="N86" s="213" t="s">
        <v>995</v>
      </c>
      <c r="O86" s="214" t="s">
        <v>995</v>
      </c>
      <c r="P86" s="215" t="s">
        <v>15</v>
      </c>
      <c r="Q86" s="168"/>
    </row>
    <row r="87" spans="1:17">
      <c r="A87" s="76" t="s">
        <v>1277</v>
      </c>
      <c r="B87" s="76">
        <v>81</v>
      </c>
      <c r="C87" s="76" t="s">
        <v>228</v>
      </c>
      <c r="D87" s="164" t="s">
        <v>49</v>
      </c>
      <c r="E87" s="165">
        <v>3121</v>
      </c>
      <c r="F87" s="503">
        <v>44637</v>
      </c>
      <c r="G87" s="163" t="s">
        <v>17</v>
      </c>
      <c r="H87" s="163">
        <v>3014</v>
      </c>
      <c r="I87" s="163" t="s">
        <v>115</v>
      </c>
      <c r="J87" s="80" t="s">
        <v>116</v>
      </c>
      <c r="K87" s="210" t="s">
        <v>995</v>
      </c>
      <c r="L87" s="211" t="s">
        <v>995</v>
      </c>
      <c r="M87" s="212" t="s">
        <v>995</v>
      </c>
      <c r="N87" s="213" t="s">
        <v>995</v>
      </c>
      <c r="O87" s="214" t="s">
        <v>995</v>
      </c>
      <c r="P87" s="215" t="s">
        <v>15</v>
      </c>
      <c r="Q87" s="168"/>
    </row>
    <row r="88" spans="1:17">
      <c r="A88" s="76" t="s">
        <v>1277</v>
      </c>
      <c r="B88" s="76">
        <v>82</v>
      </c>
      <c r="C88" s="76" t="s">
        <v>228</v>
      </c>
      <c r="D88" s="164" t="s">
        <v>49</v>
      </c>
      <c r="E88" s="165">
        <v>3122</v>
      </c>
      <c r="F88" s="503">
        <v>44637</v>
      </c>
      <c r="G88" s="163" t="s">
        <v>17</v>
      </c>
      <c r="H88" s="163">
        <v>3014</v>
      </c>
      <c r="I88" s="163" t="s">
        <v>115</v>
      </c>
      <c r="J88" s="80" t="s">
        <v>116</v>
      </c>
      <c r="K88" s="210" t="s">
        <v>995</v>
      </c>
      <c r="L88" s="211" t="s">
        <v>995</v>
      </c>
      <c r="M88" s="212" t="s">
        <v>995</v>
      </c>
      <c r="N88" s="213" t="s">
        <v>995</v>
      </c>
      <c r="O88" s="214" t="s">
        <v>995</v>
      </c>
      <c r="P88" s="215" t="s">
        <v>15</v>
      </c>
      <c r="Q88" s="168"/>
    </row>
    <row r="89" spans="1:17">
      <c r="A89" s="76" t="s">
        <v>1277</v>
      </c>
      <c r="B89" s="76">
        <v>83</v>
      </c>
      <c r="C89" s="76" t="s">
        <v>228</v>
      </c>
      <c r="D89" s="164" t="s">
        <v>49</v>
      </c>
      <c r="E89" s="165">
        <v>3123</v>
      </c>
      <c r="F89" s="503">
        <v>44637</v>
      </c>
      <c r="G89" s="163" t="s">
        <v>17</v>
      </c>
      <c r="H89" s="163">
        <v>3014</v>
      </c>
      <c r="I89" s="163" t="s">
        <v>115</v>
      </c>
      <c r="J89" s="80" t="s">
        <v>116</v>
      </c>
      <c r="K89" s="210" t="s">
        <v>995</v>
      </c>
      <c r="L89" s="211" t="s">
        <v>995</v>
      </c>
      <c r="M89" s="212" t="s">
        <v>995</v>
      </c>
      <c r="N89" s="213" t="s">
        <v>995</v>
      </c>
      <c r="O89" s="214" t="s">
        <v>995</v>
      </c>
      <c r="P89" s="215" t="s">
        <v>15</v>
      </c>
      <c r="Q89" s="168"/>
    </row>
    <row r="90" spans="1:17">
      <c r="A90" s="76" t="s">
        <v>1277</v>
      </c>
      <c r="B90" s="76">
        <v>84</v>
      </c>
      <c r="C90" s="76" t="s">
        <v>228</v>
      </c>
      <c r="D90" s="164" t="s">
        <v>91</v>
      </c>
      <c r="E90" s="165">
        <v>21020</v>
      </c>
      <c r="F90" s="503">
        <v>35338</v>
      </c>
      <c r="G90" s="163" t="s">
        <v>14</v>
      </c>
      <c r="H90" s="163">
        <v>3012</v>
      </c>
      <c r="I90" s="163" t="s">
        <v>115</v>
      </c>
      <c r="J90" s="80" t="s">
        <v>116</v>
      </c>
      <c r="K90" s="210" t="s">
        <v>995</v>
      </c>
      <c r="L90" s="211" t="s">
        <v>995</v>
      </c>
      <c r="M90" s="212" t="s">
        <v>995</v>
      </c>
      <c r="N90" s="213" t="s">
        <v>15</v>
      </c>
      <c r="O90" s="214" t="s">
        <v>995</v>
      </c>
      <c r="P90" s="215" t="s">
        <v>15</v>
      </c>
      <c r="Q90" s="168"/>
    </row>
    <row r="91" spans="1:17">
      <c r="A91" s="76" t="s">
        <v>1277</v>
      </c>
      <c r="B91" s="76">
        <v>85</v>
      </c>
      <c r="C91" s="76" t="s">
        <v>228</v>
      </c>
      <c r="D91" s="164" t="s">
        <v>49</v>
      </c>
      <c r="E91" s="165">
        <v>3116</v>
      </c>
      <c r="F91" s="503">
        <v>44432</v>
      </c>
      <c r="G91" s="163" t="s">
        <v>17</v>
      </c>
      <c r="H91" s="163">
        <v>3012</v>
      </c>
      <c r="I91" s="163" t="s">
        <v>115</v>
      </c>
      <c r="J91" s="80" t="s">
        <v>116</v>
      </c>
      <c r="K91" s="210" t="s">
        <v>995</v>
      </c>
      <c r="L91" s="211" t="s">
        <v>995</v>
      </c>
      <c r="M91" s="212" t="s">
        <v>995</v>
      </c>
      <c r="N91" s="213" t="s">
        <v>995</v>
      </c>
      <c r="O91" s="214" t="s">
        <v>995</v>
      </c>
      <c r="P91" s="215" t="s">
        <v>15</v>
      </c>
      <c r="Q91" s="168"/>
    </row>
    <row r="92" spans="1:17">
      <c r="A92" s="76" t="s">
        <v>1277</v>
      </c>
      <c r="B92" s="76">
        <v>86</v>
      </c>
      <c r="C92" s="76" t="s">
        <v>228</v>
      </c>
      <c r="D92" s="164" t="s">
        <v>49</v>
      </c>
      <c r="E92" s="165">
        <v>10637</v>
      </c>
      <c r="F92" s="503">
        <v>44201</v>
      </c>
      <c r="G92" s="163" t="s">
        <v>17</v>
      </c>
      <c r="H92" s="163">
        <v>3012</v>
      </c>
      <c r="I92" s="163" t="s">
        <v>115</v>
      </c>
      <c r="J92" s="80" t="s">
        <v>116</v>
      </c>
      <c r="K92" s="210" t="s">
        <v>995</v>
      </c>
      <c r="L92" s="211" t="s">
        <v>995</v>
      </c>
      <c r="M92" s="212" t="s">
        <v>995</v>
      </c>
      <c r="N92" s="213" t="s">
        <v>995</v>
      </c>
      <c r="O92" s="214" t="s">
        <v>995</v>
      </c>
      <c r="P92" s="215" t="s">
        <v>15</v>
      </c>
      <c r="Q92" s="168"/>
    </row>
    <row r="93" spans="1:17">
      <c r="A93" s="76" t="s">
        <v>1277</v>
      </c>
      <c r="B93" s="76">
        <v>87</v>
      </c>
      <c r="C93" s="76" t="s">
        <v>228</v>
      </c>
      <c r="D93" s="164" t="s">
        <v>1327</v>
      </c>
      <c r="E93" s="165">
        <v>3124</v>
      </c>
      <c r="F93" s="503">
        <v>44244</v>
      </c>
      <c r="G93" s="163" t="s">
        <v>17</v>
      </c>
      <c r="H93" s="163">
        <v>3012</v>
      </c>
      <c r="I93" s="163" t="s">
        <v>115</v>
      </c>
      <c r="J93" s="80" t="s">
        <v>116</v>
      </c>
      <c r="K93" s="210" t="s">
        <v>995</v>
      </c>
      <c r="L93" s="211" t="s">
        <v>995</v>
      </c>
      <c r="M93" s="212" t="s">
        <v>995</v>
      </c>
      <c r="N93" s="213" t="s">
        <v>995</v>
      </c>
      <c r="O93" s="214" t="s">
        <v>995</v>
      </c>
      <c r="P93" s="215" t="s">
        <v>15</v>
      </c>
      <c r="Q93" s="168"/>
    </row>
    <row r="94" spans="1:17">
      <c r="E94" s="93"/>
      <c r="F94" s="106"/>
      <c r="G94" s="106"/>
      <c r="H94" s="106"/>
      <c r="I94" s="106"/>
      <c r="J94" s="93"/>
      <c r="K94" s="106"/>
      <c r="L94" s="106"/>
      <c r="M94" s="106"/>
      <c r="N94" s="106"/>
    </row>
    <row r="95" spans="1:17">
      <c r="C95" s="142" t="s">
        <v>38</v>
      </c>
      <c r="D95" s="142"/>
      <c r="E95" s="142"/>
      <c r="F95" s="195"/>
      <c r="G95" s="195"/>
      <c r="H95" s="195"/>
      <c r="I95" s="195"/>
      <c r="J95" s="93"/>
      <c r="K95" s="106"/>
      <c r="L95" s="106"/>
      <c r="M95" s="106"/>
      <c r="N95" s="106"/>
    </row>
    <row r="96" spans="1:17">
      <c r="C96" s="142"/>
      <c r="D96" s="142"/>
      <c r="E96" s="142"/>
      <c r="F96" s="195"/>
      <c r="G96" s="195"/>
      <c r="H96" s="195"/>
      <c r="I96" s="195"/>
      <c r="J96" s="93"/>
      <c r="K96" s="106"/>
      <c r="L96" s="106"/>
      <c r="M96" s="106"/>
      <c r="N96" s="106"/>
    </row>
    <row r="97" spans="3:14">
      <c r="C97" s="142"/>
      <c r="D97" s="142" t="s">
        <v>39</v>
      </c>
      <c r="E97" s="142"/>
      <c r="F97" s="195"/>
      <c r="G97" s="195"/>
      <c r="H97" s="195"/>
      <c r="I97" s="195"/>
      <c r="J97" s="93"/>
      <c r="K97" s="106"/>
      <c r="L97" s="106"/>
      <c r="M97" s="106"/>
      <c r="N97" s="106"/>
    </row>
    <row r="98" spans="3:14">
      <c r="C98" s="142"/>
      <c r="D98" s="142"/>
      <c r="E98" s="142"/>
      <c r="F98" s="195"/>
      <c r="G98" s="195"/>
      <c r="H98" s="195"/>
      <c r="I98" s="195"/>
      <c r="J98" s="93"/>
      <c r="K98" s="106"/>
      <c r="L98" s="106"/>
      <c r="M98" s="106"/>
      <c r="N98" s="106"/>
    </row>
    <row r="99" spans="3:14">
      <c r="C99" s="142"/>
      <c r="D99" s="142" t="s">
        <v>40</v>
      </c>
      <c r="E99" s="142"/>
      <c r="F99" s="195"/>
      <c r="G99" s="195"/>
      <c r="H99" s="195"/>
      <c r="I99" s="195"/>
      <c r="J99" s="93"/>
      <c r="K99" s="106"/>
      <c r="L99" s="106"/>
      <c r="M99" s="106"/>
      <c r="N99" s="106"/>
    </row>
    <row r="100" spans="3:14">
      <c r="C100" s="142"/>
      <c r="D100" s="142"/>
      <c r="E100" s="142"/>
      <c r="F100" s="195"/>
      <c r="G100" s="195"/>
      <c r="H100" s="195"/>
      <c r="I100" s="195"/>
    </row>
    <row r="101" spans="3:14">
      <c r="C101" s="142"/>
      <c r="D101" s="142" t="s">
        <v>41</v>
      </c>
      <c r="E101" s="142"/>
      <c r="F101" s="195"/>
      <c r="G101" s="195"/>
      <c r="H101" s="195"/>
      <c r="I101" s="195"/>
    </row>
    <row r="102" spans="3:14">
      <c r="C102" s="142"/>
      <c r="D102" s="142"/>
      <c r="E102" s="142"/>
      <c r="F102" s="195"/>
      <c r="G102" s="195"/>
      <c r="H102" s="195"/>
      <c r="I102" s="195"/>
    </row>
    <row r="103" spans="3:14">
      <c r="C103" s="142"/>
      <c r="D103" s="142" t="s">
        <v>42</v>
      </c>
      <c r="E103" s="142"/>
      <c r="F103" s="195"/>
      <c r="G103" s="195"/>
      <c r="H103" s="195"/>
      <c r="I103" s="195"/>
    </row>
    <row r="104" spans="3:14">
      <c r="C104" s="143"/>
      <c r="D104" s="143"/>
      <c r="E104" s="143"/>
      <c r="F104" s="196"/>
      <c r="G104" s="196"/>
      <c r="H104" s="196"/>
      <c r="I104" s="196"/>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3D70C-B3B6-46F8-BC3A-06BFEA501DD9}">
  <sheetPr>
    <tabColor rgb="FF7030A0"/>
  </sheetPr>
  <dimension ref="A1:P130"/>
  <sheetViews>
    <sheetView zoomScaleNormal="100" workbookViewId="0">
      <pane ySplit="4" topLeftCell="A40" activePane="bottomLeft" state="frozen"/>
      <selection pane="bottomLeft" activeCell="D111" sqref="D111"/>
    </sheetView>
  </sheetViews>
  <sheetFormatPr defaultRowHeight="15"/>
  <cols>
    <col min="1" max="1" width="8.42578125" bestFit="1" customWidth="1"/>
    <col min="2" max="2" width="6.28515625" bestFit="1" customWidth="1"/>
    <col min="3" max="3" width="14.85546875" bestFit="1" customWidth="1"/>
    <col min="4" max="4" width="45.7109375" bestFit="1" customWidth="1"/>
    <col min="5" max="5" width="7.7109375" bestFit="1" customWidth="1"/>
    <col min="6" max="6" width="13.42578125" customWidth="1"/>
    <col min="7" max="7" width="10.28515625" bestFit="1" customWidth="1"/>
    <col min="8" max="8" width="18.42578125" customWidth="1"/>
    <col min="9" max="9" width="19.42578125" bestFit="1" customWidth="1"/>
    <col min="10" max="12" width="8.5703125" style="125" bestFit="1" customWidth="1"/>
    <col min="13" max="13" width="8" style="125" bestFit="1" customWidth="1"/>
    <col min="14" max="14" width="8.5703125" style="125" bestFit="1" customWidth="1"/>
    <col min="15" max="15" width="7.85546875" style="125" bestFit="1" customWidth="1"/>
    <col min="16" max="16" width="239.140625" customWidth="1"/>
  </cols>
  <sheetData>
    <row r="1" spans="1:16" ht="18.75">
      <c r="A1" s="89"/>
      <c r="B1" s="89"/>
      <c r="C1" s="89"/>
      <c r="D1" s="90" t="s">
        <v>97</v>
      </c>
      <c r="E1" s="90"/>
      <c r="F1" s="90"/>
      <c r="G1" s="90"/>
      <c r="H1" s="90"/>
      <c r="I1" s="90"/>
      <c r="J1" s="91"/>
      <c r="K1" s="91"/>
      <c r="L1" s="91"/>
      <c r="M1" s="91"/>
      <c r="N1" s="91"/>
      <c r="O1" s="91"/>
      <c r="P1" s="92"/>
    </row>
    <row r="2" spans="1:16" ht="18.75">
      <c r="A2" s="89"/>
      <c r="B2" s="89"/>
      <c r="C2" s="89"/>
      <c r="D2" s="90"/>
      <c r="E2" s="90"/>
      <c r="F2" s="89"/>
      <c r="G2" s="89"/>
      <c r="H2" s="89"/>
      <c r="I2" s="93" t="s">
        <v>37</v>
      </c>
      <c r="J2" s="81">
        <f>COUNTA(J5:J516)</f>
        <v>21</v>
      </c>
      <c r="K2" s="82">
        <f>COUNTA(K5:K516)</f>
        <v>27</v>
      </c>
      <c r="L2" s="83">
        <f>COUNTA(L5:L516)</f>
        <v>21</v>
      </c>
      <c r="M2" s="84">
        <f>COUNTA(M5:M516)</f>
        <v>21</v>
      </c>
      <c r="N2" s="85">
        <v>11</v>
      </c>
      <c r="O2" s="86">
        <v>79</v>
      </c>
      <c r="P2" s="92">
        <v>6</v>
      </c>
    </row>
    <row r="3" spans="1:16">
      <c r="A3" s="89"/>
      <c r="B3" s="89"/>
      <c r="C3" s="89"/>
      <c r="D3" s="89"/>
      <c r="E3" s="89"/>
      <c r="F3" s="89"/>
      <c r="G3" s="89"/>
      <c r="H3" s="89"/>
      <c r="I3" s="89"/>
      <c r="J3" s="94"/>
      <c r="K3" s="94"/>
      <c r="L3" s="94"/>
      <c r="M3" s="94"/>
      <c r="N3" s="94"/>
      <c r="O3" s="94"/>
      <c r="P3" s="92"/>
    </row>
    <row r="4" spans="1:16" ht="15.75">
      <c r="A4" s="107" t="s">
        <v>98</v>
      </c>
      <c r="B4" s="107" t="s">
        <v>99</v>
      </c>
      <c r="C4" s="107" t="s">
        <v>100</v>
      </c>
      <c r="D4" s="95" t="s">
        <v>101</v>
      </c>
      <c r="E4" s="96" t="s">
        <v>2</v>
      </c>
      <c r="F4" s="97" t="s">
        <v>3</v>
      </c>
      <c r="G4" s="98" t="s">
        <v>4</v>
      </c>
      <c r="H4" s="98" t="s">
        <v>991</v>
      </c>
      <c r="I4" s="98" t="s">
        <v>105</v>
      </c>
      <c r="J4" s="99" t="s">
        <v>106</v>
      </c>
      <c r="K4" s="100" t="s">
        <v>107</v>
      </c>
      <c r="L4" s="101" t="s">
        <v>108</v>
      </c>
      <c r="M4" s="102" t="s">
        <v>109</v>
      </c>
      <c r="N4" s="103" t="s">
        <v>110</v>
      </c>
      <c r="O4" s="104" t="s">
        <v>111</v>
      </c>
      <c r="P4" s="75" t="s">
        <v>45</v>
      </c>
    </row>
    <row r="5" spans="1:16">
      <c r="A5" s="76" t="s">
        <v>1332</v>
      </c>
      <c r="B5" s="76">
        <v>1</v>
      </c>
      <c r="C5" s="76" t="s">
        <v>1333</v>
      </c>
      <c r="D5" s="172" t="s">
        <v>1334</v>
      </c>
      <c r="E5" s="175">
        <v>7781</v>
      </c>
      <c r="F5" s="177">
        <v>33269</v>
      </c>
      <c r="G5" s="180" t="s">
        <v>19</v>
      </c>
      <c r="H5" s="80" t="s">
        <v>841</v>
      </c>
      <c r="I5" s="80" t="s">
        <v>269</v>
      </c>
      <c r="J5" s="81"/>
      <c r="K5" s="82"/>
      <c r="L5" s="83"/>
      <c r="M5" s="84"/>
      <c r="N5" s="341" t="s">
        <v>995</v>
      </c>
      <c r="O5" s="86" t="s">
        <v>117</v>
      </c>
      <c r="P5" s="187" t="s">
        <v>1335</v>
      </c>
    </row>
    <row r="6" spans="1:16">
      <c r="A6" s="76" t="s">
        <v>1332</v>
      </c>
      <c r="B6" s="76">
        <v>2</v>
      </c>
      <c r="C6" s="76" t="s">
        <v>1333</v>
      </c>
      <c r="D6" s="172" t="s">
        <v>1336</v>
      </c>
      <c r="E6" s="176" t="s">
        <v>995</v>
      </c>
      <c r="F6" s="178" t="s">
        <v>995</v>
      </c>
      <c r="G6" s="181" t="s">
        <v>253</v>
      </c>
      <c r="H6" s="80" t="s">
        <v>530</v>
      </c>
      <c r="I6" s="134" t="s">
        <v>269</v>
      </c>
      <c r="J6" s="81"/>
      <c r="K6" s="82" t="s">
        <v>15</v>
      </c>
      <c r="L6" s="83"/>
      <c r="M6" s="84"/>
      <c r="N6" s="342" t="s">
        <v>995</v>
      </c>
      <c r="O6" s="86"/>
      <c r="P6" s="188" t="s">
        <v>1337</v>
      </c>
    </row>
    <row r="7" spans="1:16">
      <c r="A7" s="76" t="s">
        <v>1332</v>
      </c>
      <c r="B7" s="76">
        <v>3</v>
      </c>
      <c r="C7" s="76" t="s">
        <v>1333</v>
      </c>
      <c r="D7" s="172" t="s">
        <v>1338</v>
      </c>
      <c r="E7" s="176">
        <v>207</v>
      </c>
      <c r="F7" s="178">
        <v>2017</v>
      </c>
      <c r="G7" s="181" t="s">
        <v>47</v>
      </c>
      <c r="H7" s="80" t="s">
        <v>841</v>
      </c>
      <c r="I7" s="80" t="s">
        <v>269</v>
      </c>
      <c r="J7" s="81"/>
      <c r="K7" s="82"/>
      <c r="L7" s="83"/>
      <c r="M7" s="84"/>
      <c r="N7" s="342" t="s">
        <v>995</v>
      </c>
      <c r="O7" s="343" t="s">
        <v>117</v>
      </c>
      <c r="P7" s="188" t="s">
        <v>1339</v>
      </c>
    </row>
    <row r="8" spans="1:16">
      <c r="A8" s="76" t="s">
        <v>1332</v>
      </c>
      <c r="B8" s="76">
        <v>4</v>
      </c>
      <c r="C8" s="76" t="s">
        <v>1333</v>
      </c>
      <c r="D8" s="172" t="s">
        <v>1340</v>
      </c>
      <c r="E8" s="176" t="s">
        <v>1176</v>
      </c>
      <c r="F8" s="178">
        <v>2023</v>
      </c>
      <c r="G8" s="181" t="s">
        <v>17</v>
      </c>
      <c r="H8" s="80" t="s">
        <v>841</v>
      </c>
      <c r="I8" s="80" t="s">
        <v>269</v>
      </c>
      <c r="J8" s="81"/>
      <c r="K8" s="82"/>
      <c r="L8" s="83"/>
      <c r="M8" s="84"/>
      <c r="N8" s="342" t="s">
        <v>995</v>
      </c>
      <c r="O8" s="344" t="s">
        <v>995</v>
      </c>
      <c r="P8" s="188" t="s">
        <v>1341</v>
      </c>
    </row>
    <row r="9" spans="1:16" ht="15" customHeight="1">
      <c r="A9" s="76" t="s">
        <v>1332</v>
      </c>
      <c r="B9" s="76">
        <v>5</v>
      </c>
      <c r="C9" s="76" t="s">
        <v>1333</v>
      </c>
      <c r="D9" s="172" t="s">
        <v>1342</v>
      </c>
      <c r="E9" s="176">
        <v>11412</v>
      </c>
      <c r="F9" s="179">
        <v>41882</v>
      </c>
      <c r="G9" s="181" t="s">
        <v>995</v>
      </c>
      <c r="H9" s="80" t="s">
        <v>841</v>
      </c>
      <c r="I9" s="80" t="s">
        <v>269</v>
      </c>
      <c r="J9" s="81"/>
      <c r="K9" s="82"/>
      <c r="L9" s="83"/>
      <c r="M9" s="84"/>
      <c r="N9" s="342" t="s">
        <v>995</v>
      </c>
      <c r="O9" s="344" t="s">
        <v>995</v>
      </c>
      <c r="P9" s="188" t="s">
        <v>995</v>
      </c>
    </row>
    <row r="10" spans="1:16">
      <c r="A10" s="76" t="s">
        <v>1332</v>
      </c>
      <c r="B10" s="76">
        <v>6</v>
      </c>
      <c r="C10" s="76" t="s">
        <v>1333</v>
      </c>
      <c r="D10" s="172" t="s">
        <v>1343</v>
      </c>
      <c r="E10" s="176">
        <v>11405</v>
      </c>
      <c r="F10" s="179">
        <v>42063</v>
      </c>
      <c r="G10" s="181" t="s">
        <v>14</v>
      </c>
      <c r="H10" s="80" t="s">
        <v>841</v>
      </c>
      <c r="I10" s="80" t="s">
        <v>269</v>
      </c>
      <c r="J10" s="81"/>
      <c r="K10" s="82"/>
      <c r="L10" s="83"/>
      <c r="M10" s="84"/>
      <c r="N10" s="342" t="s">
        <v>995</v>
      </c>
      <c r="O10" s="344" t="s">
        <v>117</v>
      </c>
      <c r="P10" s="188" t="s">
        <v>1344</v>
      </c>
    </row>
    <row r="11" spans="1:16">
      <c r="A11" s="76" t="s">
        <v>1332</v>
      </c>
      <c r="B11" s="76">
        <v>7</v>
      </c>
      <c r="C11" s="76" t="s">
        <v>1333</v>
      </c>
      <c r="D11" s="173" t="s">
        <v>1345</v>
      </c>
      <c r="E11" s="176" t="s">
        <v>995</v>
      </c>
      <c r="F11" s="178" t="s">
        <v>995</v>
      </c>
      <c r="G11" s="181" t="s">
        <v>19</v>
      </c>
      <c r="H11" s="80" t="s">
        <v>841</v>
      </c>
      <c r="I11" s="80" t="s">
        <v>269</v>
      </c>
      <c r="J11" s="81"/>
      <c r="K11" s="82"/>
      <c r="L11" s="83"/>
      <c r="M11" s="84"/>
      <c r="N11" s="342" t="s">
        <v>995</v>
      </c>
      <c r="O11" s="344" t="s">
        <v>117</v>
      </c>
      <c r="P11" s="189" t="s">
        <v>995</v>
      </c>
    </row>
    <row r="12" spans="1:16">
      <c r="A12" s="76" t="s">
        <v>1332</v>
      </c>
      <c r="B12" s="76">
        <v>8</v>
      </c>
      <c r="C12" s="76" t="s">
        <v>1333</v>
      </c>
      <c r="D12" s="173" t="s">
        <v>1346</v>
      </c>
      <c r="E12" s="176">
        <v>11405</v>
      </c>
      <c r="F12" s="179">
        <v>42063</v>
      </c>
      <c r="G12" s="181" t="s">
        <v>19</v>
      </c>
      <c r="H12" s="80" t="s">
        <v>841</v>
      </c>
      <c r="I12" s="80" t="s">
        <v>269</v>
      </c>
      <c r="J12" s="81"/>
      <c r="K12" s="82"/>
      <c r="L12" s="83"/>
      <c r="M12" s="84"/>
      <c r="N12" s="342" t="s">
        <v>995</v>
      </c>
      <c r="O12" s="344" t="s">
        <v>117</v>
      </c>
      <c r="P12" s="189" t="s">
        <v>995</v>
      </c>
    </row>
    <row r="13" spans="1:16">
      <c r="A13" s="76" t="s">
        <v>1332</v>
      </c>
      <c r="B13" s="76">
        <v>9</v>
      </c>
      <c r="C13" s="76" t="s">
        <v>1333</v>
      </c>
      <c r="D13" s="173" t="s">
        <v>1347</v>
      </c>
      <c r="E13" s="176">
        <v>11405</v>
      </c>
      <c r="F13" s="179">
        <v>42063</v>
      </c>
      <c r="G13" s="181" t="s">
        <v>19</v>
      </c>
      <c r="H13" s="80" t="s">
        <v>841</v>
      </c>
      <c r="I13" s="80" t="s">
        <v>269</v>
      </c>
      <c r="J13" s="81"/>
      <c r="K13" s="82"/>
      <c r="L13" s="83"/>
      <c r="M13" s="84"/>
      <c r="N13" s="342" t="s">
        <v>995</v>
      </c>
      <c r="O13" s="344" t="s">
        <v>117</v>
      </c>
      <c r="P13" s="189" t="s">
        <v>995</v>
      </c>
    </row>
    <row r="14" spans="1:16">
      <c r="A14" s="76" t="s">
        <v>1332</v>
      </c>
      <c r="B14" s="76">
        <v>10</v>
      </c>
      <c r="C14" s="76" t="s">
        <v>1333</v>
      </c>
      <c r="D14" s="173" t="s">
        <v>1348</v>
      </c>
      <c r="E14" s="176">
        <v>11405</v>
      </c>
      <c r="F14" s="179">
        <v>42063</v>
      </c>
      <c r="G14" s="181" t="s">
        <v>19</v>
      </c>
      <c r="H14" s="80" t="s">
        <v>841</v>
      </c>
      <c r="I14" s="80" t="s">
        <v>269</v>
      </c>
      <c r="J14" s="81"/>
      <c r="K14" s="82"/>
      <c r="L14" s="83"/>
      <c r="M14" s="84"/>
      <c r="N14" s="342" t="s">
        <v>995</v>
      </c>
      <c r="O14" s="344" t="s">
        <v>117</v>
      </c>
      <c r="P14" s="189" t="s">
        <v>995</v>
      </c>
    </row>
    <row r="15" spans="1:16">
      <c r="A15" s="76" t="s">
        <v>1332</v>
      </c>
      <c r="B15" s="76">
        <v>11</v>
      </c>
      <c r="C15" s="76" t="s">
        <v>1333</v>
      </c>
      <c r="D15" s="173" t="s">
        <v>1349</v>
      </c>
      <c r="E15" s="176">
        <v>11405</v>
      </c>
      <c r="F15" s="179">
        <v>42063</v>
      </c>
      <c r="G15" s="181" t="s">
        <v>19</v>
      </c>
      <c r="H15" s="80" t="s">
        <v>841</v>
      </c>
      <c r="I15" s="80" t="s">
        <v>269</v>
      </c>
      <c r="J15" s="81"/>
      <c r="K15" s="82"/>
      <c r="L15" s="83"/>
      <c r="M15" s="84"/>
      <c r="N15" s="342" t="s">
        <v>995</v>
      </c>
      <c r="O15" s="344" t="s">
        <v>117</v>
      </c>
      <c r="P15" s="189" t="s">
        <v>995</v>
      </c>
    </row>
    <row r="16" spans="1:16">
      <c r="A16" s="76" t="s">
        <v>1332</v>
      </c>
      <c r="B16" s="76">
        <v>12</v>
      </c>
      <c r="C16" s="76" t="s">
        <v>1333</v>
      </c>
      <c r="D16" s="173" t="s">
        <v>1350</v>
      </c>
      <c r="E16" s="176">
        <v>11405</v>
      </c>
      <c r="F16" s="179">
        <v>42063</v>
      </c>
      <c r="G16" s="181" t="s">
        <v>14</v>
      </c>
      <c r="H16" s="80" t="s">
        <v>841</v>
      </c>
      <c r="I16" s="80" t="s">
        <v>269</v>
      </c>
      <c r="J16" s="81"/>
      <c r="K16" s="82"/>
      <c r="L16" s="83"/>
      <c r="M16" s="84"/>
      <c r="N16" s="342" t="s">
        <v>995</v>
      </c>
      <c r="O16" s="344" t="s">
        <v>117</v>
      </c>
      <c r="P16" s="189" t="s">
        <v>1351</v>
      </c>
    </row>
    <row r="17" spans="1:16">
      <c r="A17" s="76" t="s">
        <v>1332</v>
      </c>
      <c r="B17" s="76">
        <v>13</v>
      </c>
      <c r="C17" s="76" t="s">
        <v>1333</v>
      </c>
      <c r="D17" s="173" t="s">
        <v>1352</v>
      </c>
      <c r="E17" s="176">
        <v>11434</v>
      </c>
      <c r="F17" s="179">
        <v>42155</v>
      </c>
      <c r="G17" s="181" t="s">
        <v>14</v>
      </c>
      <c r="H17" s="80" t="s">
        <v>841</v>
      </c>
      <c r="I17" s="80" t="s">
        <v>269</v>
      </c>
      <c r="J17" s="81"/>
      <c r="K17" s="82"/>
      <c r="L17" s="83"/>
      <c r="M17" s="84"/>
      <c r="N17" s="342" t="s">
        <v>995</v>
      </c>
      <c r="O17" s="344" t="s">
        <v>117</v>
      </c>
      <c r="P17" s="189" t="s">
        <v>1351</v>
      </c>
    </row>
    <row r="18" spans="1:16" s="229" customFormat="1">
      <c r="A18" s="219" t="s">
        <v>1332</v>
      </c>
      <c r="B18" s="219">
        <v>14</v>
      </c>
      <c r="C18" s="76" t="s">
        <v>1333</v>
      </c>
      <c r="D18" s="220" t="s">
        <v>1353</v>
      </c>
      <c r="E18" s="221">
        <v>11405</v>
      </c>
      <c r="F18" s="222">
        <v>42063</v>
      </c>
      <c r="G18" s="223" t="s">
        <v>47</v>
      </c>
      <c r="H18" s="224" t="s">
        <v>841</v>
      </c>
      <c r="I18" s="224" t="s">
        <v>269</v>
      </c>
      <c r="J18" s="225"/>
      <c r="K18" s="345" t="s">
        <v>117</v>
      </c>
      <c r="L18" s="226"/>
      <c r="M18" s="227"/>
      <c r="N18" s="346" t="s">
        <v>995</v>
      </c>
      <c r="O18" s="347" t="s">
        <v>995</v>
      </c>
      <c r="P18" s="228" t="s">
        <v>1354</v>
      </c>
    </row>
    <row r="19" spans="1:16">
      <c r="A19" s="76" t="s">
        <v>1332</v>
      </c>
      <c r="B19" s="76">
        <v>16</v>
      </c>
      <c r="C19" s="76" t="s">
        <v>1333</v>
      </c>
      <c r="D19" s="173" t="s">
        <v>1355</v>
      </c>
      <c r="E19" s="176">
        <v>11405</v>
      </c>
      <c r="F19" s="179">
        <v>42063</v>
      </c>
      <c r="G19" s="181" t="s">
        <v>47</v>
      </c>
      <c r="H19" s="80" t="s">
        <v>841</v>
      </c>
      <c r="I19" s="80" t="s">
        <v>269</v>
      </c>
      <c r="J19" s="81"/>
      <c r="K19" s="82"/>
      <c r="L19" s="83"/>
      <c r="M19" s="84"/>
      <c r="N19" s="342" t="s">
        <v>995</v>
      </c>
      <c r="O19" s="344" t="s">
        <v>117</v>
      </c>
      <c r="P19" s="189" t="s">
        <v>1356</v>
      </c>
    </row>
    <row r="20" spans="1:16">
      <c r="A20" s="76" t="s">
        <v>1332</v>
      </c>
      <c r="B20" s="76">
        <v>17</v>
      </c>
      <c r="C20" s="76" t="s">
        <v>1333</v>
      </c>
      <c r="D20" s="173" t="s">
        <v>1357</v>
      </c>
      <c r="E20" s="176">
        <v>11538</v>
      </c>
      <c r="F20" s="179">
        <v>42794</v>
      </c>
      <c r="G20" s="181" t="s">
        <v>19</v>
      </c>
      <c r="H20" s="80" t="s">
        <v>841</v>
      </c>
      <c r="I20" s="80" t="s">
        <v>269</v>
      </c>
      <c r="J20" s="81"/>
      <c r="K20" s="82"/>
      <c r="L20" s="83"/>
      <c r="M20" s="84"/>
      <c r="N20" s="342" t="s">
        <v>995</v>
      </c>
      <c r="O20" s="344" t="s">
        <v>117</v>
      </c>
      <c r="P20" s="189" t="s">
        <v>995</v>
      </c>
    </row>
    <row r="21" spans="1:16">
      <c r="A21" s="76" t="s">
        <v>1332</v>
      </c>
      <c r="B21" s="76">
        <v>18</v>
      </c>
      <c r="C21" s="76" t="s">
        <v>1333</v>
      </c>
      <c r="D21" s="173" t="s">
        <v>1358</v>
      </c>
      <c r="E21" s="176">
        <v>11405</v>
      </c>
      <c r="F21" s="179">
        <v>42063</v>
      </c>
      <c r="G21" s="181" t="s">
        <v>19</v>
      </c>
      <c r="H21" s="80" t="s">
        <v>841</v>
      </c>
      <c r="I21" s="80" t="s">
        <v>269</v>
      </c>
      <c r="J21" s="81"/>
      <c r="K21" s="82"/>
      <c r="L21" s="83"/>
      <c r="M21" s="84"/>
      <c r="N21" s="342" t="s">
        <v>995</v>
      </c>
      <c r="O21" s="344" t="s">
        <v>117</v>
      </c>
      <c r="P21" s="189" t="s">
        <v>995</v>
      </c>
    </row>
    <row r="22" spans="1:16">
      <c r="A22" s="76" t="s">
        <v>1332</v>
      </c>
      <c r="B22" s="76">
        <v>19</v>
      </c>
      <c r="C22" s="76" t="s">
        <v>1333</v>
      </c>
      <c r="D22" s="173" t="s">
        <v>1359</v>
      </c>
      <c r="E22" s="176">
        <v>11405</v>
      </c>
      <c r="F22" s="179">
        <v>42063</v>
      </c>
      <c r="G22" s="181" t="s">
        <v>19</v>
      </c>
      <c r="H22" s="80" t="s">
        <v>841</v>
      </c>
      <c r="I22" s="80" t="s">
        <v>269</v>
      </c>
      <c r="J22" s="81"/>
      <c r="K22" s="82"/>
      <c r="L22" s="83"/>
      <c r="M22" s="84"/>
      <c r="N22" s="342" t="s">
        <v>995</v>
      </c>
      <c r="O22" s="344" t="s">
        <v>117</v>
      </c>
      <c r="P22" s="189" t="s">
        <v>995</v>
      </c>
    </row>
    <row r="23" spans="1:16">
      <c r="A23" s="76" t="s">
        <v>1332</v>
      </c>
      <c r="B23" s="76">
        <v>20</v>
      </c>
      <c r="C23" s="76" t="s">
        <v>1333</v>
      </c>
      <c r="D23" s="173" t="s">
        <v>1360</v>
      </c>
      <c r="E23" s="176">
        <v>3179</v>
      </c>
      <c r="F23" s="179">
        <v>45565</v>
      </c>
      <c r="G23" s="181" t="s">
        <v>17</v>
      </c>
      <c r="H23" s="80" t="s">
        <v>841</v>
      </c>
      <c r="I23" s="80" t="s">
        <v>269</v>
      </c>
      <c r="J23" s="81"/>
      <c r="K23" s="82"/>
      <c r="L23" s="83"/>
      <c r="M23" s="84"/>
      <c r="N23" s="342" t="s">
        <v>995</v>
      </c>
      <c r="O23" s="344" t="s">
        <v>117</v>
      </c>
      <c r="P23" s="189" t="s">
        <v>1361</v>
      </c>
    </row>
    <row r="24" spans="1:16">
      <c r="A24" s="76" t="s">
        <v>1332</v>
      </c>
      <c r="B24" s="76">
        <v>21</v>
      </c>
      <c r="C24" s="76" t="s">
        <v>1333</v>
      </c>
      <c r="D24" s="173" t="s">
        <v>1362</v>
      </c>
      <c r="E24" s="176">
        <v>11405</v>
      </c>
      <c r="F24" s="179">
        <v>42063</v>
      </c>
      <c r="G24" s="181" t="s">
        <v>14</v>
      </c>
      <c r="H24" s="80" t="s">
        <v>841</v>
      </c>
      <c r="I24" s="80" t="s">
        <v>269</v>
      </c>
      <c r="J24" s="81"/>
      <c r="K24" s="82"/>
      <c r="L24" s="83"/>
      <c r="M24" s="84"/>
      <c r="N24" s="342" t="s">
        <v>995</v>
      </c>
      <c r="O24" s="344" t="s">
        <v>117</v>
      </c>
      <c r="P24" s="530" t="s">
        <v>1363</v>
      </c>
    </row>
    <row r="25" spans="1:16">
      <c r="A25" s="76" t="s">
        <v>1332</v>
      </c>
      <c r="B25" s="76">
        <v>22</v>
      </c>
      <c r="C25" s="76" t="s">
        <v>1333</v>
      </c>
      <c r="D25" s="173" t="s">
        <v>1364</v>
      </c>
      <c r="E25" s="176">
        <v>11434</v>
      </c>
      <c r="F25" s="179">
        <v>42155</v>
      </c>
      <c r="G25" s="181" t="s">
        <v>14</v>
      </c>
      <c r="H25" s="80" t="s">
        <v>841</v>
      </c>
      <c r="I25" s="80" t="s">
        <v>269</v>
      </c>
      <c r="J25" s="81"/>
      <c r="K25" s="82"/>
      <c r="L25" s="83"/>
      <c r="M25" s="84"/>
      <c r="N25" s="342" t="s">
        <v>995</v>
      </c>
      <c r="O25" s="344" t="s">
        <v>117</v>
      </c>
      <c r="P25" s="531"/>
    </row>
    <row r="26" spans="1:16">
      <c r="A26" s="76" t="s">
        <v>1332</v>
      </c>
      <c r="B26" s="76">
        <v>23</v>
      </c>
      <c r="C26" s="76" t="s">
        <v>1333</v>
      </c>
      <c r="D26" s="173" t="s">
        <v>1365</v>
      </c>
      <c r="E26" s="176">
        <v>11405</v>
      </c>
      <c r="F26" s="179">
        <v>42063</v>
      </c>
      <c r="G26" s="181" t="s">
        <v>19</v>
      </c>
      <c r="H26" s="80" t="s">
        <v>841</v>
      </c>
      <c r="I26" s="80" t="s">
        <v>269</v>
      </c>
      <c r="J26" s="81"/>
      <c r="K26" s="82"/>
      <c r="L26" s="83"/>
      <c r="M26" s="84"/>
      <c r="N26" s="342" t="s">
        <v>995</v>
      </c>
      <c r="O26" s="344" t="s">
        <v>117</v>
      </c>
      <c r="P26" s="189" t="s">
        <v>995</v>
      </c>
    </row>
    <row r="27" spans="1:16">
      <c r="A27" s="76" t="s">
        <v>1332</v>
      </c>
      <c r="B27" s="76">
        <v>24</v>
      </c>
      <c r="C27" s="76" t="s">
        <v>1333</v>
      </c>
      <c r="D27" s="173" t="s">
        <v>1366</v>
      </c>
      <c r="E27" s="176">
        <v>11434</v>
      </c>
      <c r="F27" s="179">
        <v>42155</v>
      </c>
      <c r="G27" s="181" t="s">
        <v>19</v>
      </c>
      <c r="H27" s="80" t="s">
        <v>841</v>
      </c>
      <c r="I27" s="80" t="s">
        <v>269</v>
      </c>
      <c r="J27" s="81"/>
      <c r="K27" s="82"/>
      <c r="L27" s="83"/>
      <c r="M27" s="84"/>
      <c r="N27" s="342" t="s">
        <v>995</v>
      </c>
      <c r="O27" s="344" t="s">
        <v>117</v>
      </c>
      <c r="P27" s="143"/>
    </row>
    <row r="28" spans="1:16">
      <c r="A28" s="76" t="s">
        <v>1332</v>
      </c>
      <c r="B28" s="76">
        <v>25</v>
      </c>
      <c r="C28" s="76" t="s">
        <v>1333</v>
      </c>
      <c r="D28" s="173" t="s">
        <v>1367</v>
      </c>
      <c r="E28" s="176">
        <v>3056</v>
      </c>
      <c r="F28" s="179">
        <v>43555</v>
      </c>
      <c r="G28" s="181" t="s">
        <v>19</v>
      </c>
      <c r="H28" s="80" t="s">
        <v>841</v>
      </c>
      <c r="I28" s="80" t="s">
        <v>269</v>
      </c>
      <c r="J28" s="81"/>
      <c r="K28" s="82"/>
      <c r="L28" s="83"/>
      <c r="M28" s="84"/>
      <c r="N28" s="342" t="s">
        <v>995</v>
      </c>
      <c r="O28" s="344" t="s">
        <v>117</v>
      </c>
      <c r="P28" s="191" t="s">
        <v>1368</v>
      </c>
    </row>
    <row r="29" spans="1:16">
      <c r="A29" s="76" t="s">
        <v>1332</v>
      </c>
      <c r="B29" s="76">
        <v>26</v>
      </c>
      <c r="C29" s="76" t="s">
        <v>1333</v>
      </c>
      <c r="D29" s="173" t="s">
        <v>1369</v>
      </c>
      <c r="E29" s="176">
        <v>11405</v>
      </c>
      <c r="F29" s="179">
        <v>42063</v>
      </c>
      <c r="G29" s="181" t="s">
        <v>19</v>
      </c>
      <c r="H29" s="80" t="s">
        <v>841</v>
      </c>
      <c r="I29" s="80" t="s">
        <v>269</v>
      </c>
      <c r="J29" s="81"/>
      <c r="K29" s="82"/>
      <c r="L29" s="83"/>
      <c r="M29" s="84"/>
      <c r="N29" s="342" t="s">
        <v>995</v>
      </c>
      <c r="O29" s="344" t="s">
        <v>995</v>
      </c>
      <c r="P29" s="189" t="s">
        <v>995</v>
      </c>
    </row>
    <row r="30" spans="1:16">
      <c r="A30" s="76" t="s">
        <v>1332</v>
      </c>
      <c r="B30" s="76">
        <v>27</v>
      </c>
      <c r="C30" s="76" t="s">
        <v>1333</v>
      </c>
      <c r="D30" s="173" t="s">
        <v>1370</v>
      </c>
      <c r="E30" s="176">
        <v>11405</v>
      </c>
      <c r="F30" s="179">
        <v>42063</v>
      </c>
      <c r="G30" s="181" t="s">
        <v>47</v>
      </c>
      <c r="H30" s="80" t="s">
        <v>841</v>
      </c>
      <c r="I30" s="80" t="s">
        <v>269</v>
      </c>
      <c r="J30" s="81"/>
      <c r="K30" s="82"/>
      <c r="L30" s="83"/>
      <c r="M30" s="84"/>
      <c r="N30" s="342" t="s">
        <v>117</v>
      </c>
      <c r="O30" s="344" t="s">
        <v>995</v>
      </c>
      <c r="P30" s="190" t="s">
        <v>1371</v>
      </c>
    </row>
    <row r="31" spans="1:16">
      <c r="A31" s="76" t="s">
        <v>1332</v>
      </c>
      <c r="B31" s="76">
        <v>28</v>
      </c>
      <c r="C31" s="76" t="s">
        <v>1333</v>
      </c>
      <c r="D31" s="173" t="s">
        <v>1372</v>
      </c>
      <c r="E31" s="176" t="s">
        <v>1176</v>
      </c>
      <c r="F31" s="179">
        <v>43131</v>
      </c>
      <c r="G31" s="181" t="s">
        <v>47</v>
      </c>
      <c r="H31" s="80" t="s">
        <v>841</v>
      </c>
      <c r="I31" s="80" t="s">
        <v>269</v>
      </c>
      <c r="J31" s="81"/>
      <c r="K31" s="82"/>
      <c r="L31" s="83"/>
      <c r="M31" s="84"/>
      <c r="N31" s="342" t="s">
        <v>995</v>
      </c>
      <c r="O31" s="344" t="s">
        <v>117</v>
      </c>
      <c r="P31" s="192" t="s">
        <v>1373</v>
      </c>
    </row>
    <row r="32" spans="1:16">
      <c r="A32" s="76" t="s">
        <v>1332</v>
      </c>
      <c r="B32" s="76">
        <v>29</v>
      </c>
      <c r="C32" s="76" t="s">
        <v>1333</v>
      </c>
      <c r="D32" s="173" t="s">
        <v>1374</v>
      </c>
      <c r="E32" s="176">
        <v>11405</v>
      </c>
      <c r="F32" s="179">
        <v>42063</v>
      </c>
      <c r="G32" s="181" t="s">
        <v>19</v>
      </c>
      <c r="H32" s="80" t="s">
        <v>841</v>
      </c>
      <c r="I32" s="80" t="s">
        <v>269</v>
      </c>
      <c r="J32" s="81"/>
      <c r="K32" s="82"/>
      <c r="L32" s="83"/>
      <c r="M32" s="84"/>
      <c r="N32" s="342" t="s">
        <v>995</v>
      </c>
      <c r="O32" s="344" t="s">
        <v>117</v>
      </c>
      <c r="P32" s="191" t="s">
        <v>995</v>
      </c>
    </row>
    <row r="33" spans="1:16">
      <c r="A33" s="76" t="s">
        <v>1332</v>
      </c>
      <c r="B33" s="76">
        <v>30</v>
      </c>
      <c r="C33" s="76" t="s">
        <v>1333</v>
      </c>
      <c r="D33" s="173" t="s">
        <v>1375</v>
      </c>
      <c r="E33" s="176">
        <v>11405</v>
      </c>
      <c r="F33" s="179">
        <v>42063</v>
      </c>
      <c r="G33" s="181" t="s">
        <v>14</v>
      </c>
      <c r="H33" s="80" t="s">
        <v>841</v>
      </c>
      <c r="I33" s="80" t="s">
        <v>269</v>
      </c>
      <c r="J33" s="81"/>
      <c r="K33" s="82"/>
      <c r="L33" s="83"/>
      <c r="M33" s="84"/>
      <c r="N33" s="342" t="s">
        <v>995</v>
      </c>
      <c r="O33" s="344" t="s">
        <v>117</v>
      </c>
      <c r="P33" s="189" t="s">
        <v>1376</v>
      </c>
    </row>
    <row r="34" spans="1:16">
      <c r="A34" s="76" t="s">
        <v>1332</v>
      </c>
      <c r="B34" s="76">
        <v>31</v>
      </c>
      <c r="C34" s="76" t="s">
        <v>1333</v>
      </c>
      <c r="D34" s="173" t="s">
        <v>1377</v>
      </c>
      <c r="E34" s="176">
        <v>11405</v>
      </c>
      <c r="F34" s="179">
        <v>42063</v>
      </c>
      <c r="G34" s="181" t="s">
        <v>19</v>
      </c>
      <c r="H34" s="80" t="s">
        <v>841</v>
      </c>
      <c r="I34" s="80" t="s">
        <v>269</v>
      </c>
      <c r="J34" s="81"/>
      <c r="K34" s="348" t="s">
        <v>117</v>
      </c>
      <c r="L34" s="83"/>
      <c r="M34" s="84"/>
      <c r="N34" s="342" t="s">
        <v>995</v>
      </c>
      <c r="O34" s="344" t="s">
        <v>995</v>
      </c>
      <c r="P34" s="189" t="s">
        <v>1378</v>
      </c>
    </row>
    <row r="35" spans="1:16">
      <c r="A35" s="76" t="s">
        <v>1332</v>
      </c>
      <c r="B35" s="76">
        <v>32</v>
      </c>
      <c r="C35" s="76" t="s">
        <v>1333</v>
      </c>
      <c r="D35" s="173" t="s">
        <v>1379</v>
      </c>
      <c r="E35" s="176">
        <v>11418</v>
      </c>
      <c r="F35" s="179">
        <v>42063</v>
      </c>
      <c r="G35" s="181" t="s">
        <v>14</v>
      </c>
      <c r="H35" s="80" t="s">
        <v>841</v>
      </c>
      <c r="I35" s="80" t="s">
        <v>269</v>
      </c>
      <c r="J35" s="81"/>
      <c r="K35" s="82"/>
      <c r="L35" s="83"/>
      <c r="M35" s="84"/>
      <c r="N35" s="342" t="s">
        <v>995</v>
      </c>
      <c r="O35" s="344" t="s">
        <v>117</v>
      </c>
      <c r="P35" s="189" t="s">
        <v>1380</v>
      </c>
    </row>
    <row r="36" spans="1:16" s="315" customFormat="1" ht="15.75" thickBot="1">
      <c r="A36" s="304" t="s">
        <v>1332</v>
      </c>
      <c r="B36" s="304">
        <v>33</v>
      </c>
      <c r="C36" s="304" t="s">
        <v>1333</v>
      </c>
      <c r="D36" s="305" t="s">
        <v>1381</v>
      </c>
      <c r="E36" s="306">
        <v>11405</v>
      </c>
      <c r="F36" s="307">
        <v>42063</v>
      </c>
      <c r="G36" s="308" t="s">
        <v>19</v>
      </c>
      <c r="H36" s="309" t="s">
        <v>841</v>
      </c>
      <c r="I36" s="309" t="s">
        <v>269</v>
      </c>
      <c r="J36" s="310"/>
      <c r="K36" s="311"/>
      <c r="L36" s="312"/>
      <c r="M36" s="313"/>
      <c r="N36" s="349" t="s">
        <v>995</v>
      </c>
      <c r="O36" s="350" t="s">
        <v>995</v>
      </c>
      <c r="P36" s="314" t="s">
        <v>995</v>
      </c>
    </row>
    <row r="37" spans="1:16">
      <c r="A37" s="366" t="s">
        <v>1332</v>
      </c>
      <c r="B37" s="324">
        <v>34</v>
      </c>
      <c r="C37" s="287" t="s">
        <v>1382</v>
      </c>
      <c r="D37" s="298" t="s">
        <v>1383</v>
      </c>
      <c r="E37" s="290" t="s">
        <v>995</v>
      </c>
      <c r="F37" s="296" t="s">
        <v>995</v>
      </c>
      <c r="G37" s="292" t="s">
        <v>14</v>
      </c>
      <c r="H37" s="322" t="s">
        <v>841</v>
      </c>
      <c r="I37" s="322" t="s">
        <v>269</v>
      </c>
      <c r="J37" s="351" t="s">
        <v>995</v>
      </c>
      <c r="K37" s="352" t="s">
        <v>995</v>
      </c>
      <c r="L37" s="353" t="s">
        <v>995</v>
      </c>
      <c r="M37" s="328" t="s">
        <v>117</v>
      </c>
      <c r="N37" s="329" t="s">
        <v>995</v>
      </c>
      <c r="O37" s="330" t="s">
        <v>995</v>
      </c>
      <c r="P37" s="293" t="s">
        <v>995</v>
      </c>
    </row>
    <row r="38" spans="1:16">
      <c r="A38" s="366" t="s">
        <v>1332</v>
      </c>
      <c r="B38" s="324">
        <v>35</v>
      </c>
      <c r="C38" s="287" t="s">
        <v>1382</v>
      </c>
      <c r="D38" s="294" t="s">
        <v>1384</v>
      </c>
      <c r="E38" s="295">
        <v>1250</v>
      </c>
      <c r="F38" s="297">
        <v>38898</v>
      </c>
      <c r="G38" s="292" t="s">
        <v>14</v>
      </c>
      <c r="H38" s="322" t="s">
        <v>841</v>
      </c>
      <c r="I38" s="322" t="s">
        <v>269</v>
      </c>
      <c r="J38" s="351" t="s">
        <v>995</v>
      </c>
      <c r="K38" s="352" t="s">
        <v>995</v>
      </c>
      <c r="L38" s="353" t="s">
        <v>995</v>
      </c>
      <c r="M38" s="328" t="s">
        <v>117</v>
      </c>
      <c r="N38" s="329" t="s">
        <v>995</v>
      </c>
      <c r="O38" s="330" t="s">
        <v>995</v>
      </c>
      <c r="P38" s="293" t="s">
        <v>995</v>
      </c>
    </row>
    <row r="39" spans="1:16">
      <c r="A39" s="366" t="s">
        <v>1332</v>
      </c>
      <c r="B39" s="324">
        <v>36</v>
      </c>
      <c r="C39" s="287" t="s">
        <v>1382</v>
      </c>
      <c r="D39" s="298" t="s">
        <v>1385</v>
      </c>
      <c r="E39" s="290" t="s">
        <v>995</v>
      </c>
      <c r="F39" s="296" t="s">
        <v>995</v>
      </c>
      <c r="G39" s="292" t="s">
        <v>14</v>
      </c>
      <c r="H39" s="322" t="s">
        <v>841</v>
      </c>
      <c r="I39" s="322" t="s">
        <v>269</v>
      </c>
      <c r="J39" s="351" t="s">
        <v>995</v>
      </c>
      <c r="K39" s="352" t="s">
        <v>995</v>
      </c>
      <c r="L39" s="353" t="s">
        <v>995</v>
      </c>
      <c r="M39" s="328" t="s">
        <v>117</v>
      </c>
      <c r="N39" s="329" t="s">
        <v>995</v>
      </c>
      <c r="O39" s="330" t="s">
        <v>995</v>
      </c>
      <c r="P39" s="293" t="s">
        <v>995</v>
      </c>
    </row>
    <row r="40" spans="1:16">
      <c r="A40" s="366" t="s">
        <v>1332</v>
      </c>
      <c r="B40" s="324">
        <v>37</v>
      </c>
      <c r="C40" s="287" t="s">
        <v>1382</v>
      </c>
      <c r="D40" s="294" t="s">
        <v>1386</v>
      </c>
      <c r="E40" s="295">
        <v>1315</v>
      </c>
      <c r="F40" s="297">
        <v>40786</v>
      </c>
      <c r="G40" s="292" t="s">
        <v>19</v>
      </c>
      <c r="H40" s="322" t="s">
        <v>841</v>
      </c>
      <c r="I40" s="322" t="s">
        <v>269</v>
      </c>
      <c r="J40" s="351" t="s">
        <v>995</v>
      </c>
      <c r="K40" s="352" t="s">
        <v>995</v>
      </c>
      <c r="L40" s="353" t="s">
        <v>995</v>
      </c>
      <c r="M40" s="328" t="s">
        <v>995</v>
      </c>
      <c r="N40" s="329" t="s">
        <v>117</v>
      </c>
      <c r="O40" s="330" t="s">
        <v>995</v>
      </c>
      <c r="P40" s="293" t="s">
        <v>995</v>
      </c>
    </row>
    <row r="41" spans="1:16">
      <c r="A41" s="366" t="s">
        <v>1332</v>
      </c>
      <c r="B41" s="324">
        <v>38</v>
      </c>
      <c r="C41" s="287" t="s">
        <v>1382</v>
      </c>
      <c r="D41" s="294" t="s">
        <v>1387</v>
      </c>
      <c r="E41" s="295">
        <v>1316</v>
      </c>
      <c r="F41" s="297">
        <v>40786</v>
      </c>
      <c r="G41" s="292" t="s">
        <v>19</v>
      </c>
      <c r="H41" s="322" t="s">
        <v>841</v>
      </c>
      <c r="I41" s="322" t="s">
        <v>269</v>
      </c>
      <c r="J41" s="351" t="s">
        <v>995</v>
      </c>
      <c r="K41" s="352" t="s">
        <v>995</v>
      </c>
      <c r="L41" s="353" t="s">
        <v>995</v>
      </c>
      <c r="M41" s="328" t="s">
        <v>995</v>
      </c>
      <c r="N41" s="329" t="s">
        <v>995</v>
      </c>
      <c r="O41" s="330" t="s">
        <v>117</v>
      </c>
      <c r="P41" s="293" t="s">
        <v>995</v>
      </c>
    </row>
    <row r="42" spans="1:16">
      <c r="A42" s="367" t="s">
        <v>1332</v>
      </c>
      <c r="B42" s="325">
        <v>39</v>
      </c>
      <c r="C42" s="299" t="s">
        <v>1382</v>
      </c>
      <c r="D42" s="300" t="s">
        <v>1388</v>
      </c>
      <c r="E42" s="301" t="s">
        <v>995</v>
      </c>
      <c r="F42" s="302" t="s">
        <v>995</v>
      </c>
      <c r="G42" s="292" t="s">
        <v>14</v>
      </c>
      <c r="H42" s="322" t="s">
        <v>841</v>
      </c>
      <c r="I42" s="322" t="s">
        <v>269</v>
      </c>
      <c r="J42" s="354" t="s">
        <v>995</v>
      </c>
      <c r="K42" s="355" t="s">
        <v>995</v>
      </c>
      <c r="L42" s="356" t="s">
        <v>995</v>
      </c>
      <c r="M42" s="331" t="s">
        <v>117</v>
      </c>
      <c r="N42" s="332" t="s">
        <v>995</v>
      </c>
      <c r="O42" s="333" t="s">
        <v>995</v>
      </c>
      <c r="P42" s="293" t="s">
        <v>995</v>
      </c>
    </row>
    <row r="43" spans="1:16">
      <c r="A43" s="368" t="s">
        <v>1332</v>
      </c>
      <c r="B43" s="326">
        <v>40</v>
      </c>
      <c r="C43" s="288" t="s">
        <v>1382</v>
      </c>
      <c r="D43" s="289" t="s">
        <v>1389</v>
      </c>
      <c r="E43" s="303" t="s">
        <v>995</v>
      </c>
      <c r="F43" s="291" t="s">
        <v>995</v>
      </c>
      <c r="G43" s="292" t="s">
        <v>14</v>
      </c>
      <c r="H43" s="322" t="s">
        <v>841</v>
      </c>
      <c r="I43" s="322" t="s">
        <v>269</v>
      </c>
      <c r="J43" s="357" t="s">
        <v>995</v>
      </c>
      <c r="K43" s="358" t="s">
        <v>995</v>
      </c>
      <c r="L43" s="359" t="s">
        <v>995</v>
      </c>
      <c r="M43" s="334" t="s">
        <v>117</v>
      </c>
      <c r="N43" s="335" t="s">
        <v>995</v>
      </c>
      <c r="O43" s="336" t="s">
        <v>995</v>
      </c>
      <c r="P43" s="293" t="s">
        <v>995</v>
      </c>
    </row>
    <row r="44" spans="1:16">
      <c r="A44" s="366" t="s">
        <v>1332</v>
      </c>
      <c r="B44" s="324">
        <v>41</v>
      </c>
      <c r="C44" s="287" t="s">
        <v>1382</v>
      </c>
      <c r="D44" s="298" t="s">
        <v>1390</v>
      </c>
      <c r="E44" s="290">
        <v>1317</v>
      </c>
      <c r="F44" s="297">
        <v>40847</v>
      </c>
      <c r="G44" s="292" t="s">
        <v>19</v>
      </c>
      <c r="H44" s="322" t="s">
        <v>841</v>
      </c>
      <c r="I44" s="322" t="s">
        <v>269</v>
      </c>
      <c r="J44" s="351" t="s">
        <v>995</v>
      </c>
      <c r="K44" s="352" t="s">
        <v>995</v>
      </c>
      <c r="L44" s="353" t="s">
        <v>995</v>
      </c>
      <c r="M44" s="328" t="s">
        <v>995</v>
      </c>
      <c r="N44" s="329" t="s">
        <v>117</v>
      </c>
      <c r="O44" s="330" t="s">
        <v>995</v>
      </c>
      <c r="P44" s="293" t="s">
        <v>995</v>
      </c>
    </row>
    <row r="45" spans="1:16">
      <c r="A45" s="366" t="s">
        <v>1332</v>
      </c>
      <c r="B45" s="324">
        <v>42</v>
      </c>
      <c r="C45" s="287" t="s">
        <v>1382</v>
      </c>
      <c r="D45" s="294" t="s">
        <v>1391</v>
      </c>
      <c r="E45" s="295">
        <v>1321</v>
      </c>
      <c r="F45" s="297">
        <v>40968</v>
      </c>
      <c r="G45" s="292" t="s">
        <v>19</v>
      </c>
      <c r="H45" s="322" t="s">
        <v>841</v>
      </c>
      <c r="I45" s="322" t="s">
        <v>269</v>
      </c>
      <c r="J45" s="351" t="s">
        <v>995</v>
      </c>
      <c r="K45" s="352" t="s">
        <v>995</v>
      </c>
      <c r="L45" s="353" t="s">
        <v>995</v>
      </c>
      <c r="M45" s="328" t="s">
        <v>995</v>
      </c>
      <c r="N45" s="329" t="s">
        <v>117</v>
      </c>
      <c r="O45" s="330" t="s">
        <v>995</v>
      </c>
      <c r="P45" s="293" t="s">
        <v>995</v>
      </c>
    </row>
    <row r="46" spans="1:16">
      <c r="A46" s="366" t="s">
        <v>1332</v>
      </c>
      <c r="B46" s="324">
        <v>43</v>
      </c>
      <c r="C46" s="287" t="s">
        <v>1382</v>
      </c>
      <c r="D46" s="294" t="s">
        <v>1392</v>
      </c>
      <c r="E46" s="295">
        <v>1322</v>
      </c>
      <c r="F46" s="297">
        <v>40999</v>
      </c>
      <c r="G46" s="292" t="s">
        <v>19</v>
      </c>
      <c r="H46" s="322" t="s">
        <v>841</v>
      </c>
      <c r="I46" s="322" t="s">
        <v>269</v>
      </c>
      <c r="J46" s="351" t="s">
        <v>995</v>
      </c>
      <c r="K46" s="352" t="s">
        <v>995</v>
      </c>
      <c r="L46" s="353" t="s">
        <v>995</v>
      </c>
      <c r="M46" s="328" t="s">
        <v>995</v>
      </c>
      <c r="N46" s="329" t="s">
        <v>117</v>
      </c>
      <c r="O46" s="330" t="s">
        <v>995</v>
      </c>
      <c r="P46" s="293" t="s">
        <v>995</v>
      </c>
    </row>
    <row r="47" spans="1:16">
      <c r="A47" s="366" t="s">
        <v>1332</v>
      </c>
      <c r="B47" s="324">
        <v>44</v>
      </c>
      <c r="C47" s="287" t="s">
        <v>1382</v>
      </c>
      <c r="D47" s="294" t="s">
        <v>1393</v>
      </c>
      <c r="E47" s="295">
        <v>1343</v>
      </c>
      <c r="F47" s="297">
        <v>40633</v>
      </c>
      <c r="G47" s="292" t="s">
        <v>19</v>
      </c>
      <c r="H47" s="322" t="s">
        <v>841</v>
      </c>
      <c r="I47" s="322" t="s">
        <v>269</v>
      </c>
      <c r="J47" s="351" t="s">
        <v>995</v>
      </c>
      <c r="K47" s="352" t="s">
        <v>995</v>
      </c>
      <c r="L47" s="353" t="s">
        <v>995</v>
      </c>
      <c r="M47" s="328" t="s">
        <v>995</v>
      </c>
      <c r="N47" s="329" t="s">
        <v>117</v>
      </c>
      <c r="O47" s="330" t="s">
        <v>995</v>
      </c>
      <c r="P47" s="293" t="s">
        <v>995</v>
      </c>
    </row>
    <row r="48" spans="1:16">
      <c r="A48" s="366" t="s">
        <v>1332</v>
      </c>
      <c r="B48" s="324">
        <v>45</v>
      </c>
      <c r="C48" s="287" t="s">
        <v>1382</v>
      </c>
      <c r="D48" s="294" t="s">
        <v>1394</v>
      </c>
      <c r="E48" s="295">
        <v>1344</v>
      </c>
      <c r="F48" s="297">
        <v>40663</v>
      </c>
      <c r="G48" s="292" t="s">
        <v>19</v>
      </c>
      <c r="H48" s="322" t="s">
        <v>841</v>
      </c>
      <c r="I48" s="322" t="s">
        <v>269</v>
      </c>
      <c r="J48" s="351" t="s">
        <v>995</v>
      </c>
      <c r="K48" s="352" t="s">
        <v>995</v>
      </c>
      <c r="L48" s="353" t="s">
        <v>995</v>
      </c>
      <c r="M48" s="328" t="s">
        <v>995</v>
      </c>
      <c r="N48" s="329" t="s">
        <v>117</v>
      </c>
      <c r="O48" s="330" t="s">
        <v>995</v>
      </c>
      <c r="P48" s="293" t="s">
        <v>995</v>
      </c>
    </row>
    <row r="49" spans="1:16">
      <c r="A49" s="366" t="s">
        <v>1332</v>
      </c>
      <c r="B49" s="324">
        <v>46</v>
      </c>
      <c r="C49" s="287" t="s">
        <v>1382</v>
      </c>
      <c r="D49" s="294" t="s">
        <v>1395</v>
      </c>
      <c r="E49" s="295">
        <v>1346</v>
      </c>
      <c r="F49" s="297">
        <v>41943</v>
      </c>
      <c r="G49" s="292" t="s">
        <v>19</v>
      </c>
      <c r="H49" s="322" t="s">
        <v>841</v>
      </c>
      <c r="I49" s="322" t="s">
        <v>269</v>
      </c>
      <c r="J49" s="351" t="s">
        <v>995</v>
      </c>
      <c r="K49" s="352" t="s">
        <v>995</v>
      </c>
      <c r="L49" s="353" t="s">
        <v>995</v>
      </c>
      <c r="M49" s="328" t="s">
        <v>995</v>
      </c>
      <c r="N49" s="329" t="s">
        <v>117</v>
      </c>
      <c r="O49" s="330" t="s">
        <v>995</v>
      </c>
      <c r="P49" s="293" t="s">
        <v>995</v>
      </c>
    </row>
    <row r="50" spans="1:16">
      <c r="A50" s="366" t="s">
        <v>1332</v>
      </c>
      <c r="B50" s="324">
        <v>47</v>
      </c>
      <c r="C50" s="287" t="s">
        <v>1382</v>
      </c>
      <c r="D50" s="294" t="s">
        <v>1396</v>
      </c>
      <c r="E50" s="295">
        <v>1347</v>
      </c>
      <c r="F50" s="297">
        <v>41943</v>
      </c>
      <c r="G50" s="292" t="s">
        <v>19</v>
      </c>
      <c r="H50" s="322" t="s">
        <v>841</v>
      </c>
      <c r="I50" s="322" t="s">
        <v>269</v>
      </c>
      <c r="J50" s="351" t="s">
        <v>995</v>
      </c>
      <c r="K50" s="352" t="s">
        <v>995</v>
      </c>
      <c r="L50" s="353" t="s">
        <v>995</v>
      </c>
      <c r="M50" s="328" t="s">
        <v>995</v>
      </c>
      <c r="N50" s="329" t="s">
        <v>117</v>
      </c>
      <c r="O50" s="330" t="s">
        <v>995</v>
      </c>
      <c r="P50" s="293" t="s">
        <v>995</v>
      </c>
    </row>
    <row r="51" spans="1:16">
      <c r="A51" s="366" t="s">
        <v>1332</v>
      </c>
      <c r="B51" s="324">
        <v>48</v>
      </c>
      <c r="C51" s="287" t="s">
        <v>1382</v>
      </c>
      <c r="D51" s="294" t="s">
        <v>1397</v>
      </c>
      <c r="E51" s="295">
        <v>1411</v>
      </c>
      <c r="F51" s="297">
        <v>43312</v>
      </c>
      <c r="G51" s="292" t="s">
        <v>17</v>
      </c>
      <c r="H51" s="322" t="s">
        <v>841</v>
      </c>
      <c r="I51" s="322" t="s">
        <v>269</v>
      </c>
      <c r="J51" s="351" t="s">
        <v>995</v>
      </c>
      <c r="K51" s="352" t="s">
        <v>995</v>
      </c>
      <c r="L51" s="353" t="s">
        <v>995</v>
      </c>
      <c r="M51" s="328" t="s">
        <v>995</v>
      </c>
      <c r="N51" s="329" t="s">
        <v>995</v>
      </c>
      <c r="O51" s="330" t="s">
        <v>117</v>
      </c>
      <c r="P51" s="293" t="s">
        <v>995</v>
      </c>
    </row>
    <row r="52" spans="1:16">
      <c r="A52" s="366" t="s">
        <v>1332</v>
      </c>
      <c r="B52" s="324">
        <v>49</v>
      </c>
      <c r="C52" s="287" t="s">
        <v>1382</v>
      </c>
      <c r="D52" s="298" t="s">
        <v>1398</v>
      </c>
      <c r="E52" s="290" t="s">
        <v>995</v>
      </c>
      <c r="F52" s="296" t="s">
        <v>995</v>
      </c>
      <c r="G52" s="292" t="s">
        <v>14</v>
      </c>
      <c r="H52" s="322" t="s">
        <v>841</v>
      </c>
      <c r="I52" s="322" t="s">
        <v>269</v>
      </c>
      <c r="J52" s="351" t="s">
        <v>995</v>
      </c>
      <c r="K52" s="352" t="s">
        <v>995</v>
      </c>
      <c r="L52" s="353" t="s">
        <v>995</v>
      </c>
      <c r="M52" s="328" t="s">
        <v>117</v>
      </c>
      <c r="N52" s="329" t="s">
        <v>995</v>
      </c>
      <c r="O52" s="330" t="s">
        <v>995</v>
      </c>
      <c r="P52" s="293" t="s">
        <v>995</v>
      </c>
    </row>
    <row r="53" spans="1:16">
      <c r="A53" s="366" t="s">
        <v>1332</v>
      </c>
      <c r="B53" s="324">
        <v>50</v>
      </c>
      <c r="C53" s="287" t="s">
        <v>1382</v>
      </c>
      <c r="D53" s="294" t="s">
        <v>1399</v>
      </c>
      <c r="E53" s="295">
        <v>1412</v>
      </c>
      <c r="F53" s="297">
        <v>43281</v>
      </c>
      <c r="G53" s="292" t="s">
        <v>19</v>
      </c>
      <c r="H53" s="322" t="s">
        <v>1400</v>
      </c>
      <c r="I53" s="322" t="s">
        <v>269</v>
      </c>
      <c r="J53" s="351" t="s">
        <v>995</v>
      </c>
      <c r="K53" s="352" t="s">
        <v>995</v>
      </c>
      <c r="L53" s="353" t="s">
        <v>995</v>
      </c>
      <c r="M53" s="328" t="s">
        <v>995</v>
      </c>
      <c r="N53" s="329" t="s">
        <v>117</v>
      </c>
      <c r="O53" s="330" t="s">
        <v>995</v>
      </c>
      <c r="P53" s="293" t="s">
        <v>995</v>
      </c>
    </row>
    <row r="54" spans="1:16">
      <c r="A54" s="366" t="s">
        <v>1332</v>
      </c>
      <c r="B54" s="324">
        <v>51</v>
      </c>
      <c r="C54" s="287" t="s">
        <v>1382</v>
      </c>
      <c r="D54" s="294" t="s">
        <v>1401</v>
      </c>
      <c r="E54" s="290">
        <v>3112</v>
      </c>
      <c r="F54" s="297">
        <v>44773</v>
      </c>
      <c r="G54" s="292" t="s">
        <v>17</v>
      </c>
      <c r="H54" s="322" t="s">
        <v>841</v>
      </c>
      <c r="I54" s="322" t="s">
        <v>269</v>
      </c>
      <c r="J54" s="351"/>
      <c r="K54" s="352"/>
      <c r="L54" s="353"/>
      <c r="M54" s="328"/>
      <c r="N54" s="329"/>
      <c r="O54" s="330" t="s">
        <v>117</v>
      </c>
      <c r="P54" s="293"/>
    </row>
    <row r="55" spans="1:16">
      <c r="A55" s="366" t="s">
        <v>1332</v>
      </c>
      <c r="B55" s="324">
        <v>52</v>
      </c>
      <c r="C55" s="287" t="s">
        <v>1382</v>
      </c>
      <c r="D55" s="298" t="s">
        <v>1402</v>
      </c>
      <c r="E55" s="290">
        <v>3114</v>
      </c>
      <c r="F55" s="297">
        <v>44773</v>
      </c>
      <c r="G55" s="292" t="s">
        <v>17</v>
      </c>
      <c r="H55" s="322" t="s">
        <v>841</v>
      </c>
      <c r="I55" s="322" t="s">
        <v>269</v>
      </c>
      <c r="J55" s="351" t="s">
        <v>995</v>
      </c>
      <c r="K55" s="352" t="s">
        <v>995</v>
      </c>
      <c r="L55" s="353" t="s">
        <v>995</v>
      </c>
      <c r="M55" s="337" t="s">
        <v>995</v>
      </c>
      <c r="N55" s="329" t="s">
        <v>995</v>
      </c>
      <c r="O55" s="330" t="s">
        <v>117</v>
      </c>
      <c r="P55" s="293" t="s">
        <v>995</v>
      </c>
    </row>
    <row r="56" spans="1:16" s="315" customFormat="1" ht="15.75" thickBot="1">
      <c r="A56" s="369" t="s">
        <v>1332</v>
      </c>
      <c r="B56" s="327">
        <v>53</v>
      </c>
      <c r="C56" s="316" t="s">
        <v>1382</v>
      </c>
      <c r="D56" s="317" t="s">
        <v>1403</v>
      </c>
      <c r="E56" s="318" t="s">
        <v>995</v>
      </c>
      <c r="F56" s="319">
        <v>45689</v>
      </c>
      <c r="G56" s="320" t="s">
        <v>17</v>
      </c>
      <c r="H56" s="323" t="s">
        <v>841</v>
      </c>
      <c r="I56" s="323" t="s">
        <v>269</v>
      </c>
      <c r="J56" s="360" t="s">
        <v>995</v>
      </c>
      <c r="K56" s="361" t="s">
        <v>995</v>
      </c>
      <c r="L56" s="362" t="s">
        <v>995</v>
      </c>
      <c r="M56" s="338" t="s">
        <v>995</v>
      </c>
      <c r="N56" s="339" t="s">
        <v>995</v>
      </c>
      <c r="O56" s="340" t="s">
        <v>117</v>
      </c>
      <c r="P56" s="321" t="s">
        <v>995</v>
      </c>
    </row>
    <row r="57" spans="1:16">
      <c r="A57" s="76" t="s">
        <v>1332</v>
      </c>
      <c r="B57" s="76">
        <v>54</v>
      </c>
      <c r="C57" s="76" t="s">
        <v>1404</v>
      </c>
      <c r="D57" s="172" t="s">
        <v>1405</v>
      </c>
      <c r="E57" s="176" t="s">
        <v>995</v>
      </c>
      <c r="F57" s="178" t="s">
        <v>995</v>
      </c>
      <c r="G57" s="181" t="s">
        <v>17</v>
      </c>
      <c r="H57" s="80" t="s">
        <v>841</v>
      </c>
      <c r="I57" s="80" t="s">
        <v>269</v>
      </c>
      <c r="J57" s="81"/>
      <c r="K57" s="82"/>
      <c r="L57" s="83"/>
      <c r="M57" s="84"/>
      <c r="N57" s="342" t="s">
        <v>995</v>
      </c>
      <c r="O57" s="344" t="s">
        <v>117</v>
      </c>
      <c r="P57" s="169" t="s">
        <v>1406</v>
      </c>
    </row>
    <row r="58" spans="1:16">
      <c r="A58" s="76" t="s">
        <v>1332</v>
      </c>
      <c r="B58" s="76">
        <v>55</v>
      </c>
      <c r="C58" s="76" t="s">
        <v>1404</v>
      </c>
      <c r="D58" s="172" t="s">
        <v>1407</v>
      </c>
      <c r="E58" s="176" t="s">
        <v>995</v>
      </c>
      <c r="F58" s="178" t="s">
        <v>995</v>
      </c>
      <c r="G58" s="181" t="s">
        <v>17</v>
      </c>
      <c r="H58" s="80" t="s">
        <v>841</v>
      </c>
      <c r="I58" s="80" t="s">
        <v>269</v>
      </c>
      <c r="J58" s="81"/>
      <c r="K58" s="82"/>
      <c r="L58" s="83"/>
      <c r="M58" s="84"/>
      <c r="N58" s="342" t="s">
        <v>995</v>
      </c>
      <c r="O58" s="344" t="s">
        <v>117</v>
      </c>
      <c r="P58" s="169" t="s">
        <v>1406</v>
      </c>
    </row>
    <row r="59" spans="1:16">
      <c r="A59" s="76" t="s">
        <v>1332</v>
      </c>
      <c r="B59" s="76">
        <v>56</v>
      </c>
      <c r="C59" s="76" t="s">
        <v>1404</v>
      </c>
      <c r="D59" s="172" t="s">
        <v>1408</v>
      </c>
      <c r="E59" s="176" t="s">
        <v>995</v>
      </c>
      <c r="F59" s="178" t="s">
        <v>995</v>
      </c>
      <c r="G59" s="181" t="s">
        <v>17</v>
      </c>
      <c r="H59" s="80" t="s">
        <v>841</v>
      </c>
      <c r="I59" s="80" t="s">
        <v>269</v>
      </c>
      <c r="J59" s="81"/>
      <c r="K59" s="82"/>
      <c r="L59" s="83"/>
      <c r="M59" s="84"/>
      <c r="N59" s="342" t="s">
        <v>995</v>
      </c>
      <c r="O59" s="344" t="s">
        <v>117</v>
      </c>
      <c r="P59" s="169" t="s">
        <v>1406</v>
      </c>
    </row>
    <row r="60" spans="1:16">
      <c r="A60" s="76" t="s">
        <v>1332</v>
      </c>
      <c r="B60" s="76">
        <v>57</v>
      </c>
      <c r="C60" s="76" t="s">
        <v>1404</v>
      </c>
      <c r="D60" s="172" t="s">
        <v>1405</v>
      </c>
      <c r="E60" s="176">
        <v>11650</v>
      </c>
      <c r="F60" s="179">
        <v>43738</v>
      </c>
      <c r="G60" s="181" t="s">
        <v>17</v>
      </c>
      <c r="H60" s="80" t="s">
        <v>841</v>
      </c>
      <c r="I60" s="80" t="s">
        <v>269</v>
      </c>
      <c r="J60" s="81"/>
      <c r="K60" s="82"/>
      <c r="L60" s="83"/>
      <c r="M60" s="84"/>
      <c r="N60" s="342" t="s">
        <v>995</v>
      </c>
      <c r="O60" s="344" t="s">
        <v>117</v>
      </c>
      <c r="P60" s="169" t="s">
        <v>1409</v>
      </c>
    </row>
    <row r="61" spans="1:16">
      <c r="A61" s="76" t="s">
        <v>1332</v>
      </c>
      <c r="B61" s="76">
        <v>58</v>
      </c>
      <c r="C61" s="76" t="s">
        <v>1404</v>
      </c>
      <c r="D61" s="172" t="s">
        <v>1410</v>
      </c>
      <c r="E61" s="176">
        <v>10236</v>
      </c>
      <c r="F61" s="179">
        <v>35369</v>
      </c>
      <c r="G61" s="181" t="s">
        <v>47</v>
      </c>
      <c r="H61" s="80" t="s">
        <v>841</v>
      </c>
      <c r="I61" s="80" t="s">
        <v>269</v>
      </c>
      <c r="J61" s="363"/>
      <c r="K61" s="82" t="s">
        <v>15</v>
      </c>
      <c r="L61" s="83"/>
      <c r="M61" s="84"/>
      <c r="N61" s="342" t="s">
        <v>995</v>
      </c>
      <c r="O61" s="344" t="s">
        <v>995</v>
      </c>
      <c r="P61" s="169" t="s">
        <v>1411</v>
      </c>
    </row>
    <row r="62" spans="1:16">
      <c r="A62" s="76" t="s">
        <v>1332</v>
      </c>
      <c r="B62" s="76">
        <v>59</v>
      </c>
      <c r="C62" s="76" t="s">
        <v>1404</v>
      </c>
      <c r="D62" s="172" t="s">
        <v>1412</v>
      </c>
      <c r="E62" s="176">
        <v>11266</v>
      </c>
      <c r="F62" s="179">
        <v>39325</v>
      </c>
      <c r="G62" s="181" t="s">
        <v>14</v>
      </c>
      <c r="H62" s="80" t="s">
        <v>841</v>
      </c>
      <c r="I62" s="80" t="s">
        <v>269</v>
      </c>
      <c r="J62" s="81"/>
      <c r="K62" s="348" t="s">
        <v>117</v>
      </c>
      <c r="L62" s="83"/>
      <c r="M62" s="84"/>
      <c r="N62" s="342" t="s">
        <v>995</v>
      </c>
      <c r="O62" s="344" t="s">
        <v>995</v>
      </c>
      <c r="P62" s="169" t="s">
        <v>1413</v>
      </c>
    </row>
    <row r="63" spans="1:16">
      <c r="A63" s="76" t="s">
        <v>1332</v>
      </c>
      <c r="B63" s="76">
        <v>60</v>
      </c>
      <c r="C63" s="76" t="s">
        <v>1404</v>
      </c>
      <c r="D63" s="172" t="s">
        <v>1405</v>
      </c>
      <c r="E63" s="176">
        <v>11649</v>
      </c>
      <c r="F63" s="178" t="s">
        <v>995</v>
      </c>
      <c r="G63" s="181" t="s">
        <v>17</v>
      </c>
      <c r="H63" s="80" t="s">
        <v>841</v>
      </c>
      <c r="I63" s="80" t="s">
        <v>269</v>
      </c>
      <c r="J63" s="81"/>
      <c r="K63" s="82"/>
      <c r="L63" s="83"/>
      <c r="M63" s="84"/>
      <c r="N63" s="342" t="s">
        <v>995</v>
      </c>
      <c r="O63" s="344" t="s">
        <v>117</v>
      </c>
      <c r="P63" s="169" t="s">
        <v>701</v>
      </c>
    </row>
    <row r="64" spans="1:16">
      <c r="A64" s="76" t="s">
        <v>1332</v>
      </c>
      <c r="B64" s="76">
        <v>61</v>
      </c>
      <c r="C64" s="76" t="s">
        <v>1404</v>
      </c>
      <c r="D64" s="172" t="s">
        <v>1407</v>
      </c>
      <c r="E64" s="176">
        <v>11632</v>
      </c>
      <c r="F64" s="178" t="s">
        <v>995</v>
      </c>
      <c r="G64" s="181" t="s">
        <v>17</v>
      </c>
      <c r="H64" s="80" t="s">
        <v>841</v>
      </c>
      <c r="I64" s="80" t="s">
        <v>269</v>
      </c>
      <c r="J64" s="81"/>
      <c r="K64" s="82"/>
      <c r="L64" s="83"/>
      <c r="M64" s="84"/>
      <c r="N64" s="342" t="s">
        <v>995</v>
      </c>
      <c r="O64" s="344" t="s">
        <v>117</v>
      </c>
      <c r="P64" s="169" t="s">
        <v>701</v>
      </c>
    </row>
    <row r="65" spans="1:16">
      <c r="A65" s="76" t="s">
        <v>1332</v>
      </c>
      <c r="B65" s="76">
        <v>62</v>
      </c>
      <c r="C65" s="76" t="s">
        <v>1404</v>
      </c>
      <c r="D65" s="172" t="s">
        <v>1408</v>
      </c>
      <c r="E65" s="176">
        <v>3049</v>
      </c>
      <c r="F65" s="179">
        <v>43039</v>
      </c>
      <c r="G65" s="181" t="s">
        <v>17</v>
      </c>
      <c r="H65" s="80" t="s">
        <v>841</v>
      </c>
      <c r="I65" s="80" t="s">
        <v>269</v>
      </c>
      <c r="J65" s="81"/>
      <c r="K65" s="82"/>
      <c r="L65" s="83"/>
      <c r="M65" s="84"/>
      <c r="N65" s="342" t="s">
        <v>995</v>
      </c>
      <c r="O65" s="344" t="s">
        <v>117</v>
      </c>
      <c r="P65" s="169" t="s">
        <v>701</v>
      </c>
    </row>
    <row r="66" spans="1:16">
      <c r="A66" s="76" t="s">
        <v>1332</v>
      </c>
      <c r="B66" s="76">
        <v>63</v>
      </c>
      <c r="C66" s="76" t="s">
        <v>1404</v>
      </c>
      <c r="D66" s="172" t="s">
        <v>1405</v>
      </c>
      <c r="E66" s="176">
        <v>11558</v>
      </c>
      <c r="F66" s="179">
        <v>43434</v>
      </c>
      <c r="G66" s="181" t="s">
        <v>17</v>
      </c>
      <c r="H66" s="80" t="s">
        <v>841</v>
      </c>
      <c r="I66" s="80" t="s">
        <v>269</v>
      </c>
      <c r="J66" s="81"/>
      <c r="K66" s="82"/>
      <c r="L66" s="83"/>
      <c r="M66" s="84"/>
      <c r="N66" s="342" t="s">
        <v>995</v>
      </c>
      <c r="O66" s="344" t="s">
        <v>117</v>
      </c>
      <c r="P66" s="169" t="s">
        <v>1414</v>
      </c>
    </row>
    <row r="67" spans="1:16">
      <c r="A67" s="76" t="s">
        <v>1332</v>
      </c>
      <c r="B67" s="76">
        <v>64</v>
      </c>
      <c r="C67" s="76" t="s">
        <v>1404</v>
      </c>
      <c r="D67" s="172" t="s">
        <v>1407</v>
      </c>
      <c r="E67" s="176" t="s">
        <v>995</v>
      </c>
      <c r="F67" s="178" t="s">
        <v>995</v>
      </c>
      <c r="G67" s="181" t="s">
        <v>17</v>
      </c>
      <c r="H67" s="80" t="s">
        <v>841</v>
      </c>
      <c r="I67" s="80" t="s">
        <v>269</v>
      </c>
      <c r="J67" s="81"/>
      <c r="K67" s="82"/>
      <c r="L67" s="83"/>
      <c r="M67" s="84"/>
      <c r="N67" s="342" t="s">
        <v>995</v>
      </c>
      <c r="O67" s="344" t="s">
        <v>117</v>
      </c>
      <c r="P67" s="169" t="s">
        <v>1414</v>
      </c>
    </row>
    <row r="68" spans="1:16">
      <c r="A68" s="76" t="s">
        <v>1332</v>
      </c>
      <c r="B68" s="76">
        <v>65</v>
      </c>
      <c r="C68" s="76" t="s">
        <v>1404</v>
      </c>
      <c r="D68" s="172" t="s">
        <v>1408</v>
      </c>
      <c r="E68" s="176">
        <v>11615</v>
      </c>
      <c r="F68" s="179">
        <v>43220</v>
      </c>
      <c r="G68" s="181" t="s">
        <v>17</v>
      </c>
      <c r="H68" s="80" t="s">
        <v>841</v>
      </c>
      <c r="I68" s="80" t="s">
        <v>269</v>
      </c>
      <c r="J68" s="81"/>
      <c r="K68" s="82"/>
      <c r="L68" s="83"/>
      <c r="M68" s="84"/>
      <c r="N68" s="342" t="s">
        <v>995</v>
      </c>
      <c r="O68" s="344" t="s">
        <v>117</v>
      </c>
      <c r="P68" s="169" t="s">
        <v>1414</v>
      </c>
    </row>
    <row r="69" spans="1:16">
      <c r="A69" s="76" t="s">
        <v>1332</v>
      </c>
      <c r="B69" s="76">
        <v>66</v>
      </c>
      <c r="C69" s="76" t="s">
        <v>1404</v>
      </c>
      <c r="D69" s="172" t="s">
        <v>1405</v>
      </c>
      <c r="E69" s="176"/>
      <c r="F69" s="179"/>
      <c r="G69" s="181" t="s">
        <v>17</v>
      </c>
      <c r="H69" s="80" t="s">
        <v>841</v>
      </c>
      <c r="I69" s="80" t="s">
        <v>269</v>
      </c>
      <c r="J69" s="363"/>
      <c r="K69" s="82"/>
      <c r="L69" s="83"/>
      <c r="M69" s="84"/>
      <c r="N69" s="342" t="s">
        <v>995</v>
      </c>
      <c r="O69" s="344" t="s">
        <v>117</v>
      </c>
      <c r="P69" s="169" t="s">
        <v>1415</v>
      </c>
    </row>
    <row r="70" spans="1:16">
      <c r="A70" s="76" t="s">
        <v>1332</v>
      </c>
      <c r="B70" s="76">
        <v>67</v>
      </c>
      <c r="C70" s="76" t="s">
        <v>1404</v>
      </c>
      <c r="D70" s="172" t="s">
        <v>1416</v>
      </c>
      <c r="E70" s="176" t="s">
        <v>995</v>
      </c>
      <c r="F70" s="178" t="s">
        <v>995</v>
      </c>
      <c r="G70" s="181" t="s">
        <v>14</v>
      </c>
      <c r="H70" s="80" t="s">
        <v>841</v>
      </c>
      <c r="I70" s="80" t="s">
        <v>269</v>
      </c>
      <c r="J70" s="81"/>
      <c r="K70" s="82"/>
      <c r="L70" s="364" t="s">
        <v>117</v>
      </c>
      <c r="M70" s="84"/>
      <c r="N70" s="342" t="s">
        <v>995</v>
      </c>
      <c r="O70" s="344" t="s">
        <v>995</v>
      </c>
      <c r="P70" s="169" t="s">
        <v>676</v>
      </c>
    </row>
    <row r="71" spans="1:16">
      <c r="A71" s="76" t="s">
        <v>1332</v>
      </c>
      <c r="B71" s="76">
        <v>68</v>
      </c>
      <c r="C71" s="76" t="s">
        <v>1404</v>
      </c>
      <c r="D71" s="172" t="s">
        <v>1417</v>
      </c>
      <c r="E71" s="166" t="s">
        <v>995</v>
      </c>
      <c r="F71" s="179">
        <v>44347</v>
      </c>
      <c r="G71" s="181" t="s">
        <v>995</v>
      </c>
      <c r="H71" s="80" t="s">
        <v>841</v>
      </c>
      <c r="I71" s="80" t="s">
        <v>269</v>
      </c>
      <c r="J71" s="81"/>
      <c r="K71" s="82"/>
      <c r="L71" s="83"/>
      <c r="M71" s="84"/>
      <c r="N71" s="342" t="s">
        <v>995</v>
      </c>
      <c r="O71" s="344" t="s">
        <v>117</v>
      </c>
      <c r="P71" s="169" t="s">
        <v>995</v>
      </c>
    </row>
    <row r="72" spans="1:16">
      <c r="A72" s="76" t="s">
        <v>1332</v>
      </c>
      <c r="B72" s="76">
        <v>69</v>
      </c>
      <c r="C72" s="76" t="s">
        <v>1404</v>
      </c>
      <c r="D72" s="172" t="s">
        <v>1410</v>
      </c>
      <c r="E72" s="176">
        <v>10237</v>
      </c>
      <c r="F72" s="179">
        <v>35369</v>
      </c>
      <c r="G72" s="181" t="s">
        <v>47</v>
      </c>
      <c r="H72" s="80" t="s">
        <v>841</v>
      </c>
      <c r="I72" s="80" t="s">
        <v>269</v>
      </c>
      <c r="J72" s="363"/>
      <c r="K72" s="82" t="s">
        <v>15</v>
      </c>
      <c r="L72" s="83"/>
      <c r="M72" s="84"/>
      <c r="N72" s="342" t="s">
        <v>995</v>
      </c>
      <c r="O72" s="344" t="s">
        <v>995</v>
      </c>
      <c r="P72" s="169" t="s">
        <v>676</v>
      </c>
    </row>
    <row r="73" spans="1:16">
      <c r="A73" s="76" t="s">
        <v>1332</v>
      </c>
      <c r="B73" s="76">
        <v>70</v>
      </c>
      <c r="C73" s="76" t="s">
        <v>1404</v>
      </c>
      <c r="D73" s="172" t="s">
        <v>1405</v>
      </c>
      <c r="E73" s="532">
        <v>3051</v>
      </c>
      <c r="F73" s="533">
        <v>43799</v>
      </c>
      <c r="G73" s="181" t="s">
        <v>17</v>
      </c>
      <c r="H73" s="80" t="s">
        <v>841</v>
      </c>
      <c r="I73" s="80" t="s">
        <v>269</v>
      </c>
      <c r="J73" s="81"/>
      <c r="K73" s="82"/>
      <c r="L73" s="83"/>
      <c r="M73" s="84"/>
      <c r="N73" s="342" t="s">
        <v>995</v>
      </c>
      <c r="O73" s="344" t="s">
        <v>117</v>
      </c>
      <c r="P73" s="169" t="s">
        <v>1418</v>
      </c>
    </row>
    <row r="74" spans="1:16">
      <c r="A74" s="76" t="s">
        <v>1332</v>
      </c>
      <c r="B74" s="76">
        <v>71</v>
      </c>
      <c r="C74" s="76" t="s">
        <v>1404</v>
      </c>
      <c r="D74" s="172" t="s">
        <v>1419</v>
      </c>
      <c r="E74" s="532"/>
      <c r="F74" s="534"/>
      <c r="G74" s="181" t="s">
        <v>17</v>
      </c>
      <c r="H74" s="80" t="s">
        <v>841</v>
      </c>
      <c r="I74" s="80" t="s">
        <v>269</v>
      </c>
      <c r="J74" s="81"/>
      <c r="K74" s="82"/>
      <c r="L74" s="83"/>
      <c r="M74" s="84"/>
      <c r="N74" s="342" t="s">
        <v>995</v>
      </c>
      <c r="O74" s="344" t="s">
        <v>117</v>
      </c>
      <c r="P74" s="169" t="s">
        <v>1418</v>
      </c>
    </row>
    <row r="75" spans="1:16">
      <c r="A75" s="76" t="s">
        <v>1332</v>
      </c>
      <c r="B75" s="76">
        <v>72</v>
      </c>
      <c r="C75" s="76" t="s">
        <v>1404</v>
      </c>
      <c r="D75" s="172" t="s">
        <v>1408</v>
      </c>
      <c r="E75" s="535"/>
      <c r="F75" s="536"/>
      <c r="G75" s="181" t="s">
        <v>17</v>
      </c>
      <c r="H75" s="80" t="s">
        <v>841</v>
      </c>
      <c r="I75" s="80" t="s">
        <v>269</v>
      </c>
      <c r="J75" s="81"/>
      <c r="K75" s="82"/>
      <c r="L75" s="83"/>
      <c r="M75" s="84"/>
      <c r="N75" s="342" t="s">
        <v>995</v>
      </c>
      <c r="O75" s="344" t="s">
        <v>995</v>
      </c>
      <c r="P75" s="169" t="s">
        <v>1418</v>
      </c>
    </row>
    <row r="76" spans="1:16">
      <c r="A76" s="76" t="s">
        <v>1332</v>
      </c>
      <c r="B76" s="76">
        <v>73</v>
      </c>
      <c r="C76" s="76" t="s">
        <v>1404</v>
      </c>
      <c r="D76" s="172" t="s">
        <v>1420</v>
      </c>
      <c r="E76" s="176" t="s">
        <v>995</v>
      </c>
      <c r="F76" s="178" t="s">
        <v>995</v>
      </c>
      <c r="G76" s="181" t="s">
        <v>17</v>
      </c>
      <c r="H76" s="80" t="s">
        <v>841</v>
      </c>
      <c r="I76" s="80" t="s">
        <v>269</v>
      </c>
      <c r="J76" s="81"/>
      <c r="K76" s="82"/>
      <c r="L76" s="83"/>
      <c r="M76" s="84"/>
      <c r="N76" s="342" t="s">
        <v>995</v>
      </c>
      <c r="O76" s="344" t="s">
        <v>117</v>
      </c>
      <c r="P76" s="169" t="s">
        <v>995</v>
      </c>
    </row>
    <row r="77" spans="1:16">
      <c r="A77" s="76" t="s">
        <v>1332</v>
      </c>
      <c r="B77" s="76">
        <v>74</v>
      </c>
      <c r="C77" s="76" t="s">
        <v>1404</v>
      </c>
      <c r="D77" s="172" t="s">
        <v>1421</v>
      </c>
      <c r="E77" s="176" t="s">
        <v>995</v>
      </c>
      <c r="F77" s="178" t="s">
        <v>995</v>
      </c>
      <c r="G77" s="181" t="s">
        <v>17</v>
      </c>
      <c r="H77" s="80" t="s">
        <v>841</v>
      </c>
      <c r="I77" s="80" t="s">
        <v>269</v>
      </c>
      <c r="J77" s="81"/>
      <c r="K77" s="82"/>
      <c r="L77" s="83"/>
      <c r="M77" s="84"/>
      <c r="N77" s="342" t="s">
        <v>995</v>
      </c>
      <c r="O77" s="344" t="s">
        <v>117</v>
      </c>
      <c r="P77" s="169" t="s">
        <v>995</v>
      </c>
    </row>
    <row r="78" spans="1:16">
      <c r="A78" s="76" t="s">
        <v>1332</v>
      </c>
      <c r="B78" s="76">
        <v>75</v>
      </c>
      <c r="C78" s="76" t="s">
        <v>1404</v>
      </c>
      <c r="D78" s="172" t="s">
        <v>1422</v>
      </c>
      <c r="E78" s="176">
        <v>11306</v>
      </c>
      <c r="F78" s="179">
        <v>40086</v>
      </c>
      <c r="G78" s="181" t="s">
        <v>14</v>
      </c>
      <c r="H78" s="80" t="s">
        <v>841</v>
      </c>
      <c r="I78" s="80" t="s">
        <v>269</v>
      </c>
      <c r="J78" s="81" t="s">
        <v>15</v>
      </c>
      <c r="K78" s="348"/>
      <c r="L78" s="83"/>
      <c r="M78" s="84"/>
      <c r="N78" s="342" t="s">
        <v>995</v>
      </c>
      <c r="O78" s="344" t="s">
        <v>995</v>
      </c>
      <c r="P78" s="169" t="s">
        <v>1423</v>
      </c>
    </row>
    <row r="79" spans="1:16">
      <c r="A79" s="76" t="s">
        <v>1332</v>
      </c>
      <c r="B79" s="76">
        <v>76</v>
      </c>
      <c r="C79" s="76" t="s">
        <v>1404</v>
      </c>
      <c r="D79" s="172" t="s">
        <v>1424</v>
      </c>
      <c r="E79" s="176" t="s">
        <v>995</v>
      </c>
      <c r="F79" s="178" t="s">
        <v>995</v>
      </c>
      <c r="G79" s="181" t="s">
        <v>17</v>
      </c>
      <c r="H79" s="80" t="s">
        <v>841</v>
      </c>
      <c r="I79" s="80" t="s">
        <v>269</v>
      </c>
      <c r="J79" s="81"/>
      <c r="K79" s="82"/>
      <c r="L79" s="83"/>
      <c r="M79" s="84"/>
      <c r="N79" s="342" t="s">
        <v>995</v>
      </c>
      <c r="O79" s="344" t="s">
        <v>117</v>
      </c>
      <c r="P79" s="169" t="s">
        <v>1425</v>
      </c>
    </row>
    <row r="80" spans="1:16">
      <c r="A80" s="76" t="s">
        <v>1332</v>
      </c>
      <c r="B80" s="76">
        <v>77</v>
      </c>
      <c r="C80" s="76" t="s">
        <v>1404</v>
      </c>
      <c r="D80" s="172" t="s">
        <v>1338</v>
      </c>
      <c r="E80" s="176" t="s">
        <v>995</v>
      </c>
      <c r="F80" s="178" t="s">
        <v>995</v>
      </c>
      <c r="G80" s="181" t="s">
        <v>14</v>
      </c>
      <c r="H80" s="80" t="s">
        <v>841</v>
      </c>
      <c r="I80" s="80" t="s">
        <v>269</v>
      </c>
      <c r="J80" s="81" t="s">
        <v>15</v>
      </c>
      <c r="K80" s="348"/>
      <c r="L80" s="83"/>
      <c r="M80" s="84"/>
      <c r="N80" s="342" t="s">
        <v>995</v>
      </c>
      <c r="O80" s="344" t="s">
        <v>995</v>
      </c>
      <c r="P80" s="169" t="s">
        <v>1426</v>
      </c>
    </row>
    <row r="81" spans="1:16">
      <c r="A81" s="76" t="s">
        <v>1332</v>
      </c>
      <c r="B81" s="76">
        <v>78</v>
      </c>
      <c r="C81" s="76" t="s">
        <v>1404</v>
      </c>
      <c r="D81" s="172" t="s">
        <v>1427</v>
      </c>
      <c r="E81" s="176">
        <v>4085</v>
      </c>
      <c r="F81" s="179">
        <v>30740</v>
      </c>
      <c r="G81" s="181" t="s">
        <v>14</v>
      </c>
      <c r="H81" s="80" t="s">
        <v>841</v>
      </c>
      <c r="I81" s="80" t="s">
        <v>269</v>
      </c>
      <c r="J81" s="81"/>
      <c r="K81" s="82"/>
      <c r="L81" s="83"/>
      <c r="M81" s="365" t="s">
        <v>15</v>
      </c>
      <c r="N81" s="342" t="s">
        <v>995</v>
      </c>
      <c r="O81" s="344" t="s">
        <v>995</v>
      </c>
      <c r="P81" s="169" t="s">
        <v>995</v>
      </c>
    </row>
    <row r="82" spans="1:16">
      <c r="A82" s="76" t="s">
        <v>1332</v>
      </c>
      <c r="B82" s="76">
        <v>79</v>
      </c>
      <c r="C82" s="76" t="s">
        <v>1404</v>
      </c>
      <c r="D82" s="172" t="s">
        <v>1428</v>
      </c>
      <c r="E82" s="176">
        <v>11561</v>
      </c>
      <c r="F82" s="179">
        <v>43343</v>
      </c>
      <c r="G82" s="181" t="s">
        <v>17</v>
      </c>
      <c r="H82" s="80" t="s">
        <v>841</v>
      </c>
      <c r="I82" s="80" t="s">
        <v>269</v>
      </c>
      <c r="J82" s="81"/>
      <c r="K82" s="82"/>
      <c r="L82" s="83"/>
      <c r="M82" s="84"/>
      <c r="N82" s="342" t="s">
        <v>995</v>
      </c>
      <c r="O82" s="344" t="s">
        <v>117</v>
      </c>
      <c r="P82" s="169" t="s">
        <v>995</v>
      </c>
    </row>
    <row r="83" spans="1:16">
      <c r="A83" s="76" t="s">
        <v>1332</v>
      </c>
      <c r="B83" s="76">
        <v>80</v>
      </c>
      <c r="C83" s="76" t="s">
        <v>1404</v>
      </c>
      <c r="D83" s="172" t="s">
        <v>1429</v>
      </c>
      <c r="E83" s="176">
        <v>3335</v>
      </c>
      <c r="F83" s="179">
        <v>30677</v>
      </c>
      <c r="G83" s="181" t="s">
        <v>14</v>
      </c>
      <c r="H83" s="80" t="s">
        <v>841</v>
      </c>
      <c r="I83" s="80" t="s">
        <v>269</v>
      </c>
      <c r="J83" s="81"/>
      <c r="K83" s="82"/>
      <c r="L83" s="364" t="s">
        <v>117</v>
      </c>
      <c r="M83" s="84"/>
      <c r="N83" s="342" t="s">
        <v>995</v>
      </c>
      <c r="O83" s="344" t="s">
        <v>995</v>
      </c>
      <c r="P83" s="169" t="s">
        <v>995</v>
      </c>
    </row>
    <row r="84" spans="1:16">
      <c r="A84" s="76" t="s">
        <v>1332</v>
      </c>
      <c r="B84" s="76">
        <v>81</v>
      </c>
      <c r="C84" s="76" t="s">
        <v>1404</v>
      </c>
      <c r="D84" s="174" t="s">
        <v>1430</v>
      </c>
      <c r="E84" s="176">
        <v>1388</v>
      </c>
      <c r="F84" s="179">
        <v>28459</v>
      </c>
      <c r="G84" s="181" t="s">
        <v>14</v>
      </c>
      <c r="H84" s="80" t="s">
        <v>841</v>
      </c>
      <c r="I84" s="80" t="s">
        <v>269</v>
      </c>
      <c r="J84" s="81"/>
      <c r="K84" s="82"/>
      <c r="L84" s="83"/>
      <c r="M84" s="84"/>
      <c r="N84" s="342" t="s">
        <v>995</v>
      </c>
      <c r="O84" s="344" t="s">
        <v>117</v>
      </c>
      <c r="P84" s="169" t="s">
        <v>995</v>
      </c>
    </row>
    <row r="85" spans="1:16">
      <c r="A85" s="76" t="s">
        <v>1332</v>
      </c>
      <c r="B85" s="76">
        <v>82</v>
      </c>
      <c r="C85" s="76" t="s">
        <v>1404</v>
      </c>
      <c r="D85" s="174" t="s">
        <v>1427</v>
      </c>
      <c r="E85" s="176">
        <v>4085</v>
      </c>
      <c r="F85" s="179">
        <v>30740</v>
      </c>
      <c r="G85" s="181" t="s">
        <v>14</v>
      </c>
      <c r="H85" s="80" t="s">
        <v>841</v>
      </c>
      <c r="I85" s="80" t="s">
        <v>269</v>
      </c>
      <c r="J85" s="81"/>
      <c r="K85" s="82"/>
      <c r="L85" s="83"/>
      <c r="M85" s="84"/>
      <c r="N85" s="342" t="s">
        <v>995</v>
      </c>
      <c r="O85" s="344" t="s">
        <v>117</v>
      </c>
      <c r="P85" s="169" t="s">
        <v>995</v>
      </c>
    </row>
    <row r="86" spans="1:16">
      <c r="A86" s="76" t="s">
        <v>1332</v>
      </c>
      <c r="B86" s="76">
        <v>83</v>
      </c>
      <c r="C86" s="76" t="s">
        <v>1404</v>
      </c>
      <c r="D86" s="174" t="s">
        <v>1431</v>
      </c>
      <c r="E86" s="176">
        <v>22453</v>
      </c>
      <c r="F86" s="179">
        <v>36160</v>
      </c>
      <c r="G86" s="181" t="s">
        <v>14</v>
      </c>
      <c r="H86" s="80" t="s">
        <v>841</v>
      </c>
      <c r="I86" s="80" t="s">
        <v>269</v>
      </c>
      <c r="J86" s="81"/>
      <c r="K86" s="82"/>
      <c r="L86" s="83"/>
      <c r="M86" s="84"/>
      <c r="N86" s="342" t="s">
        <v>995</v>
      </c>
      <c r="O86" s="344" t="s">
        <v>117</v>
      </c>
      <c r="P86" s="169" t="s">
        <v>995</v>
      </c>
    </row>
    <row r="87" spans="1:16">
      <c r="A87" s="76" t="s">
        <v>1332</v>
      </c>
      <c r="B87" s="76">
        <v>84</v>
      </c>
      <c r="C87" s="76" t="s">
        <v>1404</v>
      </c>
      <c r="D87" s="174" t="s">
        <v>1432</v>
      </c>
      <c r="E87" s="176" t="s">
        <v>995</v>
      </c>
      <c r="F87" s="179">
        <v>41182</v>
      </c>
      <c r="G87" s="181" t="s">
        <v>14</v>
      </c>
      <c r="H87" s="80" t="s">
        <v>841</v>
      </c>
      <c r="I87" s="80" t="s">
        <v>269</v>
      </c>
      <c r="J87" s="81"/>
      <c r="K87" s="82"/>
      <c r="L87" s="83"/>
      <c r="M87" s="84"/>
      <c r="N87" s="342" t="s">
        <v>995</v>
      </c>
      <c r="O87" s="344" t="s">
        <v>117</v>
      </c>
      <c r="P87" s="169" t="s">
        <v>995</v>
      </c>
    </row>
    <row r="88" spans="1:16">
      <c r="A88" s="76" t="s">
        <v>1332</v>
      </c>
      <c r="B88" s="76">
        <v>85</v>
      </c>
      <c r="C88" s="76" t="s">
        <v>1404</v>
      </c>
      <c r="D88" s="172" t="s">
        <v>1384</v>
      </c>
      <c r="E88" s="176">
        <v>11532</v>
      </c>
      <c r="F88" s="179">
        <v>42886</v>
      </c>
      <c r="G88" s="181" t="s">
        <v>14</v>
      </c>
      <c r="H88" s="80" t="s">
        <v>841</v>
      </c>
      <c r="I88" s="80" t="s">
        <v>269</v>
      </c>
      <c r="J88" s="81"/>
      <c r="K88" s="82"/>
      <c r="L88" s="83"/>
      <c r="M88" s="84"/>
      <c r="N88" s="342" t="s">
        <v>117</v>
      </c>
      <c r="O88" s="344" t="s">
        <v>995</v>
      </c>
      <c r="P88" s="169" t="s">
        <v>995</v>
      </c>
    </row>
    <row r="89" spans="1:16" s="315" customFormat="1" ht="15.75" thickBot="1">
      <c r="A89" s="304" t="s">
        <v>1332</v>
      </c>
      <c r="B89" s="304">
        <v>86</v>
      </c>
      <c r="C89" s="304" t="s">
        <v>1404</v>
      </c>
      <c r="D89" s="370" t="s">
        <v>1433</v>
      </c>
      <c r="E89" s="306">
        <v>11625</v>
      </c>
      <c r="F89" s="307">
        <v>43312</v>
      </c>
      <c r="G89" s="308" t="s">
        <v>17</v>
      </c>
      <c r="H89" s="309" t="s">
        <v>841</v>
      </c>
      <c r="I89" s="309" t="s">
        <v>269</v>
      </c>
      <c r="J89" s="310"/>
      <c r="K89" s="311"/>
      <c r="L89" s="312"/>
      <c r="M89" s="313"/>
      <c r="N89" s="371" t="s">
        <v>995</v>
      </c>
      <c r="O89" s="372" t="s">
        <v>117</v>
      </c>
      <c r="P89" s="373" t="s">
        <v>995</v>
      </c>
    </row>
    <row r="90" spans="1:16">
      <c r="A90" s="76" t="s">
        <v>1332</v>
      </c>
      <c r="B90" s="76">
        <v>87</v>
      </c>
      <c r="C90" s="76" t="s">
        <v>1434</v>
      </c>
      <c r="D90" s="193" t="s">
        <v>1435</v>
      </c>
      <c r="E90" s="175">
        <v>8973</v>
      </c>
      <c r="F90" s="177">
        <v>33602</v>
      </c>
      <c r="G90" s="180" t="s">
        <v>19</v>
      </c>
      <c r="H90" s="80" t="s">
        <v>841</v>
      </c>
      <c r="I90" s="80" t="s">
        <v>269</v>
      </c>
      <c r="J90" s="81"/>
      <c r="K90" s="82"/>
      <c r="L90" s="83"/>
      <c r="M90" s="84"/>
      <c r="N90" s="85"/>
      <c r="O90" s="343" t="s">
        <v>117</v>
      </c>
      <c r="P90" s="47"/>
    </row>
    <row r="91" spans="1:16">
      <c r="A91" s="76" t="s">
        <v>1332</v>
      </c>
      <c r="B91" s="76">
        <v>88</v>
      </c>
      <c r="C91" s="76" t="s">
        <v>1434</v>
      </c>
      <c r="D91" s="193" t="s">
        <v>1436</v>
      </c>
      <c r="E91" s="176">
        <v>2149</v>
      </c>
      <c r="F91" s="179">
        <v>28894</v>
      </c>
      <c r="G91" s="181" t="s">
        <v>19</v>
      </c>
      <c r="H91" s="80" t="s">
        <v>841</v>
      </c>
      <c r="I91" s="80" t="s">
        <v>269</v>
      </c>
      <c r="J91" s="81"/>
      <c r="K91" s="82"/>
      <c r="L91" s="83"/>
      <c r="M91" s="84"/>
      <c r="N91" s="85"/>
      <c r="O91" s="343" t="s">
        <v>117</v>
      </c>
      <c r="P91" s="47"/>
    </row>
    <row r="92" spans="1:16">
      <c r="A92" s="76" t="s">
        <v>1332</v>
      </c>
      <c r="B92" s="76">
        <v>89</v>
      </c>
      <c r="C92" s="76" t="s">
        <v>1434</v>
      </c>
      <c r="D92" s="193" t="s">
        <v>1436</v>
      </c>
      <c r="E92" s="176">
        <v>2150</v>
      </c>
      <c r="F92" s="179">
        <v>28894</v>
      </c>
      <c r="G92" s="181" t="s">
        <v>19</v>
      </c>
      <c r="H92" s="80" t="s">
        <v>841</v>
      </c>
      <c r="I92" s="80" t="s">
        <v>269</v>
      </c>
      <c r="J92" s="81"/>
      <c r="K92" s="82"/>
      <c r="L92" s="83"/>
      <c r="M92" s="84"/>
      <c r="N92" s="85"/>
      <c r="O92" s="343" t="s">
        <v>117</v>
      </c>
      <c r="P92" s="47"/>
    </row>
    <row r="93" spans="1:16">
      <c r="A93" s="76" t="s">
        <v>1332</v>
      </c>
      <c r="B93" s="76">
        <v>90</v>
      </c>
      <c r="C93" s="76" t="s">
        <v>1434</v>
      </c>
      <c r="D93" s="193" t="s">
        <v>1436</v>
      </c>
      <c r="E93" s="176">
        <v>2151</v>
      </c>
      <c r="F93" s="179">
        <v>28894</v>
      </c>
      <c r="G93" s="181" t="s">
        <v>19</v>
      </c>
      <c r="H93" s="80" t="s">
        <v>841</v>
      </c>
      <c r="I93" s="80" t="s">
        <v>269</v>
      </c>
      <c r="J93" s="81"/>
      <c r="K93" s="82"/>
      <c r="L93" s="83"/>
      <c r="M93" s="84"/>
      <c r="N93" s="85"/>
      <c r="O93" s="343" t="s">
        <v>117</v>
      </c>
      <c r="P93" s="47"/>
    </row>
    <row r="94" spans="1:16">
      <c r="A94" s="76" t="s">
        <v>1332</v>
      </c>
      <c r="B94" s="76">
        <v>91</v>
      </c>
      <c r="C94" s="76" t="s">
        <v>1434</v>
      </c>
      <c r="D94" s="193" t="s">
        <v>1437</v>
      </c>
      <c r="E94" s="176">
        <v>5899</v>
      </c>
      <c r="F94" s="179">
        <v>31471</v>
      </c>
      <c r="G94" s="181" t="s">
        <v>19</v>
      </c>
      <c r="H94" s="80" t="s">
        <v>841</v>
      </c>
      <c r="I94" s="80" t="s">
        <v>269</v>
      </c>
      <c r="J94" s="81"/>
      <c r="K94" s="82"/>
      <c r="L94" s="83"/>
      <c r="M94" s="84"/>
      <c r="N94" s="85"/>
      <c r="O94" s="343" t="s">
        <v>117</v>
      </c>
      <c r="P94" s="47"/>
    </row>
    <row r="95" spans="1:16">
      <c r="A95" s="76" t="s">
        <v>1332</v>
      </c>
      <c r="B95" s="76">
        <v>92</v>
      </c>
      <c r="C95" s="76" t="s">
        <v>1434</v>
      </c>
      <c r="D95" s="193" t="s">
        <v>1438</v>
      </c>
      <c r="E95" s="176">
        <v>10248</v>
      </c>
      <c r="F95" s="179">
        <v>35580</v>
      </c>
      <c r="G95" s="181" t="s">
        <v>47</v>
      </c>
      <c r="H95" s="80" t="s">
        <v>841</v>
      </c>
      <c r="I95" s="80" t="s">
        <v>269</v>
      </c>
      <c r="J95" s="81"/>
      <c r="K95" s="348" t="s">
        <v>117</v>
      </c>
      <c r="L95" s="83"/>
      <c r="M95" s="84"/>
      <c r="N95" s="85"/>
      <c r="O95" s="86"/>
      <c r="P95" s="47"/>
    </row>
    <row r="96" spans="1:16">
      <c r="A96" s="76" t="s">
        <v>1332</v>
      </c>
      <c r="B96" s="76">
        <v>93</v>
      </c>
      <c r="C96" s="76" t="s">
        <v>1434</v>
      </c>
      <c r="D96" s="193" t="s">
        <v>1439</v>
      </c>
      <c r="E96" s="176">
        <v>10255</v>
      </c>
      <c r="F96" s="179">
        <v>35885</v>
      </c>
      <c r="G96" s="181" t="s">
        <v>19</v>
      </c>
      <c r="H96" s="80" t="s">
        <v>841</v>
      </c>
      <c r="I96" s="80" t="s">
        <v>269</v>
      </c>
      <c r="J96" s="81"/>
      <c r="K96" s="82"/>
      <c r="L96" s="83"/>
      <c r="M96" s="84"/>
      <c r="N96" s="85"/>
      <c r="O96" s="343" t="s">
        <v>117</v>
      </c>
      <c r="P96" s="47"/>
    </row>
    <row r="97" spans="1:16">
      <c r="A97" s="76" t="s">
        <v>1332</v>
      </c>
      <c r="B97" s="76">
        <v>94</v>
      </c>
      <c r="C97" s="76" t="s">
        <v>1434</v>
      </c>
      <c r="D97" s="193" t="s">
        <v>1440</v>
      </c>
      <c r="E97" s="176">
        <v>22458</v>
      </c>
      <c r="F97" s="179">
        <v>36099</v>
      </c>
      <c r="G97" s="181" t="s">
        <v>19</v>
      </c>
      <c r="H97" s="80" t="s">
        <v>841</v>
      </c>
      <c r="I97" s="80" t="s">
        <v>269</v>
      </c>
      <c r="J97" s="81"/>
      <c r="K97" s="82"/>
      <c r="L97" s="83"/>
      <c r="M97" s="84"/>
      <c r="N97" s="85"/>
      <c r="O97" s="343" t="s">
        <v>117</v>
      </c>
      <c r="P97" s="47"/>
    </row>
    <row r="98" spans="1:16">
      <c r="A98" s="76" t="s">
        <v>1332</v>
      </c>
      <c r="B98" s="76">
        <v>95</v>
      </c>
      <c r="C98" s="76" t="s">
        <v>1434</v>
      </c>
      <c r="D98" s="193" t="s">
        <v>1441</v>
      </c>
      <c r="E98" s="176">
        <v>10580</v>
      </c>
      <c r="F98" s="179">
        <v>36160</v>
      </c>
      <c r="G98" s="181" t="s">
        <v>19</v>
      </c>
      <c r="H98" s="80" t="s">
        <v>841</v>
      </c>
      <c r="I98" s="80" t="s">
        <v>269</v>
      </c>
      <c r="J98" s="81"/>
      <c r="K98" s="82"/>
      <c r="L98" s="83"/>
      <c r="M98" s="84"/>
      <c r="N98" s="85"/>
      <c r="O98" s="343" t="s">
        <v>117</v>
      </c>
      <c r="P98" s="47"/>
    </row>
    <row r="99" spans="1:16">
      <c r="A99" s="76" t="s">
        <v>1332</v>
      </c>
      <c r="B99" s="76">
        <v>96</v>
      </c>
      <c r="C99" s="76" t="s">
        <v>1434</v>
      </c>
      <c r="D99" s="193" t="s">
        <v>1442</v>
      </c>
      <c r="E99" s="176">
        <v>10790</v>
      </c>
      <c r="F99" s="179">
        <v>38138</v>
      </c>
      <c r="G99" s="181" t="s">
        <v>19</v>
      </c>
      <c r="H99" s="80" t="s">
        <v>841</v>
      </c>
      <c r="I99" s="80" t="s">
        <v>269</v>
      </c>
      <c r="J99" s="81"/>
      <c r="K99" s="82"/>
      <c r="L99" s="83"/>
      <c r="M99" s="84"/>
      <c r="N99" s="85"/>
      <c r="O99" s="343" t="s">
        <v>117</v>
      </c>
      <c r="P99" s="47"/>
    </row>
    <row r="100" spans="1:16">
      <c r="A100" s="76" t="s">
        <v>1332</v>
      </c>
      <c r="B100" s="76">
        <v>97</v>
      </c>
      <c r="C100" s="76" t="s">
        <v>1434</v>
      </c>
      <c r="D100" s="193" t="s">
        <v>1443</v>
      </c>
      <c r="E100" s="176">
        <v>10860</v>
      </c>
      <c r="F100" s="179">
        <v>38868</v>
      </c>
      <c r="G100" s="181" t="s">
        <v>19</v>
      </c>
      <c r="H100" s="80" t="s">
        <v>841</v>
      </c>
      <c r="I100" s="80" t="s">
        <v>269</v>
      </c>
      <c r="J100" s="81"/>
      <c r="K100" s="82"/>
      <c r="L100" s="83"/>
      <c r="M100" s="84"/>
      <c r="N100" s="85"/>
      <c r="O100" s="343" t="s">
        <v>117</v>
      </c>
      <c r="P100" s="47"/>
    </row>
    <row r="101" spans="1:16">
      <c r="A101" s="76" t="s">
        <v>1332</v>
      </c>
      <c r="B101" s="76">
        <v>98</v>
      </c>
      <c r="C101" s="76" t="s">
        <v>1434</v>
      </c>
      <c r="D101" s="193" t="s">
        <v>1444</v>
      </c>
      <c r="E101" s="176">
        <v>11258</v>
      </c>
      <c r="F101" s="179">
        <v>39021</v>
      </c>
      <c r="G101" s="181" t="s">
        <v>19</v>
      </c>
      <c r="H101" s="80" t="s">
        <v>841</v>
      </c>
      <c r="I101" s="80" t="s">
        <v>269</v>
      </c>
      <c r="J101" s="81"/>
      <c r="K101" s="82"/>
      <c r="L101" s="83"/>
      <c r="M101" s="84"/>
      <c r="N101" s="85"/>
      <c r="O101" s="343" t="s">
        <v>117</v>
      </c>
      <c r="P101" s="47"/>
    </row>
    <row r="102" spans="1:16">
      <c r="A102" s="76" t="s">
        <v>1332</v>
      </c>
      <c r="B102" s="76">
        <v>99</v>
      </c>
      <c r="C102" s="76" t="s">
        <v>1434</v>
      </c>
      <c r="D102" s="193" t="s">
        <v>1445</v>
      </c>
      <c r="E102" s="176">
        <v>11321</v>
      </c>
      <c r="F102" s="179">
        <v>40178</v>
      </c>
      <c r="G102" s="181" t="s">
        <v>19</v>
      </c>
      <c r="H102" s="80" t="s">
        <v>841</v>
      </c>
      <c r="I102" s="80" t="s">
        <v>269</v>
      </c>
      <c r="J102" s="81"/>
      <c r="K102" s="82"/>
      <c r="L102" s="83"/>
      <c r="M102" s="84"/>
      <c r="N102" s="85"/>
      <c r="O102" s="343" t="s">
        <v>117</v>
      </c>
      <c r="P102" s="47"/>
    </row>
    <row r="103" spans="1:16">
      <c r="A103" s="76" t="s">
        <v>1332</v>
      </c>
      <c r="B103" s="76">
        <v>100</v>
      </c>
      <c r="C103" s="76" t="s">
        <v>1434</v>
      </c>
      <c r="D103" s="193" t="s">
        <v>1446</v>
      </c>
      <c r="E103" s="176" t="s">
        <v>995</v>
      </c>
      <c r="F103" s="179">
        <v>32719</v>
      </c>
      <c r="G103" s="181" t="s">
        <v>19</v>
      </c>
      <c r="H103" s="80" t="s">
        <v>841</v>
      </c>
      <c r="I103" s="80" t="s">
        <v>269</v>
      </c>
      <c r="J103" s="81"/>
      <c r="K103" s="82"/>
      <c r="L103" s="83"/>
      <c r="M103" s="84"/>
      <c r="N103" s="85"/>
      <c r="O103" s="343" t="s">
        <v>117</v>
      </c>
      <c r="P103" s="47"/>
    </row>
    <row r="104" spans="1:16">
      <c r="A104" s="76" t="s">
        <v>1332</v>
      </c>
      <c r="B104" s="76">
        <v>101</v>
      </c>
      <c r="C104" s="76" t="s">
        <v>1434</v>
      </c>
      <c r="D104" s="193" t="s">
        <v>1447</v>
      </c>
      <c r="E104" s="176">
        <v>11338</v>
      </c>
      <c r="F104" s="179">
        <v>40543</v>
      </c>
      <c r="G104" s="181" t="s">
        <v>19</v>
      </c>
      <c r="H104" s="80" t="s">
        <v>841</v>
      </c>
      <c r="I104" s="80" t="s">
        <v>269</v>
      </c>
      <c r="J104" s="81"/>
      <c r="K104" s="82"/>
      <c r="L104" s="83"/>
      <c r="M104" s="84"/>
      <c r="N104" s="85"/>
      <c r="O104" s="343" t="s">
        <v>117</v>
      </c>
      <c r="P104" s="47"/>
    </row>
    <row r="105" spans="1:16">
      <c r="A105" s="76" t="s">
        <v>1332</v>
      </c>
      <c r="B105" s="76">
        <v>102</v>
      </c>
      <c r="C105" s="76" t="s">
        <v>1434</v>
      </c>
      <c r="D105" s="193" t="s">
        <v>1448</v>
      </c>
      <c r="E105" s="176">
        <v>11374</v>
      </c>
      <c r="F105" s="179">
        <v>41455</v>
      </c>
      <c r="G105" s="181" t="s">
        <v>19</v>
      </c>
      <c r="H105" s="80" t="s">
        <v>841</v>
      </c>
      <c r="I105" s="80" t="s">
        <v>269</v>
      </c>
      <c r="J105" s="81"/>
      <c r="K105" s="82"/>
      <c r="L105" s="83"/>
      <c r="M105" s="84"/>
      <c r="N105" s="85"/>
      <c r="O105" s="343" t="s">
        <v>117</v>
      </c>
      <c r="P105" s="47"/>
    </row>
    <row r="106" spans="1:16">
      <c r="A106" s="76" t="s">
        <v>1332</v>
      </c>
      <c r="B106" s="76">
        <v>103</v>
      </c>
      <c r="C106" s="76" t="s">
        <v>1434</v>
      </c>
      <c r="D106" s="174" t="s">
        <v>1449</v>
      </c>
      <c r="E106" s="176">
        <v>11372</v>
      </c>
      <c r="F106" s="179">
        <v>41577</v>
      </c>
      <c r="G106" s="181" t="s">
        <v>19</v>
      </c>
      <c r="H106" s="80" t="s">
        <v>841</v>
      </c>
      <c r="I106" s="80" t="s">
        <v>269</v>
      </c>
      <c r="J106" s="81"/>
      <c r="K106" s="82"/>
      <c r="L106" s="83"/>
      <c r="M106" s="84"/>
      <c r="N106" s="85"/>
      <c r="O106" s="343" t="s">
        <v>117</v>
      </c>
      <c r="P106" s="47"/>
    </row>
    <row r="107" spans="1:16">
      <c r="A107" s="76" t="s">
        <v>1332</v>
      </c>
      <c r="B107" s="76">
        <v>104</v>
      </c>
      <c r="C107" s="76" t="s">
        <v>1434</v>
      </c>
      <c r="D107" s="174" t="s">
        <v>1450</v>
      </c>
      <c r="E107" s="176">
        <v>7702</v>
      </c>
      <c r="F107" s="179">
        <v>41547</v>
      </c>
      <c r="G107" s="181" t="s">
        <v>47</v>
      </c>
      <c r="H107" s="80" t="s">
        <v>841</v>
      </c>
      <c r="I107" s="80" t="s">
        <v>269</v>
      </c>
      <c r="J107" s="81"/>
      <c r="K107" s="348" t="s">
        <v>117</v>
      </c>
      <c r="L107" s="83"/>
      <c r="M107" s="84"/>
      <c r="N107" s="85"/>
      <c r="O107" s="86"/>
      <c r="P107" s="168" t="s">
        <v>1451</v>
      </c>
    </row>
    <row r="108" spans="1:16">
      <c r="A108" s="76" t="s">
        <v>1332</v>
      </c>
      <c r="B108" s="76">
        <v>105</v>
      </c>
      <c r="C108" s="76" t="s">
        <v>1434</v>
      </c>
      <c r="D108" s="174" t="s">
        <v>1452</v>
      </c>
      <c r="E108" s="176">
        <v>11492</v>
      </c>
      <c r="F108" s="179">
        <v>42428</v>
      </c>
      <c r="G108" s="181" t="s">
        <v>19</v>
      </c>
      <c r="H108" s="80" t="s">
        <v>841</v>
      </c>
      <c r="I108" s="80" t="s">
        <v>269</v>
      </c>
      <c r="J108" s="81"/>
      <c r="K108" s="82"/>
      <c r="L108" s="83"/>
      <c r="M108" s="84"/>
      <c r="N108" s="85"/>
      <c r="O108" s="343" t="s">
        <v>117</v>
      </c>
      <c r="P108" s="47"/>
    </row>
    <row r="109" spans="1:16">
      <c r="A109" s="76" t="s">
        <v>1332</v>
      </c>
      <c r="B109" s="76">
        <v>106</v>
      </c>
      <c r="C109" s="76" t="s">
        <v>1434</v>
      </c>
      <c r="D109" s="174" t="s">
        <v>1453</v>
      </c>
      <c r="E109" s="176" t="s">
        <v>995</v>
      </c>
      <c r="F109" s="179">
        <v>42916</v>
      </c>
      <c r="G109" s="181" t="s">
        <v>14</v>
      </c>
      <c r="H109" s="80" t="s">
        <v>841</v>
      </c>
      <c r="I109" s="80" t="s">
        <v>269</v>
      </c>
      <c r="J109" s="81"/>
      <c r="K109" s="82"/>
      <c r="L109" s="83"/>
      <c r="M109" s="365" t="s">
        <v>117</v>
      </c>
      <c r="N109" s="85"/>
      <c r="O109" s="86"/>
      <c r="P109" s="47"/>
    </row>
    <row r="110" spans="1:16">
      <c r="A110" s="76" t="s">
        <v>1332</v>
      </c>
      <c r="B110" s="76">
        <v>107</v>
      </c>
      <c r="C110" s="76" t="s">
        <v>1434</v>
      </c>
      <c r="D110" s="174" t="s">
        <v>1433</v>
      </c>
      <c r="E110" s="176">
        <v>11627</v>
      </c>
      <c r="F110" s="179">
        <v>43312</v>
      </c>
      <c r="G110" s="181" t="s">
        <v>19</v>
      </c>
      <c r="H110" s="80" t="s">
        <v>841</v>
      </c>
      <c r="I110" s="80" t="s">
        <v>269</v>
      </c>
      <c r="J110" s="81"/>
      <c r="K110" s="82"/>
      <c r="L110" s="83"/>
      <c r="M110" s="84"/>
      <c r="N110" s="85"/>
      <c r="O110" s="343" t="s">
        <v>117</v>
      </c>
      <c r="P110" s="47"/>
    </row>
    <row r="111" spans="1:16">
      <c r="A111" s="76" t="s">
        <v>1332</v>
      </c>
      <c r="B111" s="76">
        <v>108</v>
      </c>
      <c r="C111" s="76" t="s">
        <v>1434</v>
      </c>
      <c r="D111" s="174" t="s">
        <v>1454</v>
      </c>
      <c r="E111" s="176">
        <v>11616</v>
      </c>
      <c r="F111" s="179">
        <v>43312</v>
      </c>
      <c r="G111" s="181" t="s">
        <v>19</v>
      </c>
      <c r="H111" s="80" t="s">
        <v>841</v>
      </c>
      <c r="I111" s="80" t="s">
        <v>269</v>
      </c>
      <c r="J111" s="81"/>
      <c r="K111" s="82"/>
      <c r="L111" s="83"/>
      <c r="M111" s="84"/>
      <c r="N111" s="85"/>
      <c r="O111" s="343" t="s">
        <v>117</v>
      </c>
      <c r="P111" s="47"/>
    </row>
    <row r="112" spans="1:16">
      <c r="A112" s="76" t="s">
        <v>1332</v>
      </c>
      <c r="B112" s="76">
        <v>109</v>
      </c>
      <c r="C112" s="76" t="s">
        <v>1434</v>
      </c>
      <c r="D112" s="174" t="s">
        <v>1455</v>
      </c>
      <c r="E112" s="176">
        <v>11613</v>
      </c>
      <c r="F112" s="179">
        <v>43343</v>
      </c>
      <c r="G112" s="181" t="s">
        <v>19</v>
      </c>
      <c r="H112" s="80" t="s">
        <v>841</v>
      </c>
      <c r="I112" s="80" t="s">
        <v>269</v>
      </c>
      <c r="J112" s="81"/>
      <c r="K112" s="82"/>
      <c r="L112" s="83"/>
      <c r="M112" s="84"/>
      <c r="N112" s="85"/>
      <c r="O112" s="343" t="s">
        <v>117</v>
      </c>
      <c r="P112" s="47"/>
    </row>
    <row r="113" spans="1:16">
      <c r="A113" s="76" t="s">
        <v>1332</v>
      </c>
      <c r="B113" s="76">
        <v>110</v>
      </c>
      <c r="C113" s="76" t="s">
        <v>1434</v>
      </c>
      <c r="D113" s="174" t="s">
        <v>1456</v>
      </c>
      <c r="E113" s="176">
        <v>11620</v>
      </c>
      <c r="F113" s="179">
        <v>45535</v>
      </c>
      <c r="G113" s="181" t="s">
        <v>17</v>
      </c>
      <c r="H113" s="80" t="s">
        <v>841</v>
      </c>
      <c r="I113" s="80" t="s">
        <v>269</v>
      </c>
      <c r="J113" s="81"/>
      <c r="K113" s="82"/>
      <c r="L113" s="83"/>
      <c r="M113" s="84"/>
      <c r="N113" s="85"/>
      <c r="O113" s="343" t="s">
        <v>117</v>
      </c>
      <c r="P113" s="47"/>
    </row>
    <row r="114" spans="1:16">
      <c r="A114" s="76" t="s">
        <v>1332</v>
      </c>
      <c r="B114" s="76">
        <v>111</v>
      </c>
      <c r="C114" s="76" t="s">
        <v>1434</v>
      </c>
      <c r="D114" s="174" t="s">
        <v>1457</v>
      </c>
      <c r="E114" s="176">
        <v>11637</v>
      </c>
      <c r="F114" s="179">
        <v>43434</v>
      </c>
      <c r="G114" s="181" t="s">
        <v>19</v>
      </c>
      <c r="H114" s="80" t="s">
        <v>841</v>
      </c>
      <c r="I114" s="80" t="s">
        <v>269</v>
      </c>
      <c r="J114" s="81"/>
      <c r="K114" s="82"/>
      <c r="L114" s="83"/>
      <c r="M114" s="84"/>
      <c r="N114" s="85"/>
      <c r="O114" s="343" t="s">
        <v>117</v>
      </c>
      <c r="P114" s="47"/>
    </row>
    <row r="115" spans="1:16">
      <c r="A115" s="76" t="s">
        <v>1332</v>
      </c>
      <c r="B115" s="76">
        <v>112</v>
      </c>
      <c r="C115" s="76" t="s">
        <v>1434</v>
      </c>
      <c r="D115" s="174" t="s">
        <v>1458</v>
      </c>
      <c r="E115" s="176">
        <v>11643</v>
      </c>
      <c r="F115" s="179">
        <v>45688</v>
      </c>
      <c r="G115" s="181" t="s">
        <v>19</v>
      </c>
      <c r="H115" s="80" t="s">
        <v>841</v>
      </c>
      <c r="I115" s="80" t="s">
        <v>269</v>
      </c>
      <c r="J115" s="81"/>
      <c r="K115" s="82"/>
      <c r="L115" s="83"/>
      <c r="M115" s="84"/>
      <c r="N115" s="85"/>
      <c r="O115" s="343" t="s">
        <v>117</v>
      </c>
      <c r="P115" s="47"/>
    </row>
    <row r="116" spans="1:16">
      <c r="A116" s="76" t="s">
        <v>1332</v>
      </c>
      <c r="B116" s="76">
        <v>113</v>
      </c>
      <c r="C116" s="76" t="s">
        <v>1434</v>
      </c>
      <c r="D116" s="174" t="s">
        <v>1459</v>
      </c>
      <c r="E116" s="176">
        <v>11646</v>
      </c>
      <c r="F116" s="179">
        <v>43496</v>
      </c>
      <c r="G116" s="181" t="s">
        <v>19</v>
      </c>
      <c r="H116" s="80" t="s">
        <v>841</v>
      </c>
      <c r="I116" s="80" t="s">
        <v>269</v>
      </c>
      <c r="J116" s="81"/>
      <c r="K116" s="82"/>
      <c r="L116" s="83"/>
      <c r="M116" s="84"/>
      <c r="N116" s="85"/>
      <c r="O116" s="343" t="s">
        <v>117</v>
      </c>
      <c r="P116" s="47"/>
    </row>
    <row r="117" spans="1:16">
      <c r="A117" s="76" t="s">
        <v>1332</v>
      </c>
      <c r="B117" s="76">
        <v>114</v>
      </c>
      <c r="C117" s="76" t="s">
        <v>1434</v>
      </c>
      <c r="D117" s="174" t="s">
        <v>1460</v>
      </c>
      <c r="E117" s="176">
        <v>11546</v>
      </c>
      <c r="F117" s="179">
        <v>42947</v>
      </c>
      <c r="G117" s="181" t="s">
        <v>19</v>
      </c>
      <c r="H117" s="80" t="s">
        <v>841</v>
      </c>
      <c r="I117" s="80" t="s">
        <v>269</v>
      </c>
      <c r="J117" s="81"/>
      <c r="K117" s="82"/>
      <c r="L117" s="83"/>
      <c r="M117" s="84"/>
      <c r="N117" s="85"/>
      <c r="O117" s="343" t="s">
        <v>117</v>
      </c>
      <c r="P117" s="47"/>
    </row>
    <row r="118" spans="1:16">
      <c r="A118" s="76" t="s">
        <v>1332</v>
      </c>
      <c r="B118" s="76">
        <v>115</v>
      </c>
      <c r="C118" s="76" t="s">
        <v>1434</v>
      </c>
      <c r="D118" s="174" t="s">
        <v>1436</v>
      </c>
      <c r="E118" s="176">
        <v>11257</v>
      </c>
      <c r="F118" s="179">
        <v>39325</v>
      </c>
      <c r="G118" s="181" t="s">
        <v>19</v>
      </c>
      <c r="H118" s="80" t="s">
        <v>841</v>
      </c>
      <c r="I118" s="80" t="s">
        <v>269</v>
      </c>
      <c r="J118" s="81"/>
      <c r="K118" s="82"/>
      <c r="L118" s="83"/>
      <c r="M118" s="84"/>
      <c r="N118" s="85"/>
      <c r="O118" s="343" t="s">
        <v>117</v>
      </c>
      <c r="P118" s="47"/>
    </row>
    <row r="119" spans="1:16">
      <c r="A119" s="76" t="s">
        <v>1332</v>
      </c>
      <c r="B119" s="76">
        <v>116</v>
      </c>
      <c r="C119" s="76" t="s">
        <v>1434</v>
      </c>
      <c r="D119" s="174" t="s">
        <v>1461</v>
      </c>
      <c r="E119" s="176" t="s">
        <v>995</v>
      </c>
      <c r="F119" s="179">
        <v>43861</v>
      </c>
      <c r="G119" s="181" t="s">
        <v>19</v>
      </c>
      <c r="H119" s="80" t="s">
        <v>841</v>
      </c>
      <c r="I119" s="80" t="s">
        <v>269</v>
      </c>
      <c r="J119" s="81"/>
      <c r="K119" s="82"/>
      <c r="L119" s="83"/>
      <c r="M119" s="84"/>
      <c r="N119" s="85"/>
      <c r="O119" s="343" t="s">
        <v>117</v>
      </c>
      <c r="P119" s="47"/>
    </row>
    <row r="120" spans="1:16">
      <c r="A120" s="76" t="s">
        <v>1332</v>
      </c>
      <c r="B120" s="76">
        <v>117</v>
      </c>
      <c r="C120" s="76" t="s">
        <v>1434</v>
      </c>
      <c r="D120" s="174" t="s">
        <v>1462</v>
      </c>
      <c r="E120" s="176" t="s">
        <v>995</v>
      </c>
      <c r="F120" s="179">
        <v>45658</v>
      </c>
      <c r="G120" s="181" t="s">
        <v>17</v>
      </c>
      <c r="H120" s="80" t="s">
        <v>841</v>
      </c>
      <c r="I120" s="80" t="s">
        <v>269</v>
      </c>
      <c r="J120" s="81"/>
      <c r="K120" s="82"/>
      <c r="L120" s="83"/>
      <c r="M120" s="84"/>
      <c r="N120" s="85"/>
      <c r="O120" s="343" t="s">
        <v>117</v>
      </c>
      <c r="P120" s="47"/>
    </row>
    <row r="121" spans="1:16" s="315" customFormat="1" ht="15.75" thickBot="1">
      <c r="A121" s="304" t="s">
        <v>1332</v>
      </c>
      <c r="B121" s="304">
        <v>118</v>
      </c>
      <c r="C121" s="304" t="s">
        <v>1434</v>
      </c>
      <c r="D121" s="374" t="s">
        <v>1463</v>
      </c>
      <c r="E121" s="306" t="s">
        <v>995</v>
      </c>
      <c r="F121" s="307">
        <v>45746</v>
      </c>
      <c r="G121" s="308" t="s">
        <v>17</v>
      </c>
      <c r="H121" s="309" t="s">
        <v>841</v>
      </c>
      <c r="I121" s="309" t="s">
        <v>269</v>
      </c>
      <c r="J121" s="310"/>
      <c r="K121" s="311"/>
      <c r="L121" s="312"/>
      <c r="M121" s="313"/>
      <c r="N121" s="375"/>
      <c r="O121" s="376" t="s">
        <v>117</v>
      </c>
      <c r="P121" s="377"/>
    </row>
    <row r="122" spans="1:16">
      <c r="A122" s="254" t="s">
        <v>1332</v>
      </c>
      <c r="B122" s="254">
        <v>119</v>
      </c>
      <c r="C122" s="254" t="s">
        <v>1464</v>
      </c>
      <c r="D122" s="255"/>
      <c r="E122" s="176" t="s">
        <v>995</v>
      </c>
      <c r="F122" s="257"/>
      <c r="G122" s="258"/>
      <c r="H122" s="258"/>
      <c r="I122" s="258"/>
      <c r="J122" s="259"/>
      <c r="K122" s="260"/>
      <c r="L122" s="261"/>
      <c r="M122" s="262"/>
      <c r="N122" s="263"/>
      <c r="O122" s="264"/>
      <c r="P122" s="265"/>
    </row>
    <row r="123" spans="1:16">
      <c r="A123" s="76" t="s">
        <v>1332</v>
      </c>
      <c r="B123" s="76">
        <v>120</v>
      </c>
      <c r="C123" s="254" t="s">
        <v>1464</v>
      </c>
      <c r="D123" s="77"/>
      <c r="E123" s="176" t="s">
        <v>995</v>
      </c>
      <c r="F123" s="79"/>
      <c r="G123" s="80"/>
      <c r="H123" s="80"/>
      <c r="I123" s="80"/>
      <c r="J123" s="81"/>
      <c r="K123" s="82"/>
      <c r="L123" s="83"/>
      <c r="M123" s="84"/>
      <c r="N123" s="85"/>
      <c r="O123" s="86"/>
      <c r="P123" s="47"/>
    </row>
    <row r="124" spans="1:16">
      <c r="A124" s="76" t="s">
        <v>1332</v>
      </c>
      <c r="B124" s="76">
        <v>121</v>
      </c>
      <c r="C124" s="382" t="s">
        <v>1464</v>
      </c>
      <c r="D124" s="77"/>
      <c r="E124" s="176" t="s">
        <v>995</v>
      </c>
      <c r="F124" s="79"/>
      <c r="G124" s="80"/>
      <c r="H124" s="80"/>
      <c r="I124" s="80"/>
      <c r="J124" s="81"/>
      <c r="K124" s="82"/>
      <c r="L124" s="83"/>
      <c r="M124" s="84"/>
      <c r="N124" s="85"/>
      <c r="O124" s="86"/>
      <c r="P124" s="47"/>
    </row>
    <row r="125" spans="1:16" s="315" customFormat="1" ht="15.75" thickBot="1">
      <c r="A125" s="304" t="s">
        <v>1332</v>
      </c>
      <c r="B125" s="381">
        <v>122</v>
      </c>
      <c r="C125" s="383" t="s">
        <v>1464</v>
      </c>
      <c r="D125" s="378"/>
      <c r="E125" s="306" t="s">
        <v>995</v>
      </c>
      <c r="F125" s="379"/>
      <c r="G125" s="309"/>
      <c r="H125" s="309"/>
      <c r="I125" s="309"/>
      <c r="J125" s="310"/>
      <c r="K125" s="311"/>
      <c r="L125" s="312"/>
      <c r="M125" s="313"/>
      <c r="N125" s="375"/>
      <c r="O125" s="380"/>
      <c r="P125" s="377"/>
    </row>
    <row r="126" spans="1:16">
      <c r="A126" s="254" t="s">
        <v>1332</v>
      </c>
      <c r="B126" s="254">
        <v>123</v>
      </c>
      <c r="C126" s="254" t="s">
        <v>135</v>
      </c>
      <c r="D126" s="255"/>
      <c r="E126" s="176" t="s">
        <v>995</v>
      </c>
      <c r="F126" s="257"/>
      <c r="G126" s="258"/>
      <c r="H126" s="258"/>
      <c r="I126" s="258"/>
      <c r="J126" s="259"/>
      <c r="K126" s="260"/>
      <c r="L126" s="261"/>
      <c r="M126" s="262"/>
      <c r="N126" s="263"/>
      <c r="O126" s="264"/>
      <c r="P126" s="265"/>
    </row>
    <row r="127" spans="1:16">
      <c r="A127" s="76" t="s">
        <v>1332</v>
      </c>
      <c r="B127" s="76">
        <v>124</v>
      </c>
      <c r="C127" s="254" t="s">
        <v>135</v>
      </c>
      <c r="D127" s="77"/>
      <c r="E127" s="176" t="s">
        <v>995</v>
      </c>
      <c r="F127" s="79"/>
      <c r="G127" s="80"/>
      <c r="H127" s="80"/>
      <c r="I127" s="80"/>
      <c r="J127" s="81"/>
      <c r="K127" s="82"/>
      <c r="L127" s="83"/>
      <c r="M127" s="84"/>
      <c r="N127" s="85"/>
      <c r="O127" s="86"/>
      <c r="P127" s="47"/>
    </row>
    <row r="128" spans="1:16">
      <c r="A128" s="230" t="s">
        <v>1332</v>
      </c>
      <c r="B128" s="230">
        <v>125</v>
      </c>
      <c r="C128" s="382" t="s">
        <v>135</v>
      </c>
      <c r="D128" s="231"/>
      <c r="E128" s="284" t="s">
        <v>995</v>
      </c>
      <c r="F128" s="233"/>
      <c r="G128" s="234"/>
      <c r="H128" s="234"/>
      <c r="I128" s="234"/>
      <c r="J128" s="235"/>
      <c r="K128" s="236"/>
      <c r="L128" s="237"/>
      <c r="M128" s="238"/>
      <c r="N128" s="239"/>
      <c r="O128" s="240"/>
      <c r="P128" s="241"/>
    </row>
    <row r="129" spans="1:16" s="315" customFormat="1" ht="15.75" thickBot="1">
      <c r="A129" s="304" t="s">
        <v>1332</v>
      </c>
      <c r="B129" s="304">
        <v>126</v>
      </c>
      <c r="C129" s="383" t="s">
        <v>135</v>
      </c>
      <c r="D129" s="378"/>
      <c r="E129" s="306" t="s">
        <v>995</v>
      </c>
      <c r="F129" s="379"/>
      <c r="G129" s="309"/>
      <c r="H129" s="309"/>
      <c r="I129" s="309"/>
      <c r="J129" s="310"/>
      <c r="K129" s="311"/>
      <c r="L129" s="312"/>
      <c r="M129" s="313"/>
      <c r="N129" s="375"/>
      <c r="O129" s="380"/>
      <c r="P129" s="377"/>
    </row>
    <row r="130" spans="1:16">
      <c r="A130" s="254" t="s">
        <v>1332</v>
      </c>
      <c r="B130" s="254">
        <v>127</v>
      </c>
      <c r="C130" s="254" t="s">
        <v>153</v>
      </c>
      <c r="D130" s="255"/>
      <c r="E130" s="176" t="s">
        <v>995</v>
      </c>
      <c r="F130" s="257"/>
      <c r="G130" s="258"/>
      <c r="H130" s="258"/>
      <c r="I130" s="258"/>
      <c r="J130" s="259"/>
      <c r="K130" s="260"/>
      <c r="L130" s="261"/>
      <c r="M130" s="262"/>
      <c r="N130" s="263"/>
      <c r="O130" s="264"/>
      <c r="P130" s="265"/>
    </row>
  </sheetData>
  <mergeCells count="3">
    <mergeCell ref="E73:E75"/>
    <mergeCell ref="F73:F75"/>
    <mergeCell ref="P24:P25"/>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9177E-DFA4-4BA1-A2F3-78683B183AF6}">
  <sheetPr>
    <tabColor theme="1"/>
  </sheetPr>
  <dimension ref="A1:U100"/>
  <sheetViews>
    <sheetView zoomScale="85" zoomScaleNormal="85" workbookViewId="0">
      <pane ySplit="4" topLeftCell="A5" activePane="bottomLeft" state="frozen"/>
      <selection pane="bottomLeft" activeCell="G18" sqref="A17:G18"/>
    </sheetView>
  </sheetViews>
  <sheetFormatPr defaultColWidth="8.85546875" defaultRowHeight="15" customHeight="1"/>
  <cols>
    <col min="1" max="1" width="7.7109375" style="89" bestFit="1" customWidth="1"/>
    <col min="2" max="2" width="5.7109375" style="89" bestFit="1" customWidth="1"/>
    <col min="3" max="3" width="13.28515625" style="89" bestFit="1" customWidth="1"/>
    <col min="4" max="4" width="35.42578125" style="89" bestFit="1" customWidth="1"/>
    <col min="5" max="5" width="12.85546875" style="89" bestFit="1" customWidth="1"/>
    <col min="6" max="6" width="11.7109375" style="89" bestFit="1" customWidth="1"/>
    <col min="7" max="7" width="11.140625" style="94" bestFit="1" customWidth="1"/>
    <col min="8" max="8" width="11.140625" style="94" customWidth="1"/>
    <col min="9" max="9" width="21.28515625" style="94" bestFit="1" customWidth="1"/>
    <col min="10" max="10" width="19.5703125" style="89" bestFit="1" customWidth="1"/>
    <col min="11" max="13" width="8.7109375" style="94" bestFit="1" customWidth="1"/>
    <col min="14" max="14" width="8.28515625" style="94" bestFit="1" customWidth="1"/>
    <col min="15" max="15" width="8.7109375" style="94" bestFit="1" customWidth="1"/>
    <col min="16" max="16" width="8.28515625" style="94" bestFit="1" customWidth="1"/>
    <col min="17" max="17" width="50.7109375" style="92" bestFit="1" customWidth="1"/>
    <col min="18" max="16384" width="8.85546875" style="89"/>
  </cols>
  <sheetData>
    <row r="1" spans="1:21" ht="18.75">
      <c r="D1" s="90" t="s">
        <v>97</v>
      </c>
      <c r="E1" s="90"/>
      <c r="F1" s="90"/>
      <c r="G1" s="91"/>
      <c r="H1" s="91"/>
      <c r="I1" s="91"/>
      <c r="J1" s="90"/>
      <c r="K1" s="91"/>
      <c r="L1" s="91"/>
      <c r="M1" s="91"/>
      <c r="N1" s="91"/>
      <c r="O1" s="91"/>
      <c r="P1" s="91"/>
      <c r="R1" s="90"/>
      <c r="S1" s="90"/>
      <c r="T1" s="90"/>
      <c r="U1" s="90"/>
    </row>
    <row r="2" spans="1:21" ht="18.75">
      <c r="D2" s="90"/>
      <c r="E2" s="90"/>
      <c r="J2" s="93" t="s">
        <v>37</v>
      </c>
      <c r="K2" s="65">
        <f t="shared" ref="K2:P2" si="0">COUNTA(K5:K27)</f>
        <v>1</v>
      </c>
      <c r="L2" s="66">
        <f t="shared" si="0"/>
        <v>1</v>
      </c>
      <c r="M2" s="67">
        <f t="shared" si="0"/>
        <v>0</v>
      </c>
      <c r="N2" s="68">
        <f t="shared" si="0"/>
        <v>1</v>
      </c>
      <c r="O2" s="69">
        <f t="shared" si="0"/>
        <v>0</v>
      </c>
      <c r="P2" s="70">
        <f t="shared" si="0"/>
        <v>5</v>
      </c>
      <c r="R2" s="90"/>
      <c r="S2" s="90"/>
      <c r="T2" s="90"/>
      <c r="U2" s="90"/>
    </row>
    <row r="4" spans="1:21" s="105" customFormat="1" ht="15.75">
      <c r="A4" s="74" t="s">
        <v>98</v>
      </c>
      <c r="B4" s="74" t="s">
        <v>99</v>
      </c>
      <c r="C4" s="74" t="s">
        <v>100</v>
      </c>
      <c r="D4" s="95" t="s">
        <v>101</v>
      </c>
      <c r="E4" s="96" t="s">
        <v>2</v>
      </c>
      <c r="F4" s="97" t="s">
        <v>3</v>
      </c>
      <c r="G4" s="122" t="s">
        <v>4</v>
      </c>
      <c r="H4" s="122" t="s">
        <v>1275</v>
      </c>
      <c r="I4" s="122" t="s">
        <v>1276</v>
      </c>
      <c r="J4" s="98" t="s">
        <v>105</v>
      </c>
      <c r="K4" s="99" t="s">
        <v>106</v>
      </c>
      <c r="L4" s="100" t="s">
        <v>107</v>
      </c>
      <c r="M4" s="101" t="s">
        <v>108</v>
      </c>
      <c r="N4" s="102" t="s">
        <v>109</v>
      </c>
      <c r="O4" s="103" t="s">
        <v>110</v>
      </c>
      <c r="P4" s="104" t="s">
        <v>111</v>
      </c>
      <c r="Q4" s="75" t="s">
        <v>45</v>
      </c>
    </row>
    <row r="5" spans="1:21" ht="90">
      <c r="A5" s="76" t="s">
        <v>1465</v>
      </c>
      <c r="B5" s="76">
        <v>1</v>
      </c>
      <c r="C5" s="76"/>
      <c r="D5" s="77" t="s">
        <v>1466</v>
      </c>
      <c r="E5" s="78"/>
      <c r="F5" s="79">
        <v>2004</v>
      </c>
      <c r="G5" s="80" t="s">
        <v>47</v>
      </c>
      <c r="H5" s="80" t="s">
        <v>1467</v>
      </c>
      <c r="I5" s="80" t="s">
        <v>841</v>
      </c>
      <c r="J5" s="273">
        <v>45809</v>
      </c>
      <c r="K5" s="81" t="s">
        <v>117</v>
      </c>
      <c r="L5" s="82"/>
      <c r="M5" s="83"/>
      <c r="N5" s="84"/>
      <c r="O5" s="85"/>
      <c r="P5" s="86"/>
      <c r="Q5" s="47" t="s">
        <v>1468</v>
      </c>
    </row>
    <row r="6" spans="1:21">
      <c r="A6" s="76" t="s">
        <v>1465</v>
      </c>
      <c r="B6" s="76">
        <v>2</v>
      </c>
      <c r="C6" s="76"/>
      <c r="D6" s="77" t="s">
        <v>1469</v>
      </c>
      <c r="E6" s="78"/>
      <c r="F6" s="79">
        <v>2014</v>
      </c>
      <c r="G6" s="80" t="s">
        <v>14</v>
      </c>
      <c r="H6" s="80" t="s">
        <v>1467</v>
      </c>
      <c r="I6" s="80" t="s">
        <v>841</v>
      </c>
      <c r="J6" s="80"/>
      <c r="K6" s="81"/>
      <c r="L6" s="82"/>
      <c r="M6" s="83"/>
      <c r="N6" s="84"/>
      <c r="O6" s="85"/>
      <c r="P6" s="86" t="s">
        <v>15</v>
      </c>
      <c r="Q6" s="47"/>
    </row>
    <row r="7" spans="1:21">
      <c r="A7" s="76" t="s">
        <v>1465</v>
      </c>
      <c r="B7" s="76">
        <v>3</v>
      </c>
      <c r="C7" s="76"/>
      <c r="D7" s="77" t="s">
        <v>1470</v>
      </c>
      <c r="E7" s="78"/>
      <c r="F7" s="79">
        <v>2006</v>
      </c>
      <c r="G7" s="80" t="s">
        <v>47</v>
      </c>
      <c r="H7" s="80" t="s">
        <v>1470</v>
      </c>
      <c r="I7" s="80" t="s">
        <v>841</v>
      </c>
      <c r="J7" s="80"/>
      <c r="K7" s="81"/>
      <c r="L7" s="82" t="s">
        <v>15</v>
      </c>
      <c r="M7" s="83"/>
      <c r="N7" s="84"/>
      <c r="O7" s="85"/>
      <c r="P7" s="86"/>
      <c r="Q7" s="47"/>
    </row>
    <row r="8" spans="1:21">
      <c r="A8" s="76" t="s">
        <v>1465</v>
      </c>
      <c r="B8" s="76">
        <v>4</v>
      </c>
      <c r="C8" s="76"/>
      <c r="D8" s="77" t="s">
        <v>1471</v>
      </c>
      <c r="E8" s="78"/>
      <c r="F8" s="79">
        <v>2025</v>
      </c>
      <c r="G8" s="80" t="s">
        <v>17</v>
      </c>
      <c r="H8" s="80"/>
      <c r="I8" s="80" t="s">
        <v>841</v>
      </c>
      <c r="J8" s="80"/>
      <c r="K8" s="81"/>
      <c r="L8" s="82"/>
      <c r="M8" s="83"/>
      <c r="N8" s="84"/>
      <c r="O8" s="85"/>
      <c r="P8" s="86" t="s">
        <v>15</v>
      </c>
      <c r="Q8" s="47" t="s">
        <v>1472</v>
      </c>
    </row>
    <row r="9" spans="1:21">
      <c r="A9" s="76" t="s">
        <v>1465</v>
      </c>
      <c r="B9" s="76">
        <v>5</v>
      </c>
      <c r="C9" s="76"/>
      <c r="D9" s="77" t="s">
        <v>1473</v>
      </c>
      <c r="E9" s="78"/>
      <c r="F9" s="79">
        <v>2017</v>
      </c>
      <c r="G9" s="80" t="s">
        <v>14</v>
      </c>
      <c r="H9" s="80" t="s">
        <v>1474</v>
      </c>
      <c r="I9" s="80" t="s">
        <v>841</v>
      </c>
      <c r="J9" s="80"/>
      <c r="K9" s="81"/>
      <c r="L9" s="82"/>
      <c r="M9" s="83"/>
      <c r="N9" s="84"/>
      <c r="O9" s="85"/>
      <c r="P9" s="86" t="s">
        <v>15</v>
      </c>
      <c r="Q9" s="47"/>
    </row>
    <row r="10" spans="1:21">
      <c r="A10" s="76" t="s">
        <v>1465</v>
      </c>
      <c r="B10" s="76">
        <v>6</v>
      </c>
      <c r="C10" s="76"/>
      <c r="D10" s="77" t="s">
        <v>1475</v>
      </c>
      <c r="E10" s="78"/>
      <c r="F10" s="79">
        <v>2017</v>
      </c>
      <c r="G10" s="80" t="s">
        <v>14</v>
      </c>
      <c r="H10" s="80" t="s">
        <v>1474</v>
      </c>
      <c r="I10" s="80" t="s">
        <v>841</v>
      </c>
      <c r="J10" s="80"/>
      <c r="K10" s="81"/>
      <c r="L10" s="82"/>
      <c r="M10" s="83"/>
      <c r="N10" s="84"/>
      <c r="O10" s="85"/>
      <c r="P10" s="86" t="s">
        <v>15</v>
      </c>
      <c r="Q10" s="47"/>
    </row>
    <row r="11" spans="1:21">
      <c r="A11" s="76" t="s">
        <v>1465</v>
      </c>
      <c r="B11" s="76">
        <v>7</v>
      </c>
      <c r="C11" s="76"/>
      <c r="D11" s="77" t="s">
        <v>1476</v>
      </c>
      <c r="E11" s="78"/>
      <c r="F11" s="79">
        <v>2004</v>
      </c>
      <c r="G11" s="80" t="s">
        <v>14</v>
      </c>
      <c r="H11" s="80" t="s">
        <v>1476</v>
      </c>
      <c r="I11" s="80" t="s">
        <v>841</v>
      </c>
      <c r="J11" s="80"/>
      <c r="K11" s="81"/>
      <c r="L11" s="82"/>
      <c r="M11" s="83"/>
      <c r="N11" s="84" t="s">
        <v>15</v>
      </c>
      <c r="O11" s="85"/>
      <c r="P11" s="86"/>
      <c r="Q11" s="47"/>
    </row>
    <row r="12" spans="1:21">
      <c r="A12" s="76" t="s">
        <v>1465</v>
      </c>
      <c r="B12" s="76">
        <v>8</v>
      </c>
      <c r="C12" s="76"/>
      <c r="D12" s="77" t="s">
        <v>1477</v>
      </c>
      <c r="E12" s="78"/>
      <c r="F12" s="79">
        <v>2014</v>
      </c>
      <c r="G12" s="80" t="s">
        <v>14</v>
      </c>
      <c r="H12" s="80" t="s">
        <v>1476</v>
      </c>
      <c r="I12" s="80" t="s">
        <v>841</v>
      </c>
      <c r="J12" s="80"/>
      <c r="K12" s="81"/>
      <c r="L12" s="82"/>
      <c r="M12" s="83"/>
      <c r="N12" s="84"/>
      <c r="O12" s="85"/>
      <c r="P12" s="86" t="s">
        <v>15</v>
      </c>
      <c r="Q12" s="47"/>
    </row>
    <row r="13" spans="1:21">
      <c r="A13" s="76" t="s">
        <v>1465</v>
      </c>
      <c r="B13" s="76">
        <v>9</v>
      </c>
      <c r="C13" s="76"/>
      <c r="D13" s="77"/>
      <c r="E13" s="78"/>
      <c r="F13" s="79"/>
      <c r="G13" s="80"/>
      <c r="H13" s="80"/>
      <c r="I13" s="80"/>
      <c r="J13" s="80"/>
      <c r="K13" s="81"/>
      <c r="L13" s="82"/>
      <c r="M13" s="83"/>
      <c r="N13" s="84"/>
      <c r="O13" s="85"/>
      <c r="P13" s="86"/>
      <c r="Q13" s="47"/>
    </row>
    <row r="14" spans="1:21">
      <c r="A14" s="76" t="s">
        <v>1465</v>
      </c>
      <c r="B14" s="76">
        <v>10</v>
      </c>
      <c r="C14" s="76"/>
      <c r="D14" s="88"/>
      <c r="E14" s="78"/>
      <c r="F14" s="79"/>
      <c r="G14" s="80"/>
      <c r="H14" s="80"/>
      <c r="I14" s="80"/>
      <c r="J14" s="80"/>
      <c r="K14" s="81"/>
      <c r="L14" s="82"/>
      <c r="M14" s="83"/>
      <c r="N14" s="84"/>
      <c r="O14" s="85"/>
      <c r="P14" s="86"/>
      <c r="Q14" s="47"/>
    </row>
    <row r="15" spans="1:21">
      <c r="A15" s="76" t="s">
        <v>1465</v>
      </c>
      <c r="B15" s="76">
        <v>11</v>
      </c>
      <c r="C15" s="76"/>
      <c r="D15" s="77"/>
      <c r="E15" s="78"/>
      <c r="F15" s="79"/>
      <c r="G15" s="80"/>
      <c r="H15" s="80"/>
      <c r="I15" s="80"/>
      <c r="J15" s="80"/>
      <c r="K15" s="81"/>
      <c r="L15" s="82"/>
      <c r="M15" s="83"/>
      <c r="N15" s="84"/>
      <c r="O15" s="85"/>
      <c r="P15" s="86"/>
      <c r="Q15" s="47"/>
    </row>
    <row r="16" spans="1:21">
      <c r="A16" s="76" t="s">
        <v>1465</v>
      </c>
      <c r="B16" s="76">
        <v>12</v>
      </c>
      <c r="C16" s="76"/>
      <c r="D16" s="77"/>
      <c r="E16" s="78"/>
      <c r="F16" s="79"/>
      <c r="G16" s="80"/>
      <c r="H16" s="80"/>
      <c r="I16" s="80"/>
      <c r="J16" s="80"/>
      <c r="K16" s="81"/>
      <c r="L16" s="82"/>
      <c r="M16" s="83"/>
      <c r="N16" s="84"/>
      <c r="O16" s="85"/>
      <c r="P16" s="86"/>
      <c r="Q16" s="47"/>
    </row>
    <row r="17" spans="1:17">
      <c r="A17" s="76" t="s">
        <v>1465</v>
      </c>
      <c r="B17" s="76">
        <v>13</v>
      </c>
      <c r="C17" s="76"/>
      <c r="D17" s="77"/>
      <c r="E17" s="78"/>
      <c r="F17" s="79"/>
      <c r="G17" s="80"/>
      <c r="H17" s="80"/>
      <c r="I17" s="80"/>
      <c r="J17" s="80"/>
      <c r="K17" s="81"/>
      <c r="L17" s="82"/>
      <c r="M17" s="83"/>
      <c r="N17" s="84"/>
      <c r="O17" s="85"/>
      <c r="P17" s="86"/>
      <c r="Q17" s="47"/>
    </row>
    <row r="18" spans="1:17">
      <c r="A18" s="76" t="s">
        <v>1465</v>
      </c>
      <c r="B18" s="76">
        <v>14</v>
      </c>
      <c r="C18" s="76"/>
      <c r="D18" s="77"/>
      <c r="E18" s="78"/>
      <c r="F18" s="79"/>
      <c r="G18" s="80"/>
      <c r="H18" s="80"/>
      <c r="I18" s="80"/>
      <c r="J18" s="80"/>
      <c r="K18" s="81"/>
      <c r="L18" s="82"/>
      <c r="M18" s="83"/>
      <c r="N18" s="84"/>
      <c r="O18" s="85"/>
      <c r="P18" s="86"/>
      <c r="Q18" s="47"/>
    </row>
    <row r="19" spans="1:17">
      <c r="A19" s="76" t="s">
        <v>1465</v>
      </c>
      <c r="B19" s="76">
        <v>15</v>
      </c>
      <c r="C19" s="76"/>
      <c r="D19" s="77"/>
      <c r="E19" s="78"/>
      <c r="F19" s="79"/>
      <c r="G19" s="80"/>
      <c r="H19" s="80"/>
      <c r="I19" s="80"/>
      <c r="J19" s="80"/>
      <c r="K19" s="81"/>
      <c r="L19" s="82"/>
      <c r="M19" s="83"/>
      <c r="N19" s="84"/>
      <c r="O19" s="85"/>
      <c r="P19" s="86"/>
      <c r="Q19" s="47"/>
    </row>
    <row r="20" spans="1:17">
      <c r="A20" s="76" t="s">
        <v>1465</v>
      </c>
      <c r="B20" s="76">
        <v>16</v>
      </c>
      <c r="C20" s="76"/>
      <c r="D20" s="77"/>
      <c r="E20" s="78"/>
      <c r="F20" s="79"/>
      <c r="G20" s="80"/>
      <c r="H20" s="80"/>
      <c r="I20" s="80"/>
      <c r="J20" s="80"/>
      <c r="K20" s="81"/>
      <c r="L20" s="82"/>
      <c r="M20" s="83"/>
      <c r="N20" s="84"/>
      <c r="O20" s="85"/>
      <c r="P20" s="86"/>
      <c r="Q20" s="47"/>
    </row>
    <row r="21" spans="1:17">
      <c r="A21" s="76" t="s">
        <v>1465</v>
      </c>
      <c r="B21" s="76">
        <v>17</v>
      </c>
      <c r="C21" s="76"/>
      <c r="D21" s="77"/>
      <c r="E21" s="78"/>
      <c r="F21" s="79"/>
      <c r="G21" s="80"/>
      <c r="H21" s="80"/>
      <c r="I21" s="80"/>
      <c r="J21" s="80"/>
      <c r="K21" s="81"/>
      <c r="L21" s="82"/>
      <c r="M21" s="83"/>
      <c r="N21" s="84"/>
      <c r="O21" s="85"/>
      <c r="P21" s="86"/>
      <c r="Q21" s="47"/>
    </row>
    <row r="22" spans="1:17">
      <c r="A22" s="76" t="s">
        <v>1465</v>
      </c>
      <c r="B22" s="76">
        <v>18</v>
      </c>
      <c r="C22" s="76"/>
      <c r="D22" s="77"/>
      <c r="E22" s="78"/>
      <c r="F22" s="79"/>
      <c r="G22" s="80"/>
      <c r="H22" s="80"/>
      <c r="I22" s="80"/>
      <c r="J22" s="80"/>
      <c r="K22" s="81"/>
      <c r="L22" s="82"/>
      <c r="M22" s="83"/>
      <c r="N22" s="84"/>
      <c r="O22" s="85"/>
      <c r="P22" s="86"/>
      <c r="Q22" s="47"/>
    </row>
    <row r="23" spans="1:17">
      <c r="A23" s="76" t="s">
        <v>1465</v>
      </c>
      <c r="B23" s="76">
        <v>19</v>
      </c>
      <c r="C23" s="76"/>
      <c r="D23" s="77"/>
      <c r="E23" s="78"/>
      <c r="F23" s="79"/>
      <c r="G23" s="80"/>
      <c r="H23" s="80"/>
      <c r="I23" s="80"/>
      <c r="J23" s="80"/>
      <c r="K23" s="81"/>
      <c r="L23" s="82"/>
      <c r="M23" s="83"/>
      <c r="N23" s="84"/>
      <c r="O23" s="85"/>
      <c r="P23" s="86"/>
      <c r="Q23" s="47"/>
    </row>
    <row r="24" spans="1:17">
      <c r="A24" s="76" t="s">
        <v>1465</v>
      </c>
      <c r="B24" s="76">
        <v>20</v>
      </c>
      <c r="C24" s="76"/>
      <c r="D24" s="77"/>
      <c r="E24" s="78"/>
      <c r="F24" s="79"/>
      <c r="G24" s="80"/>
      <c r="H24" s="80"/>
      <c r="I24" s="80"/>
      <c r="J24" s="80"/>
      <c r="K24" s="81"/>
      <c r="L24" s="82"/>
      <c r="M24" s="83"/>
      <c r="N24" s="84"/>
      <c r="O24" s="85"/>
      <c r="P24" s="86"/>
      <c r="Q24" s="47"/>
    </row>
    <row r="25" spans="1:17">
      <c r="A25" s="76" t="s">
        <v>1465</v>
      </c>
      <c r="B25" s="76">
        <v>21</v>
      </c>
      <c r="C25" s="76"/>
      <c r="D25" s="77"/>
      <c r="E25" s="78"/>
      <c r="F25" s="79"/>
      <c r="G25" s="80"/>
      <c r="H25" s="80"/>
      <c r="I25" s="80"/>
      <c r="J25" s="80"/>
      <c r="K25" s="81"/>
      <c r="L25" s="82"/>
      <c r="M25" s="83"/>
      <c r="N25" s="84"/>
      <c r="O25" s="85"/>
      <c r="P25" s="86"/>
      <c r="Q25" s="47"/>
    </row>
    <row r="26" spans="1:17">
      <c r="A26" s="76" t="s">
        <v>1465</v>
      </c>
      <c r="B26" s="76">
        <v>22</v>
      </c>
      <c r="C26" s="76"/>
      <c r="D26" s="77"/>
      <c r="E26" s="78"/>
      <c r="F26" s="79"/>
      <c r="G26" s="80"/>
      <c r="H26" s="80"/>
      <c r="I26" s="80"/>
      <c r="J26" s="80"/>
      <c r="K26" s="81"/>
      <c r="L26" s="82"/>
      <c r="M26" s="83"/>
      <c r="N26" s="84"/>
      <c r="O26" s="85"/>
      <c r="P26" s="86"/>
      <c r="Q26" s="47"/>
    </row>
    <row r="27" spans="1:17">
      <c r="A27" s="76" t="s">
        <v>1465</v>
      </c>
      <c r="B27" s="76">
        <v>23</v>
      </c>
      <c r="C27" s="76"/>
      <c r="D27" s="77"/>
      <c r="E27" s="78"/>
      <c r="F27" s="79"/>
      <c r="G27" s="80"/>
      <c r="H27" s="80"/>
      <c r="I27" s="80"/>
      <c r="J27" s="80"/>
      <c r="K27" s="81"/>
      <c r="L27" s="82"/>
      <c r="M27" s="83"/>
      <c r="N27" s="84"/>
      <c r="O27" s="85"/>
      <c r="P27" s="86"/>
      <c r="Q27" s="47"/>
    </row>
    <row r="28" spans="1:17">
      <c r="A28" s="76" t="s">
        <v>1465</v>
      </c>
      <c r="B28" s="76">
        <v>24</v>
      </c>
      <c r="C28" s="76"/>
      <c r="D28" s="164"/>
      <c r="E28" s="165"/>
      <c r="F28" s="197"/>
      <c r="G28" s="163"/>
      <c r="H28" s="163"/>
      <c r="I28" s="163"/>
      <c r="J28" s="80"/>
      <c r="K28" s="167"/>
      <c r="L28" s="186"/>
      <c r="M28" s="185"/>
      <c r="N28" s="184"/>
      <c r="O28" s="183"/>
      <c r="P28" s="182"/>
      <c r="Q28" s="198"/>
    </row>
    <row r="29" spans="1:17">
      <c r="A29" s="76" t="s">
        <v>1465</v>
      </c>
      <c r="B29" s="76">
        <v>25</v>
      </c>
      <c r="C29" s="76"/>
      <c r="D29" s="164"/>
      <c r="E29" s="165"/>
      <c r="F29" s="199"/>
      <c r="G29" s="163"/>
      <c r="H29" s="163"/>
      <c r="I29" s="163"/>
      <c r="J29" s="80"/>
      <c r="K29" s="167"/>
      <c r="L29" s="186"/>
      <c r="M29" s="185"/>
      <c r="N29" s="184"/>
      <c r="O29" s="183"/>
      <c r="P29" s="182"/>
      <c r="Q29" s="200"/>
    </row>
    <row r="30" spans="1:17">
      <c r="A30" s="76" t="s">
        <v>1465</v>
      </c>
      <c r="B30" s="76">
        <v>26</v>
      </c>
      <c r="C30" s="76"/>
      <c r="D30" s="164"/>
      <c r="E30" s="165"/>
      <c r="F30" s="199"/>
      <c r="G30" s="163"/>
      <c r="H30" s="163"/>
      <c r="I30" s="163"/>
      <c r="J30" s="80"/>
      <c r="K30" s="167"/>
      <c r="L30" s="186"/>
      <c r="M30" s="185"/>
      <c r="N30" s="184"/>
      <c r="O30" s="183"/>
      <c r="P30" s="182"/>
      <c r="Q30" s="200"/>
    </row>
    <row r="31" spans="1:17">
      <c r="A31" s="76" t="s">
        <v>1465</v>
      </c>
      <c r="B31" s="76">
        <v>27</v>
      </c>
      <c r="C31" s="76"/>
      <c r="D31" s="164"/>
      <c r="E31" s="165"/>
      <c r="F31" s="199"/>
      <c r="G31" s="163"/>
      <c r="H31" s="163"/>
      <c r="I31" s="163"/>
      <c r="J31" s="80"/>
      <c r="K31" s="167"/>
      <c r="L31" s="201"/>
      <c r="M31" s="185"/>
      <c r="N31" s="184"/>
      <c r="O31" s="183"/>
      <c r="P31" s="182"/>
      <c r="Q31" s="200"/>
    </row>
    <row r="32" spans="1:17">
      <c r="A32" s="76" t="s">
        <v>1465</v>
      </c>
      <c r="B32" s="76">
        <v>28</v>
      </c>
      <c r="C32" s="76"/>
      <c r="D32" s="164"/>
      <c r="E32" s="165"/>
      <c r="F32" s="199"/>
      <c r="G32" s="163"/>
      <c r="H32" s="163"/>
      <c r="I32" s="163"/>
      <c r="J32" s="80"/>
      <c r="K32" s="167"/>
      <c r="L32" s="186"/>
      <c r="M32" s="185"/>
      <c r="N32" s="184"/>
      <c r="O32" s="183"/>
      <c r="P32" s="182"/>
      <c r="Q32" s="200"/>
    </row>
    <row r="33" spans="1:17">
      <c r="A33" s="76" t="s">
        <v>1465</v>
      </c>
      <c r="B33" s="76">
        <v>29</v>
      </c>
      <c r="C33" s="76"/>
      <c r="D33" s="164"/>
      <c r="E33" s="165"/>
      <c r="F33" s="199"/>
      <c r="G33" s="163"/>
      <c r="H33" s="163"/>
      <c r="I33" s="163"/>
      <c r="J33" s="80"/>
      <c r="K33" s="167"/>
      <c r="L33" s="186"/>
      <c r="M33" s="185"/>
      <c r="N33" s="184"/>
      <c r="O33" s="183"/>
      <c r="P33" s="182"/>
      <c r="Q33" s="200"/>
    </row>
    <row r="34" spans="1:17">
      <c r="A34" s="76" t="s">
        <v>1465</v>
      </c>
      <c r="B34" s="76">
        <v>30</v>
      </c>
      <c r="C34" s="76"/>
      <c r="D34" s="164"/>
      <c r="E34" s="165"/>
      <c r="F34" s="199"/>
      <c r="G34" s="163"/>
      <c r="H34" s="163"/>
      <c r="I34" s="163"/>
      <c r="J34" s="80"/>
      <c r="K34" s="167"/>
      <c r="L34" s="186"/>
      <c r="M34" s="185"/>
      <c r="N34" s="184"/>
      <c r="O34" s="183"/>
      <c r="P34" s="182"/>
      <c r="Q34" s="200"/>
    </row>
    <row r="35" spans="1:17">
      <c r="A35" s="76" t="s">
        <v>1465</v>
      </c>
      <c r="B35" s="76">
        <v>31</v>
      </c>
      <c r="C35" s="76"/>
      <c r="D35" s="164"/>
      <c r="E35" s="165"/>
      <c r="F35" s="199"/>
      <c r="G35" s="163"/>
      <c r="H35" s="163"/>
      <c r="I35" s="163"/>
      <c r="J35" s="80"/>
      <c r="K35" s="167"/>
      <c r="L35" s="186"/>
      <c r="M35" s="185"/>
      <c r="N35" s="184"/>
      <c r="O35" s="183"/>
      <c r="P35" s="182"/>
      <c r="Q35" s="202"/>
    </row>
    <row r="36" spans="1:17">
      <c r="A36" s="76" t="s">
        <v>1465</v>
      </c>
      <c r="B36" s="76">
        <v>32</v>
      </c>
      <c r="C36" s="76"/>
      <c r="D36" s="164"/>
      <c r="E36" s="165"/>
      <c r="F36" s="199"/>
      <c r="G36" s="163"/>
      <c r="H36" s="163"/>
      <c r="I36" s="163"/>
      <c r="J36" s="80"/>
      <c r="K36" s="167"/>
      <c r="L36" s="186"/>
      <c r="M36" s="185"/>
      <c r="N36" s="184"/>
      <c r="O36" s="183"/>
      <c r="P36" s="182"/>
      <c r="Q36" s="200"/>
    </row>
    <row r="37" spans="1:17">
      <c r="A37" s="76" t="s">
        <v>1465</v>
      </c>
      <c r="B37" s="76">
        <v>33</v>
      </c>
      <c r="C37" s="76"/>
      <c r="D37" s="164"/>
      <c r="E37" s="165"/>
      <c r="F37" s="199"/>
      <c r="G37" s="163"/>
      <c r="H37" s="163"/>
      <c r="I37" s="163"/>
      <c r="J37" s="80"/>
      <c r="K37" s="167"/>
      <c r="L37" s="186"/>
      <c r="M37" s="185"/>
      <c r="N37" s="184"/>
      <c r="O37" s="183"/>
      <c r="P37" s="182"/>
      <c r="Q37" s="200"/>
    </row>
    <row r="38" spans="1:17">
      <c r="A38" s="76" t="s">
        <v>1465</v>
      </c>
      <c r="B38" s="76">
        <v>34</v>
      </c>
      <c r="C38" s="76"/>
      <c r="D38" s="164"/>
      <c r="E38" s="165"/>
      <c r="F38" s="199"/>
      <c r="G38" s="163"/>
      <c r="H38" s="163"/>
      <c r="I38" s="163"/>
      <c r="J38" s="80"/>
      <c r="K38" s="167"/>
      <c r="L38" s="186"/>
      <c r="M38" s="185"/>
      <c r="N38" s="184"/>
      <c r="O38" s="183"/>
      <c r="P38" s="182"/>
      <c r="Q38" s="200"/>
    </row>
    <row r="39" spans="1:17">
      <c r="A39" s="76" t="s">
        <v>1465</v>
      </c>
      <c r="B39" s="76">
        <v>35</v>
      </c>
      <c r="C39" s="76"/>
      <c r="D39" s="164"/>
      <c r="E39" s="165"/>
      <c r="F39" s="199"/>
      <c r="G39" s="163"/>
      <c r="H39" s="163"/>
      <c r="I39" s="163"/>
      <c r="J39" s="80"/>
      <c r="K39" s="167"/>
      <c r="L39" s="186"/>
      <c r="M39" s="185"/>
      <c r="N39" s="184"/>
      <c r="O39" s="183"/>
      <c r="P39" s="182"/>
      <c r="Q39" s="200"/>
    </row>
    <row r="40" spans="1:17">
      <c r="A40" s="76" t="s">
        <v>1465</v>
      </c>
      <c r="B40" s="76">
        <v>36</v>
      </c>
      <c r="C40" s="76"/>
      <c r="D40" s="164"/>
      <c r="E40" s="165"/>
      <c r="F40" s="199"/>
      <c r="G40" s="163"/>
      <c r="H40" s="163"/>
      <c r="I40" s="163"/>
      <c r="J40" s="80"/>
      <c r="K40" s="167"/>
      <c r="L40" s="186"/>
      <c r="M40" s="185"/>
      <c r="N40" s="184"/>
      <c r="O40" s="183"/>
      <c r="P40" s="182"/>
      <c r="Q40" s="200"/>
    </row>
    <row r="41" spans="1:17">
      <c r="A41" s="76" t="s">
        <v>1465</v>
      </c>
      <c r="B41" s="76">
        <v>37</v>
      </c>
      <c r="C41" s="76"/>
      <c r="D41" s="164"/>
      <c r="E41" s="165"/>
      <c r="F41" s="199"/>
      <c r="G41" s="163"/>
      <c r="H41" s="163"/>
      <c r="I41" s="163"/>
      <c r="J41" s="80"/>
      <c r="K41" s="167"/>
      <c r="L41" s="186"/>
      <c r="M41" s="185"/>
      <c r="N41" s="184"/>
      <c r="O41" s="183"/>
      <c r="P41" s="182"/>
      <c r="Q41" s="200"/>
    </row>
    <row r="42" spans="1:17">
      <c r="A42" s="76" t="s">
        <v>1465</v>
      </c>
      <c r="B42" s="76">
        <v>38</v>
      </c>
      <c r="C42" s="76"/>
      <c r="D42" s="164"/>
      <c r="E42" s="165"/>
      <c r="F42" s="199"/>
      <c r="G42" s="163"/>
      <c r="H42" s="163"/>
      <c r="I42" s="163"/>
      <c r="J42" s="80"/>
      <c r="K42" s="167"/>
      <c r="L42" s="186"/>
      <c r="M42" s="185"/>
      <c r="N42" s="184"/>
      <c r="O42" s="183"/>
      <c r="P42" s="182"/>
      <c r="Q42" s="200"/>
    </row>
    <row r="43" spans="1:17">
      <c r="A43" s="76" t="s">
        <v>1465</v>
      </c>
      <c r="B43" s="76">
        <v>39</v>
      </c>
      <c r="C43" s="76"/>
      <c r="D43" s="164"/>
      <c r="E43" s="165"/>
      <c r="F43" s="199"/>
      <c r="G43" s="163"/>
      <c r="H43" s="163"/>
      <c r="I43" s="163"/>
      <c r="J43" s="80"/>
      <c r="K43" s="167"/>
      <c r="L43" s="186"/>
      <c r="M43" s="185"/>
      <c r="N43" s="184"/>
      <c r="O43" s="183"/>
      <c r="P43" s="182"/>
      <c r="Q43" s="200"/>
    </row>
    <row r="44" spans="1:17">
      <c r="A44" s="76" t="s">
        <v>1465</v>
      </c>
      <c r="B44" s="76">
        <v>40</v>
      </c>
      <c r="C44" s="76"/>
      <c r="D44" s="164"/>
      <c r="E44" s="165"/>
      <c r="F44" s="199"/>
      <c r="G44" s="163"/>
      <c r="H44" s="163"/>
      <c r="I44" s="163"/>
      <c r="J44" s="80"/>
      <c r="K44" s="167"/>
      <c r="L44" s="186"/>
      <c r="M44" s="185"/>
      <c r="N44" s="184"/>
      <c r="O44" s="183"/>
      <c r="P44" s="182"/>
      <c r="Q44" s="200"/>
    </row>
    <row r="45" spans="1:17">
      <c r="A45" s="76" t="s">
        <v>1465</v>
      </c>
      <c r="B45" s="76">
        <v>41</v>
      </c>
      <c r="C45" s="76"/>
      <c r="D45" s="164"/>
      <c r="E45" s="165"/>
      <c r="F45" s="199"/>
      <c r="G45" s="163"/>
      <c r="H45" s="163"/>
      <c r="I45" s="163"/>
      <c r="J45" s="80"/>
      <c r="K45" s="167"/>
      <c r="L45" s="186"/>
      <c r="M45" s="185"/>
      <c r="N45" s="184"/>
      <c r="O45" s="183"/>
      <c r="P45" s="182"/>
      <c r="Q45" s="200"/>
    </row>
    <row r="46" spans="1:17">
      <c r="A46" s="76" t="s">
        <v>1465</v>
      </c>
      <c r="B46" s="76">
        <v>42</v>
      </c>
      <c r="C46" s="76"/>
      <c r="D46" s="164"/>
      <c r="E46" s="165"/>
      <c r="F46" s="199"/>
      <c r="G46" s="163"/>
      <c r="H46" s="163"/>
      <c r="I46" s="163"/>
      <c r="J46" s="80"/>
      <c r="K46" s="167"/>
      <c r="L46" s="186"/>
      <c r="M46" s="185"/>
      <c r="N46" s="184"/>
      <c r="O46" s="183"/>
      <c r="P46" s="182"/>
      <c r="Q46" s="200"/>
    </row>
    <row r="47" spans="1:17">
      <c r="A47" s="76" t="s">
        <v>1465</v>
      </c>
      <c r="B47" s="76">
        <v>43</v>
      </c>
      <c r="C47" s="76"/>
      <c r="D47" s="164"/>
      <c r="E47" s="165"/>
      <c r="F47" s="199"/>
      <c r="G47" s="163"/>
      <c r="H47" s="163"/>
      <c r="I47" s="163"/>
      <c r="J47" s="80"/>
      <c r="K47" s="167"/>
      <c r="L47" s="186"/>
      <c r="M47" s="185"/>
      <c r="N47" s="184"/>
      <c r="O47" s="183"/>
      <c r="P47" s="182"/>
      <c r="Q47" s="200"/>
    </row>
    <row r="48" spans="1:17">
      <c r="A48" s="76" t="s">
        <v>1465</v>
      </c>
      <c r="B48" s="76">
        <v>44</v>
      </c>
      <c r="C48" s="76"/>
      <c r="D48" s="164"/>
      <c r="E48" s="165"/>
      <c r="F48" s="199"/>
      <c r="G48" s="163"/>
      <c r="H48" s="163"/>
      <c r="I48" s="163"/>
      <c r="J48" s="80"/>
      <c r="K48" s="167"/>
      <c r="L48" s="186"/>
      <c r="M48" s="185"/>
      <c r="N48" s="184"/>
      <c r="O48" s="183"/>
      <c r="P48" s="182"/>
      <c r="Q48" s="200"/>
    </row>
    <row r="49" spans="1:17">
      <c r="A49" s="76" t="s">
        <v>1465</v>
      </c>
      <c r="B49" s="76">
        <v>45</v>
      </c>
      <c r="C49" s="76"/>
      <c r="D49" s="164"/>
      <c r="E49" s="165"/>
      <c r="F49" s="199"/>
      <c r="G49" s="163"/>
      <c r="H49" s="163"/>
      <c r="I49" s="163"/>
      <c r="J49" s="80"/>
      <c r="K49" s="167"/>
      <c r="L49" s="186"/>
      <c r="M49" s="185"/>
      <c r="N49" s="184"/>
      <c r="O49" s="183"/>
      <c r="P49" s="182"/>
      <c r="Q49" s="200"/>
    </row>
    <row r="50" spans="1:17">
      <c r="A50" s="76" t="s">
        <v>1465</v>
      </c>
      <c r="B50" s="76">
        <v>46</v>
      </c>
      <c r="C50" s="76"/>
      <c r="D50" s="164"/>
      <c r="E50" s="165"/>
      <c r="F50" s="197"/>
      <c r="G50" s="163"/>
      <c r="H50" s="163"/>
      <c r="I50" s="163"/>
      <c r="J50" s="80"/>
      <c r="K50" s="167"/>
      <c r="L50" s="186"/>
      <c r="M50" s="185"/>
      <c r="N50" s="184"/>
      <c r="O50" s="183"/>
      <c r="P50" s="182"/>
      <c r="Q50" s="200"/>
    </row>
    <row r="51" spans="1:17">
      <c r="A51" s="76" t="s">
        <v>1465</v>
      </c>
      <c r="B51" s="76">
        <v>47</v>
      </c>
      <c r="C51" s="76"/>
      <c r="D51" s="164"/>
      <c r="E51" s="165"/>
      <c r="F51" s="199"/>
      <c r="G51" s="163"/>
      <c r="H51" s="163"/>
      <c r="I51" s="163"/>
      <c r="J51" s="80"/>
      <c r="K51" s="167"/>
      <c r="L51" s="186"/>
      <c r="M51" s="185"/>
      <c r="N51" s="184"/>
      <c r="O51" s="183"/>
      <c r="P51" s="182"/>
      <c r="Q51" s="200"/>
    </row>
    <row r="52" spans="1:17">
      <c r="A52" s="76" t="s">
        <v>1465</v>
      </c>
      <c r="B52" s="76">
        <v>48</v>
      </c>
      <c r="C52" s="76"/>
      <c r="D52" s="164"/>
      <c r="E52" s="165"/>
      <c r="F52" s="197"/>
      <c r="G52" s="163"/>
      <c r="H52" s="163"/>
      <c r="I52" s="163"/>
      <c r="J52" s="80"/>
      <c r="K52" s="167"/>
      <c r="L52" s="186"/>
      <c r="M52" s="185"/>
      <c r="N52" s="184"/>
      <c r="O52" s="183"/>
      <c r="P52" s="182"/>
      <c r="Q52" s="200"/>
    </row>
    <row r="53" spans="1:17">
      <c r="A53" s="76" t="s">
        <v>1465</v>
      </c>
      <c r="B53" s="76">
        <v>49</v>
      </c>
      <c r="C53" s="76"/>
      <c r="D53" s="164"/>
      <c r="E53" s="165"/>
      <c r="F53" s="197"/>
      <c r="G53" s="163"/>
      <c r="H53" s="163"/>
      <c r="I53" s="163"/>
      <c r="J53" s="80"/>
      <c r="K53" s="167"/>
      <c r="L53" s="186"/>
      <c r="M53" s="185"/>
      <c r="N53" s="184"/>
      <c r="O53" s="183"/>
      <c r="P53" s="182"/>
      <c r="Q53" s="200"/>
    </row>
    <row r="54" spans="1:17">
      <c r="A54" s="76" t="s">
        <v>1465</v>
      </c>
      <c r="B54" s="76">
        <v>50</v>
      </c>
      <c r="C54" s="76"/>
      <c r="D54" s="164"/>
      <c r="E54" s="165"/>
      <c r="F54" s="197"/>
      <c r="G54" s="163"/>
      <c r="H54" s="163"/>
      <c r="I54" s="163"/>
      <c r="J54" s="80"/>
      <c r="K54" s="167"/>
      <c r="L54" s="186"/>
      <c r="M54" s="185"/>
      <c r="N54" s="184"/>
      <c r="O54" s="183"/>
      <c r="P54" s="182"/>
      <c r="Q54" s="200"/>
    </row>
    <row r="55" spans="1:17">
      <c r="A55" s="76" t="s">
        <v>1465</v>
      </c>
      <c r="B55" s="76">
        <v>51</v>
      </c>
      <c r="C55" s="76"/>
      <c r="D55" s="164"/>
      <c r="E55" s="165"/>
      <c r="F55" s="197"/>
      <c r="G55" s="163"/>
      <c r="H55" s="163"/>
      <c r="I55" s="163"/>
      <c r="J55" s="80"/>
      <c r="K55" s="167"/>
      <c r="L55" s="186"/>
      <c r="M55" s="185"/>
      <c r="N55" s="184"/>
      <c r="O55" s="183"/>
      <c r="P55" s="182"/>
      <c r="Q55" s="200"/>
    </row>
    <row r="56" spans="1:17">
      <c r="A56" s="76" t="s">
        <v>1465</v>
      </c>
      <c r="B56" s="76">
        <v>52</v>
      </c>
      <c r="C56" s="76"/>
      <c r="D56" s="164"/>
      <c r="E56" s="165"/>
      <c r="F56" s="197"/>
      <c r="G56" s="163"/>
      <c r="H56" s="163"/>
      <c r="I56" s="163"/>
      <c r="J56" s="80"/>
      <c r="K56" s="167"/>
      <c r="L56" s="186"/>
      <c r="M56" s="185"/>
      <c r="N56" s="184"/>
      <c r="O56" s="183"/>
      <c r="P56" s="182"/>
      <c r="Q56" s="200"/>
    </row>
    <row r="57" spans="1:17">
      <c r="A57" s="76" t="s">
        <v>1465</v>
      </c>
      <c r="B57" s="76">
        <v>53</v>
      </c>
      <c r="C57" s="76"/>
      <c r="D57" s="164"/>
      <c r="E57" s="165"/>
      <c r="F57" s="199"/>
      <c r="G57" s="163"/>
      <c r="H57" s="163"/>
      <c r="I57" s="163"/>
      <c r="J57" s="80"/>
      <c r="K57" s="167"/>
      <c r="L57" s="186"/>
      <c r="M57" s="185"/>
      <c r="N57" s="184"/>
      <c r="O57" s="183"/>
      <c r="P57" s="182"/>
      <c r="Q57" s="168"/>
    </row>
    <row r="58" spans="1:17">
      <c r="A58" s="76" t="s">
        <v>1465</v>
      </c>
      <c r="B58" s="76">
        <v>54</v>
      </c>
      <c r="C58" s="76"/>
      <c r="D58" s="164"/>
      <c r="E58" s="165"/>
      <c r="F58" s="199"/>
      <c r="G58" s="163"/>
      <c r="H58" s="163"/>
      <c r="I58" s="163"/>
      <c r="J58" s="80"/>
      <c r="K58" s="167"/>
      <c r="L58" s="186"/>
      <c r="M58" s="185"/>
      <c r="N58" s="184"/>
      <c r="O58" s="183"/>
      <c r="P58" s="182"/>
      <c r="Q58" s="168"/>
    </row>
    <row r="59" spans="1:17">
      <c r="A59" s="76" t="s">
        <v>1465</v>
      </c>
      <c r="B59" s="76">
        <v>55</v>
      </c>
      <c r="C59" s="76"/>
      <c r="D59" s="164"/>
      <c r="E59" s="165"/>
      <c r="F59" s="199"/>
      <c r="G59" s="163"/>
      <c r="H59" s="163"/>
      <c r="I59" s="163"/>
      <c r="J59" s="80"/>
      <c r="K59" s="167"/>
      <c r="L59" s="186"/>
      <c r="M59" s="185"/>
      <c r="N59" s="184"/>
      <c r="O59" s="183"/>
      <c r="P59" s="182"/>
      <c r="Q59" s="168"/>
    </row>
    <row r="60" spans="1:17">
      <c r="A60" s="76" t="s">
        <v>1465</v>
      </c>
      <c r="B60" s="76">
        <v>56</v>
      </c>
      <c r="C60" s="76"/>
      <c r="D60" s="164"/>
      <c r="E60" s="165"/>
      <c r="F60" s="199"/>
      <c r="G60" s="163"/>
      <c r="H60" s="163"/>
      <c r="I60" s="163"/>
      <c r="J60" s="80"/>
      <c r="K60" s="167"/>
      <c r="L60" s="186"/>
      <c r="M60" s="185"/>
      <c r="N60" s="184"/>
      <c r="O60" s="183"/>
      <c r="P60" s="182"/>
      <c r="Q60" s="168"/>
    </row>
    <row r="61" spans="1:17">
      <c r="A61" s="76" t="s">
        <v>1465</v>
      </c>
      <c r="B61" s="76">
        <v>57</v>
      </c>
      <c r="C61" s="76"/>
      <c r="D61" s="164"/>
      <c r="E61" s="165"/>
      <c r="F61" s="199"/>
      <c r="G61" s="163"/>
      <c r="H61" s="163"/>
      <c r="I61" s="163"/>
      <c r="J61" s="80"/>
      <c r="K61" s="167"/>
      <c r="L61" s="186"/>
      <c r="M61" s="185"/>
      <c r="N61" s="184"/>
      <c r="O61" s="183"/>
      <c r="P61" s="182"/>
      <c r="Q61" s="168"/>
    </row>
    <row r="62" spans="1:17">
      <c r="A62" s="76" t="s">
        <v>1465</v>
      </c>
      <c r="B62" s="76">
        <v>58</v>
      </c>
      <c r="C62" s="76"/>
      <c r="D62" s="164"/>
      <c r="E62" s="165"/>
      <c r="F62" s="199"/>
      <c r="G62" s="163"/>
      <c r="H62" s="163"/>
      <c r="I62" s="163"/>
      <c r="J62" s="80"/>
      <c r="K62" s="167"/>
      <c r="L62" s="186"/>
      <c r="M62" s="185"/>
      <c r="N62" s="184"/>
      <c r="O62" s="183"/>
      <c r="P62" s="182"/>
      <c r="Q62" s="168"/>
    </row>
    <row r="63" spans="1:17">
      <c r="A63" s="76" t="s">
        <v>1465</v>
      </c>
      <c r="B63" s="76">
        <v>59</v>
      </c>
      <c r="C63" s="76"/>
      <c r="D63" s="164"/>
      <c r="E63" s="165"/>
      <c r="F63" s="199"/>
      <c r="G63" s="163"/>
      <c r="H63" s="163"/>
      <c r="I63" s="163"/>
      <c r="J63" s="80"/>
      <c r="K63" s="167"/>
      <c r="L63" s="186"/>
      <c r="M63" s="185"/>
      <c r="N63" s="184"/>
      <c r="O63" s="183"/>
      <c r="P63" s="182"/>
      <c r="Q63" s="168"/>
    </row>
    <row r="64" spans="1:17" ht="14.45" customHeight="1">
      <c r="A64" s="76" t="s">
        <v>1465</v>
      </c>
      <c r="B64" s="76">
        <v>60</v>
      </c>
      <c r="C64" s="76"/>
      <c r="D64" s="164"/>
      <c r="E64" s="165"/>
      <c r="F64" s="199"/>
      <c r="G64" s="163"/>
      <c r="H64" s="163"/>
      <c r="I64" s="163"/>
      <c r="J64" s="80"/>
      <c r="K64" s="170"/>
      <c r="L64" s="203"/>
      <c r="M64" s="204"/>
      <c r="N64" s="205"/>
      <c r="O64" s="206"/>
      <c r="P64" s="207"/>
      <c r="Q64" s="168"/>
    </row>
    <row r="65" spans="1:17">
      <c r="A65" s="76" t="s">
        <v>1465</v>
      </c>
      <c r="B65" s="76">
        <v>61</v>
      </c>
      <c r="C65" s="76"/>
      <c r="D65" s="164"/>
      <c r="E65" s="165"/>
      <c r="F65" s="199"/>
      <c r="G65" s="163"/>
      <c r="H65" s="163"/>
      <c r="I65" s="163"/>
      <c r="J65" s="80"/>
      <c r="K65" s="167"/>
      <c r="L65" s="186"/>
      <c r="M65" s="185"/>
      <c r="N65" s="184"/>
      <c r="O65" s="183"/>
      <c r="P65" s="182"/>
      <c r="Q65" s="168"/>
    </row>
    <row r="66" spans="1:17">
      <c r="A66" s="76" t="s">
        <v>1465</v>
      </c>
      <c r="B66" s="76">
        <v>62</v>
      </c>
      <c r="C66" s="76"/>
      <c r="D66" s="164"/>
      <c r="E66" s="165"/>
      <c r="F66" s="199"/>
      <c r="G66" s="163"/>
      <c r="H66" s="163"/>
      <c r="I66" s="163"/>
      <c r="J66" s="80"/>
      <c r="K66" s="167"/>
      <c r="L66" s="186"/>
      <c r="M66" s="185"/>
      <c r="N66" s="184"/>
      <c r="O66" s="183"/>
      <c r="P66" s="182"/>
      <c r="Q66" s="168"/>
    </row>
    <row r="67" spans="1:17">
      <c r="A67" s="76" t="s">
        <v>1465</v>
      </c>
      <c r="B67" s="76">
        <v>63</v>
      </c>
      <c r="C67" s="76"/>
      <c r="D67" s="164"/>
      <c r="E67" s="165"/>
      <c r="F67" s="199"/>
      <c r="G67" s="163"/>
      <c r="H67" s="163"/>
      <c r="I67" s="163"/>
      <c r="J67" s="80"/>
      <c r="K67" s="167"/>
      <c r="L67" s="186"/>
      <c r="M67" s="185"/>
      <c r="N67" s="184"/>
      <c r="O67" s="183"/>
      <c r="P67" s="182"/>
      <c r="Q67" s="168"/>
    </row>
    <row r="68" spans="1:17">
      <c r="A68" s="76" t="s">
        <v>1465</v>
      </c>
      <c r="B68" s="76">
        <v>64</v>
      </c>
      <c r="C68" s="76"/>
      <c r="D68" s="164"/>
      <c r="E68" s="165"/>
      <c r="F68" s="199"/>
      <c r="G68" s="163"/>
      <c r="H68" s="163"/>
      <c r="I68" s="163"/>
      <c r="J68" s="80"/>
      <c r="K68" s="170"/>
      <c r="L68" s="203"/>
      <c r="M68" s="204"/>
      <c r="N68" s="205"/>
      <c r="O68" s="206"/>
      <c r="P68" s="207"/>
      <c r="Q68" s="168"/>
    </row>
    <row r="69" spans="1:17">
      <c r="A69" s="76" t="s">
        <v>1465</v>
      </c>
      <c r="B69" s="76">
        <v>65</v>
      </c>
      <c r="C69" s="76"/>
      <c r="D69" s="164"/>
      <c r="E69" s="165"/>
      <c r="F69" s="199"/>
      <c r="G69" s="163"/>
      <c r="H69" s="163"/>
      <c r="I69" s="163"/>
      <c r="J69" s="80"/>
      <c r="K69" s="170"/>
      <c r="L69" s="203"/>
      <c r="M69" s="204"/>
      <c r="N69" s="205"/>
      <c r="O69" s="206"/>
      <c r="P69" s="207"/>
      <c r="Q69" s="168"/>
    </row>
    <row r="70" spans="1:17">
      <c r="A70" s="76" t="s">
        <v>1465</v>
      </c>
      <c r="B70" s="76">
        <v>66</v>
      </c>
      <c r="C70" s="76"/>
      <c r="D70" s="164"/>
      <c r="E70" s="165"/>
      <c r="F70" s="199"/>
      <c r="G70" s="163"/>
      <c r="H70" s="163"/>
      <c r="I70" s="163"/>
      <c r="J70" s="80"/>
      <c r="K70" s="170"/>
      <c r="L70" s="203"/>
      <c r="M70" s="204"/>
      <c r="N70" s="205"/>
      <c r="O70" s="206"/>
      <c r="P70" s="207"/>
      <c r="Q70" s="168"/>
    </row>
    <row r="71" spans="1:17">
      <c r="A71" s="76" t="s">
        <v>1465</v>
      </c>
      <c r="B71" s="76">
        <v>67</v>
      </c>
      <c r="C71" s="76"/>
      <c r="D71" s="164"/>
      <c r="E71" s="165"/>
      <c r="F71" s="199"/>
      <c r="G71" s="163"/>
      <c r="H71" s="163"/>
      <c r="I71" s="163"/>
      <c r="J71" s="80"/>
      <c r="K71" s="170"/>
      <c r="L71" s="203"/>
      <c r="M71" s="204"/>
      <c r="N71" s="205"/>
      <c r="O71" s="206"/>
      <c r="P71" s="207"/>
      <c r="Q71" s="168"/>
    </row>
    <row r="72" spans="1:17">
      <c r="A72" s="76" t="s">
        <v>1465</v>
      </c>
      <c r="B72" s="76">
        <v>68</v>
      </c>
      <c r="C72" s="76"/>
      <c r="D72" s="164"/>
      <c r="E72" s="165"/>
      <c r="F72" s="199"/>
      <c r="G72" s="163"/>
      <c r="H72" s="163"/>
      <c r="I72" s="163"/>
      <c r="J72" s="80"/>
      <c r="K72" s="167"/>
      <c r="L72" s="186"/>
      <c r="M72" s="185"/>
      <c r="N72" s="184"/>
      <c r="O72" s="183"/>
      <c r="P72" s="182"/>
      <c r="Q72" s="168"/>
    </row>
    <row r="73" spans="1:17">
      <c r="A73" s="76" t="s">
        <v>1465</v>
      </c>
      <c r="B73" s="76">
        <v>69</v>
      </c>
      <c r="C73" s="76"/>
      <c r="D73" s="164"/>
      <c r="E73" s="165"/>
      <c r="F73" s="199"/>
      <c r="G73" s="163"/>
      <c r="H73" s="163"/>
      <c r="I73" s="163"/>
      <c r="J73" s="80"/>
      <c r="K73" s="167"/>
      <c r="L73" s="186"/>
      <c r="M73" s="185"/>
      <c r="N73" s="184"/>
      <c r="O73" s="183"/>
      <c r="P73" s="182"/>
      <c r="Q73" s="168"/>
    </row>
    <row r="74" spans="1:17">
      <c r="A74" s="76" t="s">
        <v>1465</v>
      </c>
      <c r="B74" s="76">
        <v>70</v>
      </c>
      <c r="C74" s="76"/>
      <c r="D74" s="164"/>
      <c r="E74" s="165"/>
      <c r="F74" s="197"/>
      <c r="G74" s="163"/>
      <c r="H74" s="163"/>
      <c r="I74" s="163"/>
      <c r="J74" s="80"/>
      <c r="K74" s="167"/>
      <c r="L74" s="186"/>
      <c r="M74" s="185"/>
      <c r="N74" s="184"/>
      <c r="O74" s="183"/>
      <c r="P74" s="182"/>
      <c r="Q74" s="168"/>
    </row>
    <row r="75" spans="1:17">
      <c r="A75" s="76" t="s">
        <v>1465</v>
      </c>
      <c r="B75" s="76">
        <v>71</v>
      </c>
      <c r="C75" s="76"/>
      <c r="D75" s="164"/>
      <c r="E75" s="165"/>
      <c r="F75" s="199"/>
      <c r="G75" s="163"/>
      <c r="H75" s="163"/>
      <c r="I75" s="163"/>
      <c r="J75" s="80"/>
      <c r="K75" s="167"/>
      <c r="L75" s="186"/>
      <c r="M75" s="185"/>
      <c r="N75" s="184"/>
      <c r="O75" s="183"/>
      <c r="P75" s="182"/>
      <c r="Q75" s="168"/>
    </row>
    <row r="76" spans="1:17">
      <c r="A76" s="76" t="s">
        <v>1465</v>
      </c>
      <c r="B76" s="76">
        <v>72</v>
      </c>
      <c r="C76" s="76"/>
      <c r="D76" s="164"/>
      <c r="E76" s="165"/>
      <c r="F76" s="199"/>
      <c r="G76" s="163"/>
      <c r="H76" s="163"/>
      <c r="I76" s="163"/>
      <c r="J76" s="80"/>
      <c r="K76" s="167"/>
      <c r="L76" s="186"/>
      <c r="M76" s="185"/>
      <c r="N76" s="184"/>
      <c r="O76" s="183"/>
      <c r="P76" s="182"/>
      <c r="Q76" s="168"/>
    </row>
    <row r="77" spans="1:17">
      <c r="A77" s="76" t="s">
        <v>1465</v>
      </c>
      <c r="B77" s="76">
        <v>73</v>
      </c>
      <c r="C77" s="76"/>
      <c r="D77" s="164"/>
      <c r="E77" s="165"/>
      <c r="F77" s="199"/>
      <c r="G77" s="163"/>
      <c r="H77" s="163"/>
      <c r="I77" s="163"/>
      <c r="J77" s="80"/>
      <c r="K77" s="167"/>
      <c r="L77" s="186"/>
      <c r="M77" s="185"/>
      <c r="N77" s="184"/>
      <c r="O77" s="183"/>
      <c r="P77" s="182"/>
      <c r="Q77" s="168"/>
    </row>
    <row r="78" spans="1:17">
      <c r="A78" s="76" t="s">
        <v>1465</v>
      </c>
      <c r="B78" s="76">
        <v>74</v>
      </c>
      <c r="C78" s="76"/>
      <c r="D78" s="164"/>
      <c r="E78" s="165"/>
      <c r="F78" s="199"/>
      <c r="G78" s="163"/>
      <c r="H78" s="163"/>
      <c r="I78" s="163"/>
      <c r="J78" s="80"/>
      <c r="K78" s="170"/>
      <c r="L78" s="203"/>
      <c r="M78" s="204"/>
      <c r="N78" s="205"/>
      <c r="O78" s="206"/>
      <c r="P78" s="207"/>
      <c r="Q78" s="168"/>
    </row>
    <row r="79" spans="1:17">
      <c r="A79" s="76" t="s">
        <v>1465</v>
      </c>
      <c r="B79" s="76">
        <v>75</v>
      </c>
      <c r="C79" s="76"/>
      <c r="D79" s="164"/>
      <c r="E79" s="165"/>
      <c r="F79" s="199"/>
      <c r="G79" s="163"/>
      <c r="H79" s="163"/>
      <c r="I79" s="163"/>
      <c r="J79" s="80"/>
      <c r="K79" s="167"/>
      <c r="L79" s="186"/>
      <c r="M79" s="185"/>
      <c r="N79" s="184"/>
      <c r="O79" s="183"/>
      <c r="P79" s="182"/>
      <c r="Q79" s="168"/>
    </row>
    <row r="80" spans="1:17" ht="15.75">
      <c r="A80" s="76" t="s">
        <v>1465</v>
      </c>
      <c r="B80" s="76">
        <v>76</v>
      </c>
      <c r="C80" s="76"/>
      <c r="D80" s="164"/>
      <c r="E80" s="165"/>
      <c r="F80" s="199"/>
      <c r="G80" s="163"/>
      <c r="H80" s="163"/>
      <c r="I80" s="163"/>
      <c r="J80" s="80"/>
      <c r="K80" s="167"/>
      <c r="L80" s="186"/>
      <c r="M80" s="185"/>
      <c r="N80" s="184"/>
      <c r="O80" s="183"/>
      <c r="P80" s="208"/>
      <c r="Q80" s="168"/>
    </row>
    <row r="81" spans="1:21">
      <c r="A81" s="76" t="s">
        <v>1465</v>
      </c>
      <c r="B81" s="76">
        <v>77</v>
      </c>
      <c r="C81" s="76"/>
      <c r="D81" s="164"/>
      <c r="E81" s="165"/>
      <c r="F81" s="199"/>
      <c r="G81" s="163"/>
      <c r="H81" s="163"/>
      <c r="I81" s="163"/>
      <c r="J81" s="80"/>
      <c r="K81" s="167"/>
      <c r="L81" s="186"/>
      <c r="M81" s="185"/>
      <c r="N81" s="184"/>
      <c r="O81" s="183"/>
      <c r="P81" s="182"/>
      <c r="Q81" s="168"/>
    </row>
    <row r="82" spans="1:21">
      <c r="A82" s="76" t="s">
        <v>1465</v>
      </c>
      <c r="B82" s="76">
        <v>78</v>
      </c>
      <c r="C82" s="76"/>
      <c r="D82" s="164"/>
      <c r="E82" s="165"/>
      <c r="F82" s="199"/>
      <c r="G82" s="163"/>
      <c r="H82" s="163"/>
      <c r="I82" s="163"/>
      <c r="J82" s="80"/>
      <c r="K82" s="167"/>
      <c r="L82" s="186"/>
      <c r="M82" s="185"/>
      <c r="N82" s="184"/>
      <c r="O82" s="183"/>
      <c r="P82" s="182"/>
      <c r="Q82" s="168"/>
    </row>
    <row r="83" spans="1:21">
      <c r="A83" s="76" t="s">
        <v>1465</v>
      </c>
      <c r="B83" s="76">
        <v>79</v>
      </c>
      <c r="C83" s="76"/>
      <c r="D83" s="164"/>
      <c r="E83" s="165"/>
      <c r="F83" s="199"/>
      <c r="G83" s="163"/>
      <c r="H83" s="163"/>
      <c r="I83" s="163"/>
      <c r="J83" s="80"/>
      <c r="K83" s="167"/>
      <c r="L83" s="186"/>
      <c r="M83" s="185"/>
      <c r="N83" s="184"/>
      <c r="O83" s="183"/>
      <c r="P83" s="182"/>
      <c r="Q83" s="168"/>
    </row>
    <row r="84" spans="1:21">
      <c r="A84" s="76" t="s">
        <v>1465</v>
      </c>
      <c r="B84" s="76">
        <v>80</v>
      </c>
      <c r="C84" s="76"/>
      <c r="D84" s="164"/>
      <c r="E84" s="165"/>
      <c r="F84" s="199"/>
      <c r="G84" s="163"/>
      <c r="H84" s="163"/>
      <c r="I84" s="163"/>
      <c r="J84" s="80"/>
      <c r="K84" s="167"/>
      <c r="L84" s="186"/>
      <c r="M84" s="185"/>
      <c r="N84" s="184"/>
      <c r="O84" s="183"/>
      <c r="P84" s="182"/>
      <c r="Q84" s="168"/>
    </row>
    <row r="85" spans="1:21">
      <c r="A85" s="76" t="s">
        <v>1465</v>
      </c>
      <c r="B85" s="76">
        <v>81</v>
      </c>
      <c r="C85" s="76"/>
      <c r="D85" s="164"/>
      <c r="E85" s="165"/>
      <c r="F85" s="199"/>
      <c r="G85" s="163"/>
      <c r="H85" s="163"/>
      <c r="I85" s="163"/>
      <c r="J85" s="80"/>
      <c r="K85" s="167"/>
      <c r="L85" s="186"/>
      <c r="M85" s="185"/>
      <c r="N85" s="184"/>
      <c r="O85" s="183"/>
      <c r="P85" s="182"/>
      <c r="Q85" s="168"/>
    </row>
    <row r="86" spans="1:21">
      <c r="A86" s="76" t="s">
        <v>1465</v>
      </c>
      <c r="B86" s="76">
        <v>82</v>
      </c>
      <c r="C86" s="76"/>
      <c r="D86" s="164"/>
      <c r="E86" s="165"/>
      <c r="F86" s="199"/>
      <c r="G86" s="163"/>
      <c r="H86" s="163"/>
      <c r="I86" s="163"/>
      <c r="J86" s="80"/>
      <c r="K86" s="167"/>
      <c r="L86" s="186"/>
      <c r="M86" s="185"/>
      <c r="N86" s="184"/>
      <c r="O86" s="183"/>
      <c r="P86" s="182"/>
      <c r="Q86" s="168"/>
    </row>
    <row r="87" spans="1:21">
      <c r="A87" s="76" t="s">
        <v>1465</v>
      </c>
      <c r="B87" s="76">
        <v>83</v>
      </c>
      <c r="C87" s="76"/>
      <c r="D87" s="164"/>
      <c r="E87" s="165"/>
      <c r="F87" s="199"/>
      <c r="G87" s="163"/>
      <c r="H87" s="163"/>
      <c r="I87" s="163"/>
      <c r="J87" s="80"/>
      <c r="K87" s="167"/>
      <c r="L87" s="186"/>
      <c r="M87" s="185"/>
      <c r="N87" s="184"/>
      <c r="O87" s="183"/>
      <c r="P87" s="182"/>
      <c r="Q87" s="168"/>
    </row>
    <row r="88" spans="1:21">
      <c r="A88" s="76" t="s">
        <v>1465</v>
      </c>
      <c r="B88" s="76">
        <v>84</v>
      </c>
      <c r="C88" s="76"/>
      <c r="D88" s="164"/>
      <c r="E88" s="165"/>
      <c r="F88" s="199"/>
      <c r="G88" s="163"/>
      <c r="H88" s="163"/>
      <c r="I88" s="163"/>
      <c r="J88" s="80"/>
      <c r="K88" s="167"/>
      <c r="L88" s="186"/>
      <c r="M88" s="185"/>
      <c r="N88" s="184"/>
      <c r="O88" s="183"/>
      <c r="P88" s="182"/>
      <c r="Q88" s="168"/>
    </row>
    <row r="89" spans="1:21">
      <c r="A89" s="76" t="s">
        <v>1465</v>
      </c>
      <c r="B89" s="76">
        <v>85</v>
      </c>
      <c r="C89" s="76"/>
      <c r="D89" s="164"/>
      <c r="E89" s="165"/>
      <c r="F89" s="199"/>
      <c r="G89" s="163"/>
      <c r="H89" s="163"/>
      <c r="I89" s="163"/>
      <c r="J89" s="80"/>
      <c r="K89" s="167"/>
      <c r="L89" s="186"/>
      <c r="M89" s="185"/>
      <c r="N89" s="184"/>
      <c r="O89" s="183"/>
      <c r="P89" s="182"/>
      <c r="Q89" s="168"/>
    </row>
    <row r="90" spans="1:21">
      <c r="E90" s="93"/>
      <c r="F90" s="93"/>
      <c r="G90" s="106"/>
      <c r="H90" s="106"/>
      <c r="I90" s="106"/>
      <c r="J90" s="93"/>
      <c r="K90" s="106"/>
      <c r="L90" s="106"/>
      <c r="M90" s="106"/>
      <c r="N90" s="106"/>
    </row>
    <row r="91" spans="1:21">
      <c r="C91" s="142" t="s">
        <v>38</v>
      </c>
      <c r="D91" s="142"/>
      <c r="E91" s="142"/>
      <c r="F91" s="142"/>
      <c r="G91" s="195"/>
      <c r="H91" s="195"/>
      <c r="I91" s="195"/>
      <c r="J91" s="93"/>
      <c r="K91" s="106"/>
      <c r="L91" s="106"/>
      <c r="M91" s="106"/>
      <c r="N91" s="106"/>
    </row>
    <row r="92" spans="1:21">
      <c r="C92" s="142"/>
      <c r="D92" s="142"/>
      <c r="E92" s="142"/>
      <c r="F92" s="142"/>
      <c r="G92" s="195"/>
      <c r="H92" s="195"/>
      <c r="I92" s="195"/>
      <c r="J92" s="93"/>
      <c r="K92" s="106"/>
      <c r="L92" s="106"/>
      <c r="M92" s="106"/>
      <c r="N92" s="106"/>
    </row>
    <row r="93" spans="1:21">
      <c r="C93" s="142"/>
      <c r="D93" s="142" t="s">
        <v>39</v>
      </c>
      <c r="E93" s="142"/>
      <c r="F93" s="142"/>
      <c r="G93" s="195"/>
      <c r="H93" s="195"/>
      <c r="I93" s="195"/>
      <c r="J93" s="93"/>
      <c r="K93" s="106"/>
      <c r="L93" s="106"/>
      <c r="M93" s="106"/>
      <c r="N93" s="106"/>
    </row>
    <row r="94" spans="1:21" s="94" customFormat="1">
      <c r="A94" s="89"/>
      <c r="B94" s="89"/>
      <c r="C94" s="142"/>
      <c r="D94" s="142"/>
      <c r="E94" s="142"/>
      <c r="F94" s="142"/>
      <c r="G94" s="195"/>
      <c r="H94" s="195"/>
      <c r="I94" s="195"/>
      <c r="J94" s="93"/>
      <c r="K94" s="106"/>
      <c r="L94" s="106"/>
      <c r="M94" s="106"/>
      <c r="N94" s="106"/>
      <c r="Q94" s="92"/>
      <c r="R94" s="89"/>
      <c r="S94" s="89"/>
      <c r="T94" s="89"/>
      <c r="U94" s="89"/>
    </row>
    <row r="95" spans="1:21" s="94" customFormat="1">
      <c r="A95" s="89"/>
      <c r="B95" s="89"/>
      <c r="C95" s="142"/>
      <c r="D95" s="142" t="s">
        <v>40</v>
      </c>
      <c r="E95" s="142"/>
      <c r="F95" s="142"/>
      <c r="G95" s="195"/>
      <c r="H95" s="195"/>
      <c r="I95" s="195"/>
      <c r="J95" s="93"/>
      <c r="K95" s="106"/>
      <c r="L95" s="106"/>
      <c r="M95" s="106"/>
      <c r="N95" s="106"/>
      <c r="Q95" s="92"/>
      <c r="R95" s="89"/>
      <c r="S95" s="89"/>
      <c r="T95" s="89"/>
      <c r="U95" s="89"/>
    </row>
    <row r="96" spans="1:21" s="94" customFormat="1">
      <c r="A96" s="89"/>
      <c r="B96" s="89"/>
      <c r="C96" s="142"/>
      <c r="D96" s="142"/>
      <c r="E96" s="142"/>
      <c r="F96" s="142"/>
      <c r="G96" s="195"/>
      <c r="H96" s="195"/>
      <c r="I96" s="195"/>
      <c r="J96" s="89"/>
      <c r="Q96" s="92"/>
      <c r="R96" s="89"/>
      <c r="S96" s="89"/>
      <c r="T96" s="89"/>
      <c r="U96" s="89"/>
    </row>
    <row r="97" spans="1:21" s="94" customFormat="1">
      <c r="A97" s="89"/>
      <c r="B97" s="89"/>
      <c r="C97" s="142"/>
      <c r="D97" s="142" t="s">
        <v>41</v>
      </c>
      <c r="E97" s="142"/>
      <c r="F97" s="142"/>
      <c r="G97" s="195"/>
      <c r="H97" s="195"/>
      <c r="I97" s="195"/>
      <c r="J97" s="89"/>
      <c r="Q97" s="92"/>
      <c r="R97" s="89"/>
      <c r="S97" s="89"/>
      <c r="T97" s="89"/>
      <c r="U97" s="89"/>
    </row>
    <row r="98" spans="1:21" s="94" customFormat="1">
      <c r="A98" s="89"/>
      <c r="B98" s="89"/>
      <c r="C98" s="142"/>
      <c r="D98" s="142"/>
      <c r="E98" s="142"/>
      <c r="F98" s="142"/>
      <c r="G98" s="195"/>
      <c r="H98" s="195"/>
      <c r="I98" s="195"/>
      <c r="J98" s="89"/>
      <c r="Q98" s="92"/>
      <c r="R98" s="89"/>
      <c r="S98" s="89"/>
      <c r="T98" s="89"/>
      <c r="U98" s="89"/>
    </row>
    <row r="99" spans="1:21" s="94" customFormat="1">
      <c r="A99" s="89"/>
      <c r="B99" s="89"/>
      <c r="C99" s="142"/>
      <c r="D99" s="142" t="s">
        <v>42</v>
      </c>
      <c r="E99" s="142"/>
      <c r="F99" s="142"/>
      <c r="G99" s="195"/>
      <c r="H99" s="195"/>
      <c r="I99" s="195"/>
      <c r="J99" s="89"/>
      <c r="Q99" s="92"/>
      <c r="R99" s="89"/>
      <c r="S99" s="89"/>
      <c r="T99" s="89"/>
      <c r="U99" s="89"/>
    </row>
    <row r="100" spans="1:21" s="94" customFormat="1">
      <c r="A100" s="89"/>
      <c r="B100" s="89"/>
      <c r="C100" s="143"/>
      <c r="D100" s="143"/>
      <c r="E100" s="143"/>
      <c r="F100" s="143"/>
      <c r="G100" s="196"/>
      <c r="H100" s="196"/>
      <c r="I100" s="196"/>
      <c r="J100" s="89"/>
      <c r="Q100" s="92"/>
      <c r="R100" s="89"/>
      <c r="S100" s="89"/>
      <c r="T100" s="89"/>
      <c r="U100" s="89"/>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1405C-228C-4AE1-964F-DED57B13E704}">
  <sheetPr>
    <tabColor theme="9" tint="0.39997558519241921"/>
  </sheetPr>
  <dimension ref="A3:AA12"/>
  <sheetViews>
    <sheetView topLeftCell="A16" workbookViewId="0">
      <selection activeCell="L2" sqref="L2"/>
    </sheetView>
  </sheetViews>
  <sheetFormatPr defaultRowHeight="15"/>
  <cols>
    <col min="1" max="1" width="34.28515625" bestFit="1" customWidth="1"/>
    <col min="2" max="2" width="32.28515625" bestFit="1" customWidth="1"/>
    <col min="3" max="3" width="16.7109375" bestFit="1" customWidth="1"/>
    <col min="4" max="4" width="18.7109375" bestFit="1" customWidth="1"/>
    <col min="5" max="5" width="17.7109375" bestFit="1" customWidth="1"/>
    <col min="6" max="6" width="12.85546875" bestFit="1" customWidth="1"/>
    <col min="7" max="8" width="16.7109375" bestFit="1" customWidth="1"/>
    <col min="9" max="9" width="22.42578125" bestFit="1" customWidth="1"/>
    <col min="10" max="10" width="17.7109375" bestFit="1" customWidth="1"/>
    <col min="11" max="11" width="9.28515625" bestFit="1" customWidth="1"/>
    <col min="12" max="13" width="25.7109375" bestFit="1" customWidth="1"/>
    <col min="14" max="14" width="33.5703125" bestFit="1" customWidth="1"/>
    <col min="15" max="15" width="22.28515625" bestFit="1" customWidth="1"/>
    <col min="16" max="16" width="18.85546875" bestFit="1" customWidth="1"/>
    <col min="17" max="17" width="13.42578125" bestFit="1" customWidth="1"/>
    <col min="18" max="18" width="15.85546875" bestFit="1" customWidth="1"/>
    <col min="19" max="19" width="8.5703125" bestFit="1" customWidth="1"/>
    <col min="20" max="20" width="23.42578125" bestFit="1" customWidth="1"/>
    <col min="21" max="21" width="19.140625" bestFit="1" customWidth="1"/>
    <col min="22" max="22" width="13.28515625" bestFit="1" customWidth="1"/>
    <col min="23" max="23" width="7.7109375" bestFit="1" customWidth="1"/>
    <col min="24" max="24" width="20.5703125" bestFit="1" customWidth="1"/>
    <col min="25" max="26" width="19.140625" bestFit="1" customWidth="1"/>
    <col min="27" max="27" width="11" bestFit="1" customWidth="1"/>
  </cols>
  <sheetData>
    <row r="3" spans="1:27">
      <c r="A3" s="109" t="s">
        <v>1478</v>
      </c>
      <c r="B3" s="109" t="s">
        <v>1479</v>
      </c>
    </row>
    <row r="4" spans="1:27">
      <c r="A4" s="109" t="s">
        <v>1480</v>
      </c>
      <c r="B4" t="s">
        <v>1281</v>
      </c>
      <c r="C4" t="s">
        <v>1309</v>
      </c>
      <c r="D4" t="s">
        <v>1298</v>
      </c>
      <c r="E4" t="s">
        <v>1299</v>
      </c>
      <c r="F4" t="s">
        <v>1304</v>
      </c>
      <c r="G4" t="s">
        <v>1308</v>
      </c>
      <c r="H4" t="s">
        <v>1307</v>
      </c>
      <c r="I4" t="s">
        <v>1301</v>
      </c>
      <c r="J4" t="s">
        <v>1303</v>
      </c>
      <c r="K4" t="s">
        <v>1286</v>
      </c>
      <c r="L4" t="s">
        <v>1288</v>
      </c>
      <c r="M4" t="s">
        <v>1291</v>
      </c>
      <c r="N4" t="s">
        <v>1278</v>
      </c>
      <c r="O4" t="s">
        <v>1297</v>
      </c>
      <c r="P4" t="s">
        <v>1294</v>
      </c>
      <c r="Q4" t="s">
        <v>1317</v>
      </c>
      <c r="R4" t="s">
        <v>1323</v>
      </c>
      <c r="S4" t="s">
        <v>1311</v>
      </c>
      <c r="T4" t="s">
        <v>1284</v>
      </c>
      <c r="U4" t="s">
        <v>1316</v>
      </c>
      <c r="V4" t="s">
        <v>1313</v>
      </c>
      <c r="W4" t="s">
        <v>1315</v>
      </c>
      <c r="X4" t="s">
        <v>1293</v>
      </c>
      <c r="Y4" t="s">
        <v>1481</v>
      </c>
      <c r="Z4" t="s">
        <v>1482</v>
      </c>
      <c r="AA4" t="s">
        <v>1483</v>
      </c>
    </row>
    <row r="5" spans="1:27">
      <c r="A5" s="110" t="s">
        <v>1277</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25</v>
      </c>
    </row>
    <row r="6" spans="1:27">
      <c r="A6" s="111">
        <v>2024</v>
      </c>
      <c r="L6">
        <v>1</v>
      </c>
      <c r="M6">
        <v>1</v>
      </c>
      <c r="AA6">
        <v>2</v>
      </c>
    </row>
    <row r="7" spans="1:27">
      <c r="A7" s="111">
        <v>2025</v>
      </c>
      <c r="B7">
        <v>1</v>
      </c>
      <c r="N7">
        <v>1</v>
      </c>
      <c r="S7">
        <v>1</v>
      </c>
      <c r="AA7">
        <v>3</v>
      </c>
    </row>
    <row r="8" spans="1:27">
      <c r="A8" s="111">
        <v>2026</v>
      </c>
      <c r="Q8">
        <v>1</v>
      </c>
      <c r="V8">
        <v>1</v>
      </c>
      <c r="AA8">
        <v>2</v>
      </c>
    </row>
    <row r="9" spans="1:27">
      <c r="A9" s="111">
        <v>2027</v>
      </c>
      <c r="C9">
        <v>1</v>
      </c>
      <c r="D9">
        <v>1</v>
      </c>
      <c r="G9">
        <v>1</v>
      </c>
      <c r="H9">
        <v>1</v>
      </c>
      <c r="Y9">
        <v>1</v>
      </c>
      <c r="Z9">
        <v>1</v>
      </c>
      <c r="AA9">
        <v>6</v>
      </c>
    </row>
    <row r="10" spans="1:27">
      <c r="A10" s="111">
        <v>2028</v>
      </c>
      <c r="F10">
        <v>1</v>
      </c>
      <c r="I10">
        <v>1</v>
      </c>
      <c r="O10">
        <v>1</v>
      </c>
      <c r="R10">
        <v>1</v>
      </c>
      <c r="W10">
        <v>1</v>
      </c>
      <c r="X10">
        <v>1</v>
      </c>
      <c r="AA10">
        <v>6</v>
      </c>
    </row>
    <row r="11" spans="1:27">
      <c r="A11" s="111">
        <v>2029</v>
      </c>
      <c r="E11">
        <v>1</v>
      </c>
      <c r="J11">
        <v>1</v>
      </c>
      <c r="K11">
        <v>1</v>
      </c>
      <c r="P11">
        <v>1</v>
      </c>
      <c r="T11">
        <v>1</v>
      </c>
      <c r="U11">
        <v>1</v>
      </c>
      <c r="AA11">
        <v>6</v>
      </c>
    </row>
    <row r="12" spans="1:27">
      <c r="A12" s="110" t="s">
        <v>1483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25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57F21-12FE-4F38-8B7A-8CFD5EBDFA30}">
  <sheetPr>
    <tabColor theme="1"/>
  </sheetPr>
  <dimension ref="A1:O1"/>
  <sheetViews>
    <sheetView topLeftCell="A43" zoomScaleNormal="100" workbookViewId="0">
      <selection activeCell="A2" sqref="A2"/>
    </sheetView>
  </sheetViews>
  <sheetFormatPr defaultColWidth="8.85546875" defaultRowHeight="15"/>
  <cols>
    <col min="1" max="1" width="7.5703125" style="48" bestFit="1" customWidth="1"/>
    <col min="2" max="2" width="5.7109375" style="48" bestFit="1" customWidth="1"/>
    <col min="3" max="3" width="13.28515625" style="48" bestFit="1" customWidth="1"/>
    <col min="4" max="4" width="24.28515625" style="48" customWidth="1"/>
    <col min="5" max="5" width="7.7109375" style="48" bestFit="1" customWidth="1"/>
    <col min="6" max="6" width="9.85546875" style="48" customWidth="1"/>
    <col min="7" max="7" width="10.28515625" style="48" customWidth="1"/>
    <col min="8" max="8" width="18.85546875" style="48" bestFit="1" customWidth="1"/>
    <col min="9" max="11" width="8.5703125" style="48" bestFit="1" customWidth="1"/>
    <col min="12" max="12" width="8" style="48" bestFit="1" customWidth="1"/>
    <col min="13" max="13" width="8.5703125" style="48" bestFit="1" customWidth="1"/>
    <col min="14" max="14" width="7.85546875" style="48" bestFit="1" customWidth="1"/>
    <col min="15" max="15" width="68.42578125" style="48" customWidth="1"/>
    <col min="16" max="16384" width="8.85546875" style="48"/>
  </cols>
  <sheetData>
    <row r="1" spans="1:15" ht="31.5">
      <c r="A1" s="152" t="s">
        <v>98</v>
      </c>
      <c r="B1" s="152" t="s">
        <v>99</v>
      </c>
      <c r="C1" s="152" t="s">
        <v>100</v>
      </c>
      <c r="D1" s="153" t="s">
        <v>101</v>
      </c>
      <c r="E1" s="154" t="s">
        <v>2</v>
      </c>
      <c r="F1" s="155" t="s">
        <v>3</v>
      </c>
      <c r="G1" s="156" t="s">
        <v>4</v>
      </c>
      <c r="H1" s="156" t="s">
        <v>105</v>
      </c>
      <c r="I1" s="157" t="s">
        <v>106</v>
      </c>
      <c r="J1" s="158" t="s">
        <v>107</v>
      </c>
      <c r="K1" s="159" t="s">
        <v>108</v>
      </c>
      <c r="L1" s="160" t="s">
        <v>109</v>
      </c>
      <c r="M1" s="161" t="s">
        <v>110</v>
      </c>
      <c r="N1" s="162" t="s">
        <v>111</v>
      </c>
      <c r="O1" s="75" t="s">
        <v>45</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D857A-E4B7-43EE-BA55-2383634A3B85}">
  <sheetPr>
    <tabColor theme="9" tint="0.39997558519241921"/>
  </sheetPr>
  <dimension ref="A3:H35"/>
  <sheetViews>
    <sheetView topLeftCell="A11" workbookViewId="0">
      <selection activeCell="L2" sqref="L2"/>
    </sheetView>
  </sheetViews>
  <sheetFormatPr defaultRowHeight="15"/>
  <cols>
    <col min="1" max="1" width="40" bestFit="1" customWidth="1"/>
    <col min="2" max="2" width="15.7109375" bestFit="1" customWidth="1"/>
    <col min="3" max="7" width="5" bestFit="1" customWidth="1"/>
    <col min="8" max="8" width="12" bestFit="1" customWidth="1"/>
    <col min="9" max="9" width="22.42578125" bestFit="1" customWidth="1"/>
    <col min="10" max="10" width="17.7109375" bestFit="1" customWidth="1"/>
    <col min="11" max="11" width="9.28515625" bestFit="1" customWidth="1"/>
    <col min="12" max="13" width="25.7109375" bestFit="1" customWidth="1"/>
    <col min="14" max="14" width="33.5703125" bestFit="1" customWidth="1"/>
    <col min="15" max="15" width="22.28515625" bestFit="1" customWidth="1"/>
    <col min="16" max="16" width="18.85546875" bestFit="1" customWidth="1"/>
    <col min="17" max="17" width="13.42578125" bestFit="1" customWidth="1"/>
    <col min="18" max="18" width="15.85546875" bestFit="1" customWidth="1"/>
    <col min="19" max="19" width="8.5703125" bestFit="1" customWidth="1"/>
    <col min="20" max="20" width="23.42578125" bestFit="1" customWidth="1"/>
    <col min="21" max="21" width="19.140625" bestFit="1" customWidth="1"/>
    <col min="22" max="22" width="13.28515625" bestFit="1" customWidth="1"/>
    <col min="23" max="23" width="7.7109375" bestFit="1" customWidth="1"/>
    <col min="24" max="24" width="20.5703125" bestFit="1" customWidth="1"/>
    <col min="25" max="26" width="19.140625" bestFit="1" customWidth="1"/>
    <col min="27" max="27" width="11" bestFit="1" customWidth="1"/>
  </cols>
  <sheetData>
    <row r="3" spans="1:8">
      <c r="A3" s="109" t="s">
        <v>1484</v>
      </c>
      <c r="B3" s="109" t="s">
        <v>1479</v>
      </c>
    </row>
    <row r="4" spans="1:8">
      <c r="A4" s="109" t="s">
        <v>1480</v>
      </c>
      <c r="B4">
        <v>2029</v>
      </c>
      <c r="C4">
        <v>2028</v>
      </c>
      <c r="D4">
        <v>2027</v>
      </c>
      <c r="E4">
        <v>2026</v>
      </c>
      <c r="F4">
        <v>2025</v>
      </c>
      <c r="G4">
        <v>2024</v>
      </c>
      <c r="H4" t="s">
        <v>1483</v>
      </c>
    </row>
    <row r="5" spans="1:8">
      <c r="A5" s="110" t="s">
        <v>1277</v>
      </c>
      <c r="B5">
        <v>2029</v>
      </c>
      <c r="C5">
        <v>2028</v>
      </c>
      <c r="D5">
        <v>2027</v>
      </c>
      <c r="E5">
        <v>2026</v>
      </c>
      <c r="F5">
        <v>2025</v>
      </c>
      <c r="G5">
        <v>2024</v>
      </c>
      <c r="H5">
        <v>2027.16</v>
      </c>
    </row>
    <row r="6" spans="1:8">
      <c r="A6" s="111" t="s">
        <v>1287</v>
      </c>
      <c r="B6">
        <v>2029</v>
      </c>
      <c r="C6">
        <v>2028</v>
      </c>
      <c r="H6">
        <v>2028.8571428571429</v>
      </c>
    </row>
    <row r="7" spans="1:8">
      <c r="A7" s="115" t="s">
        <v>1299</v>
      </c>
      <c r="B7">
        <v>2029</v>
      </c>
      <c r="H7">
        <v>2029</v>
      </c>
    </row>
    <row r="8" spans="1:8">
      <c r="A8" s="115" t="s">
        <v>1316</v>
      </c>
      <c r="B8">
        <v>2029</v>
      </c>
      <c r="H8">
        <v>2029</v>
      </c>
    </row>
    <row r="9" spans="1:8">
      <c r="A9" s="115" t="s">
        <v>1284</v>
      </c>
      <c r="B9">
        <v>2029</v>
      </c>
      <c r="H9">
        <v>2029</v>
      </c>
    </row>
    <row r="10" spans="1:8">
      <c r="A10" s="115" t="s">
        <v>1303</v>
      </c>
      <c r="B10">
        <v>2029</v>
      </c>
      <c r="H10">
        <v>2029</v>
      </c>
    </row>
    <row r="11" spans="1:8">
      <c r="A11" s="115" t="s">
        <v>1286</v>
      </c>
      <c r="B11">
        <v>2029</v>
      </c>
      <c r="H11">
        <v>2029</v>
      </c>
    </row>
    <row r="12" spans="1:8">
      <c r="A12" s="115" t="s">
        <v>1294</v>
      </c>
      <c r="B12">
        <v>2029</v>
      </c>
      <c r="H12">
        <v>2029</v>
      </c>
    </row>
    <row r="13" spans="1:8">
      <c r="A13" s="115" t="s">
        <v>1293</v>
      </c>
      <c r="C13">
        <v>2028</v>
      </c>
      <c r="H13">
        <v>2028</v>
      </c>
    </row>
    <row r="14" spans="1:8">
      <c r="A14" s="111" t="s">
        <v>1279</v>
      </c>
      <c r="C14">
        <v>2028</v>
      </c>
      <c r="D14">
        <v>2027</v>
      </c>
      <c r="E14">
        <v>2026</v>
      </c>
      <c r="F14">
        <v>2025</v>
      </c>
      <c r="H14">
        <v>2026.4545454545455</v>
      </c>
    </row>
    <row r="15" spans="1:8">
      <c r="A15" s="115" t="s">
        <v>1297</v>
      </c>
      <c r="C15">
        <v>2028</v>
      </c>
      <c r="H15">
        <v>2028</v>
      </c>
    </row>
    <row r="16" spans="1:8">
      <c r="A16" s="115" t="s">
        <v>1308</v>
      </c>
      <c r="D16">
        <v>2027</v>
      </c>
      <c r="H16">
        <v>2027</v>
      </c>
    </row>
    <row r="17" spans="1:8">
      <c r="A17" s="115" t="s">
        <v>1482</v>
      </c>
      <c r="D17">
        <v>2027</v>
      </c>
      <c r="H17">
        <v>2027</v>
      </c>
    </row>
    <row r="18" spans="1:8">
      <c r="A18" s="115" t="s">
        <v>1309</v>
      </c>
      <c r="D18">
        <v>2027</v>
      </c>
      <c r="H18">
        <v>2027</v>
      </c>
    </row>
    <row r="19" spans="1:8">
      <c r="A19" s="115" t="s">
        <v>1481</v>
      </c>
      <c r="D19">
        <v>2027</v>
      </c>
      <c r="H19">
        <v>2027</v>
      </c>
    </row>
    <row r="20" spans="1:8">
      <c r="A20" s="115" t="s">
        <v>1298</v>
      </c>
      <c r="D20">
        <v>2027</v>
      </c>
      <c r="H20">
        <v>2027</v>
      </c>
    </row>
    <row r="21" spans="1:8">
      <c r="A21" s="115" t="s">
        <v>1307</v>
      </c>
      <c r="D21">
        <v>2027</v>
      </c>
      <c r="H21">
        <v>2027</v>
      </c>
    </row>
    <row r="22" spans="1:8">
      <c r="A22" s="115" t="s">
        <v>1313</v>
      </c>
      <c r="E22">
        <v>2026</v>
      </c>
      <c r="H22">
        <v>2026</v>
      </c>
    </row>
    <row r="23" spans="1:8">
      <c r="A23" s="115" t="s">
        <v>1281</v>
      </c>
      <c r="F23">
        <v>2025</v>
      </c>
      <c r="H23">
        <v>2025</v>
      </c>
    </row>
    <row r="24" spans="1:8">
      <c r="A24" s="115" t="s">
        <v>1311</v>
      </c>
      <c r="F24">
        <v>2025</v>
      </c>
      <c r="H24">
        <v>2025</v>
      </c>
    </row>
    <row r="25" spans="1:8">
      <c r="A25" s="115" t="s">
        <v>1278</v>
      </c>
      <c r="F25">
        <v>2025</v>
      </c>
      <c r="H25">
        <v>2025</v>
      </c>
    </row>
    <row r="26" spans="1:8">
      <c r="A26" s="111" t="s">
        <v>19</v>
      </c>
      <c r="C26">
        <v>2028</v>
      </c>
      <c r="E26">
        <v>2026</v>
      </c>
      <c r="H26">
        <v>2027.6</v>
      </c>
    </row>
    <row r="27" spans="1:8">
      <c r="A27" s="115" t="s">
        <v>1323</v>
      </c>
      <c r="C27">
        <v>2028</v>
      </c>
      <c r="H27">
        <v>2028</v>
      </c>
    </row>
    <row r="28" spans="1:8">
      <c r="A28" s="115" t="s">
        <v>1304</v>
      </c>
      <c r="C28">
        <v>2028</v>
      </c>
      <c r="H28">
        <v>2028</v>
      </c>
    </row>
    <row r="29" spans="1:8">
      <c r="A29" s="115" t="s">
        <v>1315</v>
      </c>
      <c r="C29">
        <v>2028</v>
      </c>
      <c r="H29">
        <v>2028</v>
      </c>
    </row>
    <row r="30" spans="1:8">
      <c r="A30" s="115" t="s">
        <v>1301</v>
      </c>
      <c r="C30">
        <v>2028</v>
      </c>
      <c r="H30">
        <v>2028</v>
      </c>
    </row>
    <row r="31" spans="1:8">
      <c r="A31" s="115" t="s">
        <v>1317</v>
      </c>
      <c r="E31">
        <v>2026</v>
      </c>
      <c r="H31">
        <v>2026</v>
      </c>
    </row>
    <row r="32" spans="1:8">
      <c r="A32" s="111" t="s">
        <v>1289</v>
      </c>
      <c r="G32">
        <v>2024</v>
      </c>
      <c r="H32">
        <v>2024</v>
      </c>
    </row>
    <row r="33" spans="1:8">
      <c r="A33" s="115" t="s">
        <v>1291</v>
      </c>
      <c r="G33">
        <v>2024</v>
      </c>
      <c r="H33">
        <v>2024</v>
      </c>
    </row>
    <row r="34" spans="1:8">
      <c r="A34" s="115" t="s">
        <v>1288</v>
      </c>
      <c r="G34">
        <v>2024</v>
      </c>
      <c r="H34">
        <v>2024</v>
      </c>
    </row>
    <row r="35" spans="1:8">
      <c r="A35" s="110" t="s">
        <v>1483</v>
      </c>
      <c r="B35">
        <v>2029</v>
      </c>
      <c r="C35">
        <v>2028</v>
      </c>
      <c r="D35">
        <v>2027</v>
      </c>
      <c r="E35">
        <v>2026</v>
      </c>
      <c r="F35">
        <v>2025</v>
      </c>
      <c r="G35">
        <v>2024</v>
      </c>
      <c r="H35">
        <v>2027.16</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3BBCC-E167-449C-AE28-977C4E0A7BF7}">
  <sheetPr>
    <tabColor theme="9" tint="0.39997558519241921"/>
  </sheetPr>
  <dimension ref="A1:N40"/>
  <sheetViews>
    <sheetView zoomScale="85" zoomScaleNormal="85" workbookViewId="0">
      <pane ySplit="4" topLeftCell="A5" activePane="bottomLeft" state="frozen"/>
      <selection pane="bottomLeft" activeCell="L2" sqref="L2"/>
      <selection activeCell="L2" sqref="L2"/>
    </sheetView>
  </sheetViews>
  <sheetFormatPr defaultColWidth="8.85546875" defaultRowHeight="15"/>
  <cols>
    <col min="1" max="1" width="7.7109375" style="89" bestFit="1" customWidth="1"/>
    <col min="2" max="2" width="5.7109375" style="89" bestFit="1" customWidth="1"/>
    <col min="3" max="3" width="13.28515625" style="89" bestFit="1" customWidth="1"/>
    <col min="4" max="4" width="35.42578125" style="89" bestFit="1" customWidth="1"/>
    <col min="5" max="5" width="7.85546875" style="89" bestFit="1" customWidth="1"/>
    <col min="6" max="6" width="10.140625" style="89" bestFit="1" customWidth="1"/>
    <col min="7" max="7" width="10.5703125" style="89" bestFit="1" customWidth="1"/>
    <col min="8" max="8" width="19.5703125" style="89" bestFit="1" customWidth="1"/>
    <col min="9" max="9" width="29.42578125" style="89" bestFit="1" customWidth="1"/>
    <col min="10" max="10" width="50.7109375" style="92" bestFit="1" customWidth="1"/>
    <col min="11" max="16384" width="8.85546875" style="89"/>
  </cols>
  <sheetData>
    <row r="1" spans="1:14" ht="18.75">
      <c r="D1" s="90" t="s">
        <v>97</v>
      </c>
      <c r="E1" s="90"/>
      <c r="F1" s="90"/>
      <c r="G1" s="90"/>
      <c r="H1" s="90"/>
      <c r="I1" s="90"/>
      <c r="K1" s="90"/>
      <c r="L1" s="90"/>
      <c r="M1" s="90"/>
      <c r="N1" s="90"/>
    </row>
    <row r="2" spans="1:14" ht="18.75">
      <c r="D2" s="90"/>
      <c r="E2" s="90"/>
      <c r="H2" s="93" t="s">
        <v>37</v>
      </c>
      <c r="I2" s="93"/>
      <c r="K2" s="90"/>
      <c r="L2" s="90"/>
      <c r="M2" s="90"/>
      <c r="N2" s="90"/>
    </row>
    <row r="4" spans="1:14" s="105" customFormat="1" ht="15.75">
      <c r="A4" s="74" t="s">
        <v>98</v>
      </c>
      <c r="B4" s="74" t="s">
        <v>99</v>
      </c>
      <c r="C4" s="74" t="s">
        <v>100</v>
      </c>
      <c r="D4" s="95" t="s">
        <v>101</v>
      </c>
      <c r="E4" s="96" t="s">
        <v>2</v>
      </c>
      <c r="F4" s="97" t="s">
        <v>3</v>
      </c>
      <c r="G4" s="98" t="s">
        <v>4</v>
      </c>
      <c r="H4" s="98" t="s">
        <v>105</v>
      </c>
      <c r="I4" s="98" t="s">
        <v>1485</v>
      </c>
      <c r="J4" s="75" t="s">
        <v>45</v>
      </c>
    </row>
    <row r="5" spans="1:14">
      <c r="A5" s="76" t="s">
        <v>1277</v>
      </c>
      <c r="B5" s="76">
        <v>1</v>
      </c>
      <c r="C5" s="76" t="s">
        <v>113</v>
      </c>
      <c r="D5" s="77" t="s">
        <v>1278</v>
      </c>
      <c r="E5" s="78"/>
      <c r="F5" s="79">
        <v>1974</v>
      </c>
      <c r="G5" s="80" t="s">
        <v>1279</v>
      </c>
      <c r="H5" s="80" t="s">
        <v>1486</v>
      </c>
      <c r="I5" s="80">
        <v>2025</v>
      </c>
      <c r="J5" s="47" t="s">
        <v>1280</v>
      </c>
    </row>
    <row r="6" spans="1:14">
      <c r="A6" s="76" t="s">
        <v>1277</v>
      </c>
      <c r="B6" s="76">
        <v>2</v>
      </c>
      <c r="C6" s="76" t="s">
        <v>113</v>
      </c>
      <c r="D6" s="77" t="s">
        <v>1281</v>
      </c>
      <c r="E6" s="78"/>
      <c r="F6" s="79" t="s">
        <v>1282</v>
      </c>
      <c r="G6" s="80" t="s">
        <v>1279</v>
      </c>
      <c r="H6" s="80" t="s">
        <v>1486</v>
      </c>
      <c r="I6" s="80">
        <v>2025</v>
      </c>
      <c r="J6" s="47" t="s">
        <v>1280</v>
      </c>
    </row>
    <row r="7" spans="1:14">
      <c r="A7" s="76" t="s">
        <v>1277</v>
      </c>
      <c r="B7" s="76">
        <v>3</v>
      </c>
      <c r="C7" s="76" t="s">
        <v>113</v>
      </c>
      <c r="D7" s="77" t="s">
        <v>1284</v>
      </c>
      <c r="E7" s="78"/>
      <c r="F7" s="79">
        <v>2007</v>
      </c>
      <c r="G7" s="80" t="s">
        <v>1287</v>
      </c>
      <c r="H7" s="80" t="s">
        <v>1486</v>
      </c>
      <c r="I7" s="80">
        <v>2029</v>
      </c>
      <c r="J7" s="47"/>
    </row>
    <row r="8" spans="1:14">
      <c r="A8" s="76" t="s">
        <v>1277</v>
      </c>
      <c r="B8" s="76">
        <v>4</v>
      </c>
      <c r="C8" s="76" t="s">
        <v>113</v>
      </c>
      <c r="D8" s="87" t="s">
        <v>1286</v>
      </c>
      <c r="E8" s="78"/>
      <c r="F8" s="79">
        <v>2017</v>
      </c>
      <c r="G8" s="80" t="s">
        <v>1287</v>
      </c>
      <c r="H8" s="80" t="s">
        <v>1486</v>
      </c>
      <c r="I8" s="80">
        <v>2029</v>
      </c>
      <c r="J8" s="47"/>
    </row>
    <row r="9" spans="1:14">
      <c r="A9" s="76" t="s">
        <v>1277</v>
      </c>
      <c r="B9" s="76">
        <v>5</v>
      </c>
      <c r="C9" s="76" t="s">
        <v>113</v>
      </c>
      <c r="D9" s="77" t="s">
        <v>1288</v>
      </c>
      <c r="E9" s="78"/>
      <c r="F9" s="79">
        <v>1975</v>
      </c>
      <c r="G9" s="80" t="s">
        <v>1289</v>
      </c>
      <c r="H9" s="80" t="s">
        <v>1486</v>
      </c>
      <c r="I9" s="80">
        <v>2024</v>
      </c>
      <c r="J9" s="47" t="s">
        <v>1487</v>
      </c>
    </row>
    <row r="10" spans="1:14">
      <c r="A10" s="76" t="s">
        <v>1277</v>
      </c>
      <c r="B10" s="76">
        <v>6</v>
      </c>
      <c r="C10" s="76" t="s">
        <v>113</v>
      </c>
      <c r="D10" s="77" t="s">
        <v>1291</v>
      </c>
      <c r="E10" s="78"/>
      <c r="F10" s="79">
        <v>1995</v>
      </c>
      <c r="G10" s="80" t="s">
        <v>1289</v>
      </c>
      <c r="H10" s="80" t="s">
        <v>1486</v>
      </c>
      <c r="I10" s="80">
        <v>2024</v>
      </c>
      <c r="J10" s="47" t="s">
        <v>1487</v>
      </c>
    </row>
    <row r="11" spans="1:14">
      <c r="A11" s="76" t="s">
        <v>1277</v>
      </c>
      <c r="B11" s="76">
        <v>7</v>
      </c>
      <c r="C11" s="76" t="s">
        <v>113</v>
      </c>
      <c r="D11" s="77" t="s">
        <v>1293</v>
      </c>
      <c r="E11" s="78"/>
      <c r="F11" s="79">
        <v>2006</v>
      </c>
      <c r="G11" s="80" t="s">
        <v>1287</v>
      </c>
      <c r="H11" s="80" t="s">
        <v>1486</v>
      </c>
      <c r="I11" s="80">
        <v>2028</v>
      </c>
      <c r="J11" s="47" t="s">
        <v>1488</v>
      </c>
    </row>
    <row r="12" spans="1:14">
      <c r="A12" s="76" t="s">
        <v>1277</v>
      </c>
      <c r="B12" s="76">
        <v>8</v>
      </c>
      <c r="C12" s="76" t="s">
        <v>113</v>
      </c>
      <c r="D12" s="77" t="s">
        <v>1294</v>
      </c>
      <c r="E12" s="78"/>
      <c r="F12" s="79">
        <v>2014</v>
      </c>
      <c r="G12" s="80" t="s">
        <v>1287</v>
      </c>
      <c r="H12" s="80" t="s">
        <v>1486</v>
      </c>
      <c r="I12" s="80">
        <v>2029</v>
      </c>
      <c r="J12" s="47"/>
    </row>
    <row r="13" spans="1:14">
      <c r="A13" s="76" t="s">
        <v>1277</v>
      </c>
      <c r="B13" s="76">
        <v>9</v>
      </c>
      <c r="C13" s="76" t="s">
        <v>113</v>
      </c>
      <c r="D13" s="77" t="s">
        <v>1297</v>
      </c>
      <c r="E13" s="78"/>
      <c r="F13" s="79">
        <v>1989</v>
      </c>
      <c r="G13" s="80" t="s">
        <v>1279</v>
      </c>
      <c r="H13" s="80" t="s">
        <v>1486</v>
      </c>
      <c r="I13" s="80">
        <v>2028</v>
      </c>
      <c r="J13" s="47"/>
    </row>
    <row r="14" spans="1:14">
      <c r="A14" s="76" t="s">
        <v>1277</v>
      </c>
      <c r="B14" s="76">
        <v>10</v>
      </c>
      <c r="C14" s="76" t="s">
        <v>113</v>
      </c>
      <c r="D14" s="77" t="s">
        <v>1298</v>
      </c>
      <c r="E14" s="78"/>
      <c r="F14" s="79">
        <v>1998</v>
      </c>
      <c r="G14" s="80" t="s">
        <v>1279</v>
      </c>
      <c r="H14" s="80" t="s">
        <v>1486</v>
      </c>
      <c r="I14" s="80">
        <v>2027</v>
      </c>
      <c r="J14" s="47"/>
    </row>
    <row r="15" spans="1:14">
      <c r="A15" s="76" t="s">
        <v>1277</v>
      </c>
      <c r="B15" s="76">
        <v>11</v>
      </c>
      <c r="C15" s="76" t="s">
        <v>113</v>
      </c>
      <c r="D15" s="88" t="s">
        <v>1299</v>
      </c>
      <c r="E15" s="78"/>
      <c r="F15" s="79">
        <v>2022</v>
      </c>
      <c r="G15" s="80" t="s">
        <v>1287</v>
      </c>
      <c r="H15" s="80" t="s">
        <v>1486</v>
      </c>
      <c r="I15" s="80">
        <v>2029</v>
      </c>
      <c r="J15" s="47" t="s">
        <v>1489</v>
      </c>
    </row>
    <row r="16" spans="1:14">
      <c r="A16" s="76" t="s">
        <v>1277</v>
      </c>
      <c r="B16" s="76">
        <v>12</v>
      </c>
      <c r="C16" s="76" t="s">
        <v>113</v>
      </c>
      <c r="D16" s="77" t="s">
        <v>1301</v>
      </c>
      <c r="E16" s="78"/>
      <c r="F16" s="79">
        <v>2003</v>
      </c>
      <c r="G16" s="80" t="s">
        <v>19</v>
      </c>
      <c r="H16" s="80" t="s">
        <v>1486</v>
      </c>
      <c r="I16" s="80">
        <v>2028</v>
      </c>
      <c r="J16" s="47"/>
    </row>
    <row r="17" spans="1:10">
      <c r="A17" s="76" t="s">
        <v>1277</v>
      </c>
      <c r="B17" s="76">
        <v>13</v>
      </c>
      <c r="C17" s="76" t="s">
        <v>113</v>
      </c>
      <c r="D17" s="77" t="s">
        <v>1303</v>
      </c>
      <c r="E17" s="78"/>
      <c r="F17" s="79">
        <v>2007</v>
      </c>
      <c r="G17" s="80" t="s">
        <v>1287</v>
      </c>
      <c r="H17" s="80" t="s">
        <v>1486</v>
      </c>
      <c r="I17" s="80">
        <v>2029</v>
      </c>
      <c r="J17" s="47"/>
    </row>
    <row r="18" spans="1:10">
      <c r="A18" s="76" t="s">
        <v>1277</v>
      </c>
      <c r="B18" s="76">
        <v>14</v>
      </c>
      <c r="C18" s="76" t="s">
        <v>113</v>
      </c>
      <c r="D18" s="77" t="s">
        <v>1304</v>
      </c>
      <c r="E18" s="78"/>
      <c r="F18" s="79">
        <v>1987</v>
      </c>
      <c r="G18" s="80" t="s">
        <v>1295</v>
      </c>
      <c r="H18" s="80" t="s">
        <v>1486</v>
      </c>
      <c r="I18" s="80">
        <v>2028</v>
      </c>
      <c r="J18" s="47"/>
    </row>
    <row r="19" spans="1:10">
      <c r="A19" s="76" t="s">
        <v>1277</v>
      </c>
      <c r="B19" s="76">
        <v>15</v>
      </c>
      <c r="C19" s="76" t="s">
        <v>113</v>
      </c>
      <c r="D19" s="77" t="s">
        <v>1481</v>
      </c>
      <c r="E19" s="78"/>
      <c r="F19" s="79">
        <v>1972</v>
      </c>
      <c r="G19" s="80" t="s">
        <v>1279</v>
      </c>
      <c r="H19" s="80" t="s">
        <v>1486</v>
      </c>
      <c r="I19" s="80">
        <v>2027</v>
      </c>
      <c r="J19" s="47"/>
    </row>
    <row r="20" spans="1:10">
      <c r="A20" s="76" t="s">
        <v>1277</v>
      </c>
      <c r="B20" s="76">
        <v>16</v>
      </c>
      <c r="C20" s="76" t="s">
        <v>113</v>
      </c>
      <c r="D20" s="77" t="s">
        <v>1307</v>
      </c>
      <c r="E20" s="78"/>
      <c r="F20" s="79">
        <v>1983</v>
      </c>
      <c r="G20" s="80" t="s">
        <v>1279</v>
      </c>
      <c r="H20" s="80" t="s">
        <v>1486</v>
      </c>
      <c r="I20" s="80">
        <v>2027</v>
      </c>
      <c r="J20" s="47"/>
    </row>
    <row r="21" spans="1:10">
      <c r="A21" s="76" t="s">
        <v>1277</v>
      </c>
      <c r="B21" s="76">
        <v>17</v>
      </c>
      <c r="C21" s="76" t="s">
        <v>113</v>
      </c>
      <c r="D21" s="77" t="s">
        <v>1482</v>
      </c>
      <c r="E21" s="78"/>
      <c r="F21" s="79">
        <v>1987</v>
      </c>
      <c r="G21" s="80" t="s">
        <v>1279</v>
      </c>
      <c r="H21" s="80" t="s">
        <v>1486</v>
      </c>
      <c r="I21" s="80">
        <v>2027</v>
      </c>
      <c r="J21" s="47"/>
    </row>
    <row r="22" spans="1:10">
      <c r="A22" s="76" t="s">
        <v>1277</v>
      </c>
      <c r="B22" s="76">
        <v>18</v>
      </c>
      <c r="C22" s="76" t="s">
        <v>113</v>
      </c>
      <c r="D22" s="77" t="s">
        <v>1308</v>
      </c>
      <c r="E22" s="78"/>
      <c r="F22" s="79">
        <v>1987</v>
      </c>
      <c r="G22" s="80" t="s">
        <v>1279</v>
      </c>
      <c r="H22" s="80" t="s">
        <v>1486</v>
      </c>
      <c r="I22" s="80">
        <v>2027</v>
      </c>
      <c r="J22" s="47"/>
    </row>
    <row r="23" spans="1:10">
      <c r="A23" s="76" t="s">
        <v>1277</v>
      </c>
      <c r="B23" s="76">
        <v>19</v>
      </c>
      <c r="C23" s="76" t="s">
        <v>113</v>
      </c>
      <c r="D23" s="77" t="s">
        <v>1309</v>
      </c>
      <c r="E23" s="78"/>
      <c r="F23" s="79" t="s">
        <v>253</v>
      </c>
      <c r="G23" s="80" t="s">
        <v>1279</v>
      </c>
      <c r="H23" s="80" t="s">
        <v>1486</v>
      </c>
      <c r="I23" s="80">
        <v>2027</v>
      </c>
      <c r="J23" s="47"/>
    </row>
    <row r="24" spans="1:10">
      <c r="A24" s="76" t="s">
        <v>1277</v>
      </c>
      <c r="B24" s="76">
        <v>20</v>
      </c>
      <c r="C24" s="76" t="s">
        <v>113</v>
      </c>
      <c r="D24" s="77" t="s">
        <v>1311</v>
      </c>
      <c r="E24" s="78"/>
      <c r="F24" s="79">
        <v>2004</v>
      </c>
      <c r="G24" s="80" t="s">
        <v>1279</v>
      </c>
      <c r="H24" s="80" t="s">
        <v>1486</v>
      </c>
      <c r="I24" s="80">
        <v>2025</v>
      </c>
      <c r="J24" s="47" t="s">
        <v>1490</v>
      </c>
    </row>
    <row r="25" spans="1:10">
      <c r="A25" s="76" t="s">
        <v>1277</v>
      </c>
      <c r="B25" s="76">
        <v>21</v>
      </c>
      <c r="C25" s="76" t="s">
        <v>113</v>
      </c>
      <c r="D25" s="77" t="s">
        <v>1323</v>
      </c>
      <c r="E25" s="78"/>
      <c r="F25" s="79">
        <v>2004</v>
      </c>
      <c r="G25" s="80" t="s">
        <v>1295</v>
      </c>
      <c r="H25" s="80" t="s">
        <v>1486</v>
      </c>
      <c r="I25" s="80">
        <v>2028</v>
      </c>
      <c r="J25" s="47"/>
    </row>
    <row r="26" spans="1:10">
      <c r="A26" s="76" t="s">
        <v>1277</v>
      </c>
      <c r="B26" s="76">
        <v>22</v>
      </c>
      <c r="C26" s="76" t="s">
        <v>113</v>
      </c>
      <c r="D26" s="77" t="s">
        <v>1313</v>
      </c>
      <c r="E26" s="78"/>
      <c r="F26" s="79">
        <v>1997</v>
      </c>
      <c r="G26" s="80" t="s">
        <v>1279</v>
      </c>
      <c r="H26" s="80" t="s">
        <v>1486</v>
      </c>
      <c r="I26" s="80">
        <v>2026</v>
      </c>
      <c r="J26" s="47" t="s">
        <v>1314</v>
      </c>
    </row>
    <row r="27" spans="1:10">
      <c r="A27" s="76" t="s">
        <v>1277</v>
      </c>
      <c r="B27" s="76">
        <v>23</v>
      </c>
      <c r="C27" s="76" t="s">
        <v>113</v>
      </c>
      <c r="D27" s="77" t="s">
        <v>1315</v>
      </c>
      <c r="E27" s="78"/>
      <c r="F27" s="79">
        <v>2005</v>
      </c>
      <c r="G27" s="80" t="s">
        <v>1295</v>
      </c>
      <c r="H27" s="80" t="s">
        <v>1486</v>
      </c>
      <c r="I27" s="80">
        <v>2028</v>
      </c>
      <c r="J27" s="47"/>
    </row>
    <row r="28" spans="1:10">
      <c r="A28" s="76" t="s">
        <v>1277</v>
      </c>
      <c r="B28" s="76">
        <v>24</v>
      </c>
      <c r="C28" s="76" t="s">
        <v>113</v>
      </c>
      <c r="D28" s="77" t="s">
        <v>1316</v>
      </c>
      <c r="E28" s="78"/>
      <c r="F28" s="79">
        <v>2013</v>
      </c>
      <c r="G28" s="80" t="s">
        <v>1287</v>
      </c>
      <c r="H28" s="80" t="s">
        <v>1486</v>
      </c>
      <c r="I28" s="80">
        <v>2029</v>
      </c>
      <c r="J28" s="47"/>
    </row>
    <row r="29" spans="1:10">
      <c r="A29" s="76" t="s">
        <v>1277</v>
      </c>
      <c r="B29" s="76">
        <v>25</v>
      </c>
      <c r="C29" s="76" t="s">
        <v>113</v>
      </c>
      <c r="D29" s="77" t="s">
        <v>1317</v>
      </c>
      <c r="E29" s="78"/>
      <c r="F29" s="79">
        <v>2017</v>
      </c>
      <c r="G29" s="80" t="s">
        <v>19</v>
      </c>
      <c r="H29" s="80" t="s">
        <v>1486</v>
      </c>
      <c r="I29" s="80">
        <v>2026</v>
      </c>
      <c r="J29" s="47"/>
    </row>
    <row r="32" spans="1:10">
      <c r="E32" s="93"/>
      <c r="F32" s="93"/>
      <c r="G32" s="93"/>
      <c r="H32" s="93"/>
      <c r="I32" s="93"/>
    </row>
    <row r="33" spans="5:9">
      <c r="E33" s="93"/>
      <c r="F33" s="93"/>
      <c r="G33" s="93"/>
      <c r="H33" s="93"/>
      <c r="I33" s="93"/>
    </row>
    <row r="34" spans="5:9">
      <c r="E34" s="93"/>
      <c r="F34" s="93"/>
      <c r="G34" s="93"/>
      <c r="H34" s="93"/>
      <c r="I34" s="93"/>
    </row>
    <row r="35" spans="5:9">
      <c r="E35" s="93"/>
      <c r="F35" s="93"/>
      <c r="G35" s="93"/>
      <c r="H35" s="93"/>
      <c r="I35" s="93"/>
    </row>
    <row r="36" spans="5:9">
      <c r="E36" s="93"/>
      <c r="F36" s="93"/>
      <c r="G36" s="93"/>
      <c r="H36" s="93"/>
      <c r="I36" s="93"/>
    </row>
    <row r="37" spans="5:9">
      <c r="E37" s="93"/>
      <c r="F37" s="93"/>
      <c r="G37" s="93"/>
      <c r="H37" s="93"/>
      <c r="I37" s="93"/>
    </row>
    <row r="38" spans="5:9">
      <c r="E38" s="93"/>
      <c r="F38" s="93"/>
      <c r="G38" s="93"/>
      <c r="H38" s="93"/>
      <c r="I38" s="93"/>
    </row>
    <row r="39" spans="5:9">
      <c r="E39" s="93"/>
      <c r="F39" s="93"/>
      <c r="G39" s="93"/>
      <c r="H39" s="93"/>
      <c r="I39" s="93"/>
    </row>
    <row r="40" spans="5:9">
      <c r="E40" s="93"/>
      <c r="F40" s="93"/>
      <c r="G40" s="93"/>
      <c r="H40" s="93"/>
      <c r="I40" s="9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3751C1CECC4C74B8A93DE513F353366" ma:contentTypeVersion="24" ma:contentTypeDescription="Create a new document." ma:contentTypeScope="" ma:versionID="4a3efb27970483757b7ca3bdcba4bb01">
  <xsd:schema xmlns:xsd="http://www.w3.org/2001/XMLSchema" xmlns:xs="http://www.w3.org/2001/XMLSchema" xmlns:p="http://schemas.microsoft.com/office/2006/metadata/properties" xmlns:ns2="01d89392-1d06-4677-8451-209449a3d9e3" xmlns:ns3="f74c4ef3-8d9d-4cd1-879d-20c68dae1f9c" targetNamespace="http://schemas.microsoft.com/office/2006/metadata/properties" ma:root="true" ma:fieldsID="d2b9a6e02416bcbff4f5dcecfab4342a" ns2:_="" ns3:_="">
    <xsd:import namespace="01d89392-1d06-4677-8451-209449a3d9e3"/>
    <xsd:import namespace="f74c4ef3-8d9d-4cd1-879d-20c68dae1f9c"/>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LengthInSeconds" minOccurs="0"/>
                <xsd:element ref="ns2:MediaServiceLocatio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d89392-1d06-4677-8451-209449a3d9e3"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10419cf9-5862-4d4d-ac87-5896bbc6293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element name="MediaServiceBillingMetadata" ma:index="3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74c4ef3-8d9d-4cd1-879d-20c68dae1f9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8" nillable="true" ma:displayName="Taxonomy Catch All Column" ma:hidden="true" ma:list="{b428469d-56d3-43c3-b496-9e66a69b6b48}" ma:internalName="TaxCatchAll" ma:showField="CatchAllData" ma:web="f74c4ef3-8d9d-4cd1-879d-20c68dae1f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1d89392-1d06-4677-8451-209449a3d9e3">
      <Terms xmlns="http://schemas.microsoft.com/office/infopath/2007/PartnerControls"/>
    </lcf76f155ced4ddcb4097134ff3c332f>
    <MigrationWizIdPermissionLevels xmlns="01d89392-1d06-4677-8451-209449a3d9e3" xsi:nil="true"/>
    <MigrationWizIdSecurityGroups xmlns="01d89392-1d06-4677-8451-209449a3d9e3" xsi:nil="true"/>
    <MigrationWizId xmlns="01d89392-1d06-4677-8451-209449a3d9e3" xsi:nil="true"/>
    <MigrationWizIdPermissions xmlns="01d89392-1d06-4677-8451-209449a3d9e3" xsi:nil="true"/>
    <TaxCatchAll xmlns="f74c4ef3-8d9d-4cd1-879d-20c68dae1f9c" xsi:nil="true"/>
    <MigrationWizIdDocumentLibraryPermissions xmlns="01d89392-1d06-4677-8451-209449a3d9e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8C33B1-4B25-447A-8DE9-AC3F4635D4D9}"/>
</file>

<file path=customXml/itemProps2.xml><?xml version="1.0" encoding="utf-8"?>
<ds:datastoreItem xmlns:ds="http://schemas.openxmlformats.org/officeDocument/2006/customXml" ds:itemID="{042472AB-AD98-4D61-883E-36D68937569D}"/>
</file>

<file path=customXml/itemProps3.xml><?xml version="1.0" encoding="utf-8"?>
<ds:datastoreItem xmlns:ds="http://schemas.openxmlformats.org/officeDocument/2006/customXml" ds:itemID="{1B00B267-5095-4D24-9E1E-96725ADDA5FA}"/>
</file>

<file path=docProps/app.xml><?xml version="1.0" encoding="utf-8"?>
<Properties xmlns="http://schemas.openxmlformats.org/officeDocument/2006/extended-properties" xmlns:vt="http://schemas.openxmlformats.org/officeDocument/2006/docPropsVTypes">
  <Application>Microsoft Excel Online</Application>
  <Manager/>
  <Company>Bobrick Washroom Equipment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gregb</dc:creator>
  <cp:keywords/>
  <dc:description/>
  <cp:lastModifiedBy/>
  <cp:revision/>
  <dcterms:created xsi:type="dcterms:W3CDTF">2011-07-14T13:19:54Z</dcterms:created>
  <dcterms:modified xsi:type="dcterms:W3CDTF">2026-08-07T23:41:21Z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0x01010083751C1CECC4C74B8A93DE513F353366</vt:lpwstr>
  </property>
  <property fmtid="{D5CDD505-2E9C-101B-9397-08002B2CF9AE}" pid="3" name="MediaServiceImageTags">
    <vt:lpwstr/>
  </property>
</Properties>
</file>